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68431def48b862b/Banco Gênio/"/>
    </mc:Choice>
  </mc:AlternateContent>
  <xr:revisionPtr revIDLastSave="25" documentId="11_5F2A88FAE96B2DC01E9A90BA84C5560006A981DC" xr6:coauthVersionLast="47" xr6:coauthVersionMax="47" xr10:uidLastSave="{70CBD1DE-24A3-41C1-98B6-DFF1ABFE21BB}"/>
  <bookViews>
    <workbookView xWindow="-120" yWindow="-120" windowWidth="21840" windowHeight="13020" tabRatio="593" activeTab="2" xr2:uid="{00000000-000D-0000-FFFF-FFFF00000000}"/>
  </bookViews>
  <sheets>
    <sheet name="Base" sheetId="1" r:id="rId1"/>
    <sheet name="Investimento mensal" sheetId="5" r:id="rId2"/>
    <sheet name="Saldo em Caixa" sheetId="4" r:id="rId3"/>
    <sheet name="Visão geral" sheetId="2" r:id="rId4"/>
    <sheet name="Saúde financeira" sheetId="3" r:id="rId5"/>
  </sheets>
  <calcPr calcId="191029"/>
  <pivotCaches>
    <pivotCache cacheId="9" r:id="rId6"/>
    <pivotCache cacheId="1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 a="1"/>
  <c r="B17" i="3"/>
  <c r="AA213" i="1"/>
  <c r="X213" i="1"/>
  <c r="W213" i="1"/>
  <c r="Y213" i="1"/>
  <c r="Z213" i="1"/>
  <c r="AA212" i="1"/>
  <c r="Z212" i="1"/>
  <c r="Y212" i="1"/>
  <c r="X212" i="1"/>
  <c r="W212" i="1"/>
  <c r="AA211" i="1"/>
  <c r="Z211" i="1"/>
  <c r="Y211" i="1"/>
  <c r="X211" i="1"/>
  <c r="W211" i="1"/>
  <c r="AA210" i="1"/>
  <c r="Z210" i="1"/>
  <c r="Y210" i="1"/>
  <c r="X210" i="1"/>
  <c r="W210" i="1"/>
  <c r="AA209" i="1"/>
  <c r="Z209" i="1"/>
  <c r="Y209" i="1"/>
  <c r="X209" i="1"/>
  <c r="W209" i="1"/>
  <c r="AA208" i="1"/>
  <c r="Z208" i="1"/>
  <c r="Y208" i="1"/>
  <c r="X208" i="1"/>
  <c r="W208" i="1"/>
  <c r="AA207" i="1"/>
  <c r="Z207" i="1"/>
  <c r="Y207" i="1"/>
  <c r="X207" i="1"/>
  <c r="W207" i="1"/>
  <c r="AA206" i="1"/>
  <c r="Z206" i="1"/>
  <c r="Y206" i="1"/>
  <c r="X206" i="1"/>
  <c r="W206" i="1"/>
  <c r="AA205" i="1"/>
  <c r="Z205" i="1"/>
  <c r="Y205" i="1"/>
  <c r="X205" i="1"/>
  <c r="W205" i="1"/>
  <c r="AA204" i="1"/>
  <c r="Z204" i="1"/>
  <c r="Y204" i="1"/>
  <c r="X204" i="1"/>
  <c r="W204" i="1"/>
  <c r="AA203" i="1"/>
  <c r="Z203" i="1"/>
  <c r="Y203" i="1"/>
  <c r="X203" i="1"/>
  <c r="W203" i="1"/>
  <c r="AA202" i="1"/>
  <c r="Z202" i="1"/>
  <c r="Y202" i="1"/>
  <c r="X202" i="1"/>
  <c r="W202" i="1"/>
  <c r="AA201" i="1"/>
  <c r="Z201" i="1"/>
  <c r="Y201" i="1"/>
  <c r="X201" i="1"/>
  <c r="W201" i="1"/>
  <c r="AA200" i="1"/>
  <c r="Z200" i="1"/>
  <c r="Y200" i="1"/>
  <c r="X200" i="1"/>
  <c r="W200" i="1"/>
  <c r="AA199" i="1"/>
  <c r="Z199" i="1"/>
  <c r="Y199" i="1"/>
  <c r="X199" i="1"/>
  <c r="W199" i="1"/>
  <c r="AA198" i="1"/>
  <c r="Z198" i="1"/>
  <c r="Y198" i="1"/>
  <c r="W198" i="1"/>
  <c r="AA197" i="1"/>
  <c r="Z197" i="1"/>
  <c r="Y197" i="1"/>
  <c r="T197" i="1"/>
  <c r="C197" i="1"/>
  <c r="AA196" i="1"/>
  <c r="Z196" i="1"/>
  <c r="Y196" i="1"/>
  <c r="X196" i="1"/>
  <c r="W196" i="1"/>
  <c r="AA195" i="1"/>
  <c r="Z195" i="1"/>
  <c r="Y195" i="1"/>
  <c r="X195" i="1"/>
  <c r="W195" i="1"/>
  <c r="AA194" i="1"/>
  <c r="Z194" i="1"/>
  <c r="Y194" i="1"/>
  <c r="X194" i="1"/>
  <c r="W194" i="1"/>
  <c r="AA193" i="1"/>
  <c r="Z193" i="1"/>
  <c r="Y193" i="1"/>
  <c r="X193" i="1"/>
  <c r="W193" i="1"/>
  <c r="AA192" i="1"/>
  <c r="Z192" i="1"/>
  <c r="Y192" i="1"/>
  <c r="X192" i="1"/>
  <c r="W192" i="1"/>
  <c r="AA191" i="1"/>
  <c r="Z191" i="1"/>
  <c r="Y191" i="1"/>
  <c r="X191" i="1"/>
  <c r="W191" i="1"/>
  <c r="AA190" i="1"/>
  <c r="Z190" i="1"/>
  <c r="Y190" i="1"/>
  <c r="X190" i="1"/>
  <c r="W190" i="1"/>
  <c r="AA189" i="1"/>
  <c r="Z189" i="1"/>
  <c r="Y189" i="1"/>
  <c r="X189" i="1"/>
  <c r="W189" i="1"/>
  <c r="AA188" i="1"/>
  <c r="Z188" i="1"/>
  <c r="Y188" i="1"/>
  <c r="X188" i="1"/>
  <c r="W188" i="1"/>
  <c r="AA187" i="1"/>
  <c r="Z187" i="1"/>
  <c r="Y187" i="1"/>
  <c r="X187" i="1"/>
  <c r="W187" i="1"/>
  <c r="AA186" i="1"/>
  <c r="Z186" i="1"/>
  <c r="Y186" i="1"/>
  <c r="X186" i="1"/>
  <c r="W186" i="1"/>
  <c r="AA185" i="1"/>
  <c r="Z185" i="1"/>
  <c r="Y185" i="1"/>
  <c r="X185" i="1"/>
  <c r="W185" i="1"/>
  <c r="AA184" i="1"/>
  <c r="Z184" i="1"/>
  <c r="Y184" i="1"/>
  <c r="X184" i="1"/>
  <c r="W184" i="1"/>
  <c r="AA183" i="1"/>
  <c r="Z183" i="1"/>
  <c r="Y183" i="1"/>
  <c r="X183" i="1"/>
  <c r="W183" i="1"/>
  <c r="AA182" i="1"/>
  <c r="Z182" i="1"/>
  <c r="Y182" i="1"/>
  <c r="X182" i="1"/>
  <c r="W182" i="1"/>
  <c r="AA181" i="1"/>
  <c r="Z181" i="1"/>
  <c r="Y181" i="1"/>
  <c r="X181" i="1"/>
  <c r="W181" i="1"/>
  <c r="AA180" i="1"/>
  <c r="Z180" i="1"/>
  <c r="Y180" i="1"/>
  <c r="X180" i="1"/>
  <c r="W180" i="1"/>
  <c r="AA179" i="1"/>
  <c r="Z179" i="1"/>
  <c r="Y179" i="1"/>
  <c r="X179" i="1"/>
  <c r="W179" i="1"/>
  <c r="AA178" i="1"/>
  <c r="Z178" i="1"/>
  <c r="Y178" i="1"/>
  <c r="X178" i="1"/>
  <c r="W178" i="1"/>
  <c r="AA177" i="1"/>
  <c r="Z177" i="1"/>
  <c r="Y177" i="1"/>
  <c r="X177" i="1"/>
  <c r="W177" i="1"/>
  <c r="AA176" i="1"/>
  <c r="Z176" i="1"/>
  <c r="Y176" i="1"/>
  <c r="X176" i="1"/>
  <c r="W176" i="1"/>
  <c r="AA175" i="1"/>
  <c r="Z175" i="1"/>
  <c r="Y175" i="1"/>
  <c r="X175" i="1"/>
  <c r="W175" i="1"/>
  <c r="AA174" i="1"/>
  <c r="Z174" i="1"/>
  <c r="Y174" i="1"/>
  <c r="X174" i="1"/>
  <c r="W174" i="1"/>
  <c r="AA173" i="1"/>
  <c r="Z173" i="1"/>
  <c r="Y173" i="1"/>
  <c r="X173" i="1"/>
  <c r="W173" i="1"/>
  <c r="AA172" i="1"/>
  <c r="Z172" i="1"/>
  <c r="Y172" i="1"/>
  <c r="X172" i="1"/>
  <c r="W172" i="1"/>
  <c r="AA171" i="1"/>
  <c r="Z171" i="1"/>
  <c r="Y171" i="1"/>
  <c r="X171" i="1"/>
  <c r="W171" i="1"/>
  <c r="AA170" i="1"/>
  <c r="Z170" i="1"/>
  <c r="Y170" i="1"/>
  <c r="X170" i="1"/>
  <c r="W170" i="1"/>
  <c r="AA169" i="1"/>
  <c r="Z169" i="1"/>
  <c r="Y169" i="1"/>
  <c r="X169" i="1"/>
  <c r="W169" i="1"/>
  <c r="AA168" i="1"/>
  <c r="Z168" i="1"/>
  <c r="Y168" i="1"/>
  <c r="X168" i="1"/>
  <c r="W168" i="1"/>
  <c r="AA167" i="1"/>
  <c r="Z167" i="1"/>
  <c r="Y167" i="1"/>
  <c r="X167" i="1"/>
  <c r="W167" i="1"/>
  <c r="AA166" i="1"/>
  <c r="Z166" i="1"/>
  <c r="Y166" i="1"/>
  <c r="X166" i="1"/>
  <c r="W166" i="1"/>
  <c r="AA165" i="1"/>
  <c r="Z165" i="1"/>
  <c r="Y165" i="1"/>
  <c r="X165" i="1"/>
  <c r="W165" i="1"/>
  <c r="AA164" i="1"/>
  <c r="Z164" i="1"/>
  <c r="Y164" i="1"/>
  <c r="X164" i="1"/>
  <c r="W164" i="1"/>
  <c r="AA163" i="1"/>
  <c r="Z163" i="1"/>
  <c r="Y163" i="1"/>
  <c r="X163" i="1"/>
  <c r="W163" i="1"/>
  <c r="AA162" i="1"/>
  <c r="Z162" i="1"/>
  <c r="Y162" i="1"/>
  <c r="X162" i="1"/>
  <c r="W162" i="1"/>
  <c r="AA161" i="1"/>
  <c r="Z161" i="1"/>
  <c r="Y161" i="1"/>
  <c r="X161" i="1"/>
  <c r="W161" i="1"/>
  <c r="AA160" i="1"/>
  <c r="Z160" i="1"/>
  <c r="Y160" i="1"/>
  <c r="X160" i="1"/>
  <c r="W160" i="1"/>
  <c r="AA159" i="1"/>
  <c r="Z159" i="1"/>
  <c r="Y159" i="1"/>
  <c r="X159" i="1"/>
  <c r="W159" i="1"/>
  <c r="AA158" i="1"/>
  <c r="Z158" i="1"/>
  <c r="Y158" i="1"/>
  <c r="X158" i="1"/>
  <c r="W158" i="1"/>
  <c r="AA157" i="1"/>
  <c r="Z157" i="1"/>
  <c r="Y157" i="1"/>
  <c r="X157" i="1"/>
  <c r="W157" i="1"/>
  <c r="AA156" i="1"/>
  <c r="Z156" i="1"/>
  <c r="Y156" i="1"/>
  <c r="X156" i="1"/>
  <c r="W156" i="1"/>
  <c r="AA155" i="1"/>
  <c r="Z155" i="1"/>
  <c r="Y155" i="1"/>
  <c r="X155" i="1"/>
  <c r="W155" i="1"/>
  <c r="AA154" i="1"/>
  <c r="Z154" i="1"/>
  <c r="Y154" i="1"/>
  <c r="X154" i="1"/>
  <c r="W154" i="1"/>
  <c r="AA153" i="1"/>
  <c r="Z153" i="1"/>
  <c r="Y153" i="1"/>
  <c r="X153" i="1"/>
  <c r="W153" i="1"/>
  <c r="AA152" i="1"/>
  <c r="Z152" i="1"/>
  <c r="Y152" i="1"/>
  <c r="X152" i="1"/>
  <c r="W152" i="1"/>
  <c r="AA151" i="1"/>
  <c r="Z151" i="1"/>
  <c r="Y151" i="1"/>
  <c r="X151" i="1"/>
  <c r="W151" i="1"/>
  <c r="AA150" i="1"/>
  <c r="Z150" i="1"/>
  <c r="Y150" i="1"/>
  <c r="X150" i="1"/>
  <c r="W150" i="1"/>
  <c r="AA149" i="1"/>
  <c r="Z149" i="1"/>
  <c r="Y149" i="1"/>
  <c r="X149" i="1"/>
  <c r="W149" i="1"/>
  <c r="AA148" i="1"/>
  <c r="Z148" i="1"/>
  <c r="Y148" i="1"/>
  <c r="X148" i="1"/>
  <c r="W148" i="1"/>
  <c r="AA147" i="1"/>
  <c r="Z147" i="1"/>
  <c r="Y147" i="1"/>
  <c r="X147" i="1"/>
  <c r="W147" i="1"/>
  <c r="AA146" i="1"/>
  <c r="Z146" i="1"/>
  <c r="Y146" i="1"/>
  <c r="X146" i="1"/>
  <c r="W146" i="1"/>
  <c r="AA145" i="1"/>
  <c r="Z145" i="1"/>
  <c r="Y145" i="1"/>
  <c r="X145" i="1"/>
  <c r="W145" i="1"/>
  <c r="AA144" i="1"/>
  <c r="Z144" i="1"/>
  <c r="Y144" i="1"/>
  <c r="X144" i="1"/>
  <c r="W144" i="1"/>
  <c r="AA143" i="1"/>
  <c r="Z143" i="1"/>
  <c r="Y143" i="1"/>
  <c r="X143" i="1"/>
  <c r="W143" i="1"/>
  <c r="AA142" i="1"/>
  <c r="Z142" i="1"/>
  <c r="Y142" i="1"/>
  <c r="X142" i="1"/>
  <c r="W142" i="1"/>
  <c r="AA141" i="1"/>
  <c r="Z141" i="1"/>
  <c r="Y141" i="1"/>
  <c r="X141" i="1"/>
  <c r="W141" i="1"/>
  <c r="AA140" i="1"/>
  <c r="Z140" i="1"/>
  <c r="Y140" i="1"/>
  <c r="X140" i="1"/>
  <c r="W140" i="1"/>
  <c r="AA139" i="1"/>
  <c r="Z139" i="1"/>
  <c r="Y139" i="1"/>
  <c r="X139" i="1"/>
  <c r="W139" i="1"/>
  <c r="AA138" i="1"/>
  <c r="Z138" i="1"/>
  <c r="Y138" i="1"/>
  <c r="X138" i="1"/>
  <c r="W138" i="1"/>
  <c r="AA137" i="1"/>
  <c r="Z137" i="1"/>
  <c r="Y137" i="1"/>
  <c r="X137" i="1"/>
  <c r="W137" i="1"/>
  <c r="AA136" i="1"/>
  <c r="Z136" i="1"/>
  <c r="Y136" i="1"/>
  <c r="X136" i="1"/>
  <c r="W136" i="1"/>
  <c r="AA135" i="1"/>
  <c r="Z135" i="1"/>
  <c r="Y135" i="1"/>
  <c r="X135" i="1"/>
  <c r="W135" i="1"/>
  <c r="AA134" i="1"/>
  <c r="Z134" i="1"/>
  <c r="Y134" i="1"/>
  <c r="X134" i="1"/>
  <c r="W134" i="1"/>
  <c r="AA133" i="1"/>
  <c r="Z133" i="1"/>
  <c r="Y133" i="1"/>
  <c r="X133" i="1"/>
  <c r="W133" i="1"/>
  <c r="AA132" i="1"/>
  <c r="Z132" i="1"/>
  <c r="Y132" i="1"/>
  <c r="X132" i="1"/>
  <c r="W132" i="1"/>
  <c r="AA131" i="1"/>
  <c r="Z131" i="1"/>
  <c r="Y131" i="1"/>
  <c r="X131" i="1"/>
  <c r="W131" i="1"/>
  <c r="AA130" i="1"/>
  <c r="Z130" i="1"/>
  <c r="Y130" i="1"/>
  <c r="X130" i="1"/>
  <c r="W130" i="1"/>
  <c r="AA129" i="1"/>
  <c r="Z129" i="1"/>
  <c r="Y129" i="1"/>
  <c r="X129" i="1"/>
  <c r="W129" i="1"/>
  <c r="AA128" i="1"/>
  <c r="Z128" i="1"/>
  <c r="Y128" i="1"/>
  <c r="X128" i="1"/>
  <c r="W128" i="1"/>
  <c r="AA127" i="1"/>
  <c r="Z127" i="1"/>
  <c r="Y127" i="1"/>
  <c r="X127" i="1"/>
  <c r="W127" i="1"/>
  <c r="AA126" i="1"/>
  <c r="Z126" i="1"/>
  <c r="Y126" i="1"/>
  <c r="X126" i="1"/>
  <c r="W126" i="1"/>
  <c r="AA125" i="1"/>
  <c r="Z125" i="1"/>
  <c r="Y125" i="1"/>
  <c r="X125" i="1"/>
  <c r="W125" i="1"/>
  <c r="AA124" i="1"/>
  <c r="Z124" i="1"/>
  <c r="Y124" i="1"/>
  <c r="X124" i="1"/>
  <c r="W124" i="1"/>
  <c r="AA123" i="1"/>
  <c r="Z123" i="1"/>
  <c r="Y123" i="1"/>
  <c r="X123" i="1"/>
  <c r="W123" i="1"/>
  <c r="AA122" i="1"/>
  <c r="Z122" i="1"/>
  <c r="Y122" i="1"/>
  <c r="X122" i="1"/>
  <c r="W122" i="1"/>
  <c r="AA121" i="1"/>
  <c r="Z121" i="1"/>
  <c r="Y121" i="1"/>
  <c r="X121" i="1"/>
  <c r="W121" i="1"/>
  <c r="AA120" i="1"/>
  <c r="Z120" i="1"/>
  <c r="Y120" i="1"/>
  <c r="X120" i="1"/>
  <c r="W120" i="1"/>
  <c r="AA119" i="1"/>
  <c r="Z119" i="1"/>
  <c r="Y119" i="1"/>
  <c r="X119" i="1"/>
  <c r="W119" i="1"/>
  <c r="AA118" i="1"/>
  <c r="Z118" i="1"/>
  <c r="Y118" i="1"/>
  <c r="X118" i="1"/>
  <c r="W118" i="1"/>
  <c r="AA117" i="1"/>
  <c r="Z117" i="1"/>
  <c r="Y117" i="1"/>
  <c r="X117" i="1"/>
  <c r="W117" i="1"/>
  <c r="AA116" i="1"/>
  <c r="Z116" i="1"/>
  <c r="Y116" i="1"/>
  <c r="X116" i="1"/>
  <c r="W116" i="1"/>
  <c r="AA115" i="1"/>
  <c r="Z115" i="1"/>
  <c r="Y115" i="1"/>
  <c r="X115" i="1"/>
  <c r="W115" i="1"/>
  <c r="AA114" i="1"/>
  <c r="Z114" i="1"/>
  <c r="Y114" i="1"/>
  <c r="X114" i="1"/>
  <c r="W114" i="1"/>
  <c r="AA113" i="1"/>
  <c r="Z113" i="1"/>
  <c r="Y113" i="1"/>
  <c r="X113" i="1"/>
  <c r="W113" i="1"/>
  <c r="AA112" i="1"/>
  <c r="Z112" i="1"/>
  <c r="Y112" i="1"/>
  <c r="X112" i="1"/>
  <c r="W112" i="1"/>
  <c r="AA111" i="1"/>
  <c r="Z111" i="1"/>
  <c r="Y111" i="1"/>
  <c r="X111" i="1"/>
  <c r="W111" i="1"/>
  <c r="AA110" i="1"/>
  <c r="Z110" i="1"/>
  <c r="Y110" i="1"/>
  <c r="X110" i="1"/>
  <c r="W110" i="1"/>
  <c r="AA109" i="1"/>
  <c r="Z109" i="1"/>
  <c r="Y109" i="1"/>
  <c r="X109" i="1"/>
  <c r="W109" i="1"/>
  <c r="AA108" i="1"/>
  <c r="Z108" i="1"/>
  <c r="Y108" i="1"/>
  <c r="X108" i="1"/>
  <c r="W108" i="1"/>
  <c r="AA107" i="1"/>
  <c r="Z107" i="1"/>
  <c r="Y107" i="1"/>
  <c r="X107" i="1"/>
  <c r="W107" i="1"/>
  <c r="AA106" i="1"/>
  <c r="Z106" i="1"/>
  <c r="Y106" i="1"/>
  <c r="X106" i="1"/>
  <c r="W106" i="1"/>
  <c r="AA105" i="1"/>
  <c r="Z105" i="1"/>
  <c r="Y105" i="1"/>
  <c r="X105" i="1"/>
  <c r="W105" i="1"/>
  <c r="AA104" i="1"/>
  <c r="Z104" i="1"/>
  <c r="Y104" i="1"/>
  <c r="X104" i="1"/>
  <c r="W104" i="1"/>
  <c r="AA103" i="1"/>
  <c r="Z103" i="1"/>
  <c r="Y103" i="1"/>
  <c r="X103" i="1"/>
  <c r="W103" i="1"/>
  <c r="AA102" i="1"/>
  <c r="Z102" i="1"/>
  <c r="Y102" i="1"/>
  <c r="X102" i="1"/>
  <c r="W102" i="1"/>
  <c r="AA101" i="1"/>
  <c r="Z101" i="1"/>
  <c r="Y101" i="1"/>
  <c r="X101" i="1"/>
  <c r="W101" i="1"/>
  <c r="AA100" i="1"/>
  <c r="Z100" i="1"/>
  <c r="Y100" i="1"/>
  <c r="X100" i="1"/>
  <c r="W100" i="1"/>
  <c r="AA99" i="1"/>
  <c r="Z99" i="1"/>
  <c r="Y99" i="1"/>
  <c r="X99" i="1"/>
  <c r="W99" i="1"/>
  <c r="AA98" i="1"/>
  <c r="Z98" i="1"/>
  <c r="Y98" i="1"/>
  <c r="X98" i="1"/>
  <c r="W98" i="1"/>
  <c r="AA97" i="1"/>
  <c r="Z97" i="1"/>
  <c r="Y97" i="1"/>
  <c r="X97" i="1"/>
  <c r="W97" i="1"/>
  <c r="AA96" i="1"/>
  <c r="Z96" i="1"/>
  <c r="Y96" i="1"/>
  <c r="X96" i="1"/>
  <c r="W96" i="1"/>
  <c r="AA95" i="1"/>
  <c r="Z95" i="1"/>
  <c r="Y95" i="1"/>
  <c r="X95" i="1"/>
  <c r="W95" i="1"/>
  <c r="AA94" i="1"/>
  <c r="Z94" i="1"/>
  <c r="Y94" i="1"/>
  <c r="X94" i="1"/>
  <c r="W94" i="1"/>
  <c r="AA93" i="1"/>
  <c r="Z93" i="1"/>
  <c r="Y93" i="1"/>
  <c r="X93" i="1"/>
  <c r="W93" i="1"/>
  <c r="AA92" i="1"/>
  <c r="Z92" i="1"/>
  <c r="Y92" i="1"/>
  <c r="X92" i="1"/>
  <c r="W92" i="1"/>
  <c r="AA91" i="1"/>
  <c r="Z91" i="1"/>
  <c r="Y91" i="1"/>
  <c r="X91" i="1"/>
  <c r="W91" i="1"/>
  <c r="AA90" i="1"/>
  <c r="Z90" i="1"/>
  <c r="Y90" i="1"/>
  <c r="X90" i="1"/>
  <c r="W90" i="1"/>
  <c r="AA89" i="1"/>
  <c r="Z89" i="1"/>
  <c r="Y89" i="1"/>
  <c r="X89" i="1"/>
  <c r="W89" i="1"/>
  <c r="AA88" i="1"/>
  <c r="Z88" i="1"/>
  <c r="Y88" i="1"/>
  <c r="X88" i="1"/>
  <c r="W88" i="1"/>
  <c r="AA87" i="1"/>
  <c r="Z87" i="1"/>
  <c r="Y87" i="1"/>
  <c r="X87" i="1"/>
  <c r="W87" i="1"/>
  <c r="AA86" i="1"/>
  <c r="Z86" i="1"/>
  <c r="Y86" i="1"/>
  <c r="X86" i="1"/>
  <c r="W86" i="1"/>
  <c r="AA85" i="1"/>
  <c r="Z85" i="1"/>
  <c r="Y85" i="1"/>
  <c r="X85" i="1"/>
  <c r="W85" i="1"/>
  <c r="AA84" i="1"/>
  <c r="Z84" i="1"/>
  <c r="Y84" i="1"/>
  <c r="X84" i="1"/>
  <c r="W84" i="1"/>
  <c r="AA83" i="1"/>
  <c r="Z83" i="1"/>
  <c r="Y83" i="1"/>
  <c r="X83" i="1"/>
  <c r="W83" i="1"/>
  <c r="AA82" i="1"/>
  <c r="Z82" i="1"/>
  <c r="Y82" i="1"/>
  <c r="X82" i="1"/>
  <c r="W82" i="1"/>
  <c r="AA81" i="1"/>
  <c r="Z81" i="1"/>
  <c r="Y81" i="1"/>
  <c r="X81" i="1"/>
  <c r="W81" i="1"/>
  <c r="AA80" i="1"/>
  <c r="Z80" i="1"/>
  <c r="Y80" i="1"/>
  <c r="X80" i="1"/>
  <c r="W80" i="1"/>
  <c r="AA79" i="1"/>
  <c r="Z79" i="1"/>
  <c r="Y79" i="1"/>
  <c r="X79" i="1"/>
  <c r="W79" i="1"/>
  <c r="AA78" i="1"/>
  <c r="Z78" i="1"/>
  <c r="Y78" i="1"/>
  <c r="X78" i="1"/>
  <c r="W78" i="1"/>
  <c r="AA77" i="1"/>
  <c r="Z77" i="1"/>
  <c r="Y77" i="1"/>
  <c r="X77" i="1"/>
  <c r="W77" i="1"/>
  <c r="AA76" i="1"/>
  <c r="Z76" i="1"/>
  <c r="Y76" i="1"/>
  <c r="X76" i="1"/>
  <c r="W76" i="1"/>
  <c r="AA75" i="1"/>
  <c r="Z75" i="1"/>
  <c r="Y75" i="1"/>
  <c r="X75" i="1"/>
  <c r="W75" i="1"/>
  <c r="AA74" i="1"/>
  <c r="Z74" i="1"/>
  <c r="Y74" i="1"/>
  <c r="X74" i="1"/>
  <c r="W74" i="1"/>
  <c r="AA73" i="1"/>
  <c r="Z73" i="1"/>
  <c r="Y73" i="1"/>
  <c r="X73" i="1"/>
  <c r="W73" i="1"/>
  <c r="AA72" i="1"/>
  <c r="Z72" i="1"/>
  <c r="Y72" i="1"/>
  <c r="X72" i="1"/>
  <c r="W72" i="1"/>
  <c r="AA71" i="1"/>
  <c r="Z71" i="1"/>
  <c r="Y71" i="1"/>
  <c r="X71" i="1"/>
  <c r="W71" i="1"/>
  <c r="AA70" i="1"/>
  <c r="Z70" i="1"/>
  <c r="Y70" i="1"/>
  <c r="X70" i="1"/>
  <c r="W70" i="1"/>
  <c r="AA69" i="1"/>
  <c r="Z69" i="1"/>
  <c r="Y69" i="1"/>
  <c r="X69" i="1"/>
  <c r="W69" i="1"/>
  <c r="AA68" i="1"/>
  <c r="Z68" i="1"/>
  <c r="Y68" i="1"/>
  <c r="X68" i="1"/>
  <c r="W68" i="1"/>
  <c r="AA67" i="1"/>
  <c r="Z67" i="1"/>
  <c r="Y67" i="1"/>
  <c r="X67" i="1"/>
  <c r="W67" i="1"/>
  <c r="AA66" i="1"/>
  <c r="Z66" i="1"/>
  <c r="Y66" i="1"/>
  <c r="X66" i="1"/>
  <c r="W66" i="1"/>
  <c r="AA65" i="1"/>
  <c r="Z65" i="1"/>
  <c r="Y65" i="1"/>
  <c r="X65" i="1"/>
  <c r="W65" i="1"/>
  <c r="AA64" i="1"/>
  <c r="Z64" i="1"/>
  <c r="Y64" i="1"/>
  <c r="X64" i="1"/>
  <c r="W64" i="1"/>
  <c r="AA63" i="1"/>
  <c r="Z63" i="1"/>
  <c r="Y63" i="1"/>
  <c r="X63" i="1"/>
  <c r="W63" i="1"/>
  <c r="AA62" i="1"/>
  <c r="Z62" i="1"/>
  <c r="Y62" i="1"/>
  <c r="X62" i="1"/>
  <c r="W62" i="1"/>
  <c r="AA61" i="1"/>
  <c r="Z61" i="1"/>
  <c r="Y61" i="1"/>
  <c r="X61" i="1"/>
  <c r="W61" i="1"/>
  <c r="AA60" i="1"/>
  <c r="Z60" i="1"/>
  <c r="Y60" i="1"/>
  <c r="X60" i="1"/>
  <c r="W60" i="1"/>
  <c r="AA59" i="1"/>
  <c r="Z59" i="1"/>
  <c r="Y59" i="1"/>
  <c r="X59" i="1"/>
  <c r="W59" i="1"/>
  <c r="AA58" i="1"/>
  <c r="Z58" i="1"/>
  <c r="Y58" i="1"/>
  <c r="X58" i="1"/>
  <c r="W58" i="1"/>
  <c r="AA57" i="1"/>
  <c r="Z57" i="1"/>
  <c r="Y57" i="1"/>
  <c r="X57" i="1"/>
  <c r="W57" i="1"/>
  <c r="AA56" i="1"/>
  <c r="Z56" i="1"/>
  <c r="Y56" i="1"/>
  <c r="X56" i="1"/>
  <c r="W56" i="1"/>
  <c r="AA55" i="1"/>
  <c r="Z55" i="1"/>
  <c r="Y55" i="1"/>
  <c r="X55" i="1"/>
  <c r="W55" i="1"/>
  <c r="AA54" i="1"/>
  <c r="Z54" i="1"/>
  <c r="Y54" i="1"/>
  <c r="X54" i="1"/>
  <c r="W54" i="1"/>
  <c r="AA53" i="1"/>
  <c r="Z53" i="1"/>
  <c r="Y53" i="1"/>
  <c r="X53" i="1"/>
  <c r="W53" i="1"/>
  <c r="AA52" i="1"/>
  <c r="Z52" i="1"/>
  <c r="Y52" i="1"/>
  <c r="X52" i="1"/>
  <c r="W52" i="1"/>
  <c r="AA51" i="1"/>
  <c r="Z51" i="1"/>
  <c r="Y51" i="1"/>
  <c r="X51" i="1"/>
  <c r="W51" i="1"/>
  <c r="AA50" i="1"/>
  <c r="Z50" i="1"/>
  <c r="Y50" i="1"/>
  <c r="X50" i="1"/>
  <c r="W50" i="1"/>
  <c r="AA49" i="1"/>
  <c r="Z49" i="1"/>
  <c r="Y49" i="1"/>
  <c r="X49" i="1"/>
  <c r="W49" i="1"/>
  <c r="AA48" i="1"/>
  <c r="Z48" i="1"/>
  <c r="Y48" i="1"/>
  <c r="X48" i="1"/>
  <c r="W48" i="1"/>
  <c r="AA47" i="1"/>
  <c r="Z47" i="1"/>
  <c r="Y47" i="1"/>
  <c r="X47" i="1"/>
  <c r="W47" i="1"/>
  <c r="AA46" i="1"/>
  <c r="Z46" i="1"/>
  <c r="Y46" i="1"/>
  <c r="X46" i="1"/>
  <c r="W46" i="1"/>
  <c r="AA45" i="1"/>
  <c r="Z45" i="1"/>
  <c r="Y45" i="1"/>
  <c r="X45" i="1"/>
  <c r="W45" i="1"/>
  <c r="AA44" i="1"/>
  <c r="Z44" i="1"/>
  <c r="Y44" i="1"/>
  <c r="X44" i="1"/>
  <c r="W44" i="1"/>
  <c r="AA43" i="1"/>
  <c r="Z43" i="1"/>
  <c r="Y43" i="1"/>
  <c r="X43" i="1"/>
  <c r="W43" i="1"/>
  <c r="AA42" i="1"/>
  <c r="Z42" i="1"/>
  <c r="Y42" i="1"/>
  <c r="X42" i="1"/>
  <c r="W42" i="1"/>
  <c r="AA41" i="1"/>
  <c r="Z41" i="1"/>
  <c r="Y41" i="1"/>
  <c r="X41" i="1"/>
  <c r="W41" i="1"/>
  <c r="AA40" i="1"/>
  <c r="Z40" i="1"/>
  <c r="Y40" i="1"/>
  <c r="X40" i="1"/>
  <c r="W40" i="1"/>
  <c r="AA39" i="1"/>
  <c r="Z39" i="1"/>
  <c r="Y39" i="1"/>
  <c r="X39" i="1"/>
  <c r="W39" i="1"/>
  <c r="AA38" i="1"/>
  <c r="Z38" i="1"/>
  <c r="Y38" i="1"/>
  <c r="X38" i="1"/>
  <c r="W38" i="1"/>
  <c r="AA37" i="1"/>
  <c r="Z37" i="1"/>
  <c r="Y37" i="1"/>
  <c r="X37" i="1"/>
  <c r="W37" i="1"/>
  <c r="AA36" i="1"/>
  <c r="Z36" i="1"/>
  <c r="Y36" i="1"/>
  <c r="X36" i="1"/>
  <c r="W36" i="1"/>
  <c r="AA35" i="1"/>
  <c r="Z35" i="1"/>
  <c r="Y35" i="1"/>
  <c r="X35" i="1"/>
  <c r="W35" i="1"/>
  <c r="AA34" i="1"/>
  <c r="Z34" i="1"/>
  <c r="Y34" i="1"/>
  <c r="X34" i="1"/>
  <c r="W34" i="1"/>
  <c r="AA33" i="1"/>
  <c r="Z33" i="1"/>
  <c r="Y33" i="1"/>
  <c r="X33" i="1"/>
  <c r="W33" i="1"/>
  <c r="AA32" i="1"/>
  <c r="Z32" i="1"/>
  <c r="Y32" i="1"/>
  <c r="X32" i="1"/>
  <c r="W32" i="1"/>
  <c r="AA31" i="1"/>
  <c r="Z31" i="1"/>
  <c r="Y31" i="1"/>
  <c r="X31" i="1"/>
  <c r="W31" i="1"/>
  <c r="AA30" i="1"/>
  <c r="Z30" i="1"/>
  <c r="Y30" i="1"/>
  <c r="X30" i="1"/>
  <c r="W30" i="1"/>
  <c r="AA29" i="1"/>
  <c r="Z29" i="1"/>
  <c r="Y29" i="1"/>
  <c r="X29" i="1"/>
  <c r="W29" i="1"/>
  <c r="AA28" i="1"/>
  <c r="Z28" i="1"/>
  <c r="Y28" i="1"/>
  <c r="X28" i="1"/>
  <c r="W28" i="1"/>
  <c r="AA27" i="1"/>
  <c r="Z27" i="1"/>
  <c r="Y27" i="1"/>
  <c r="X27" i="1"/>
  <c r="W27" i="1"/>
  <c r="AA26" i="1"/>
  <c r="Z26" i="1"/>
  <c r="Y26" i="1"/>
  <c r="X26" i="1"/>
  <c r="W26" i="1"/>
  <c r="AA25" i="1"/>
  <c r="Z25" i="1"/>
  <c r="Y25" i="1"/>
  <c r="X25" i="1"/>
  <c r="W25" i="1"/>
  <c r="AA24" i="1"/>
  <c r="Z24" i="1"/>
  <c r="Y24" i="1"/>
  <c r="X24" i="1"/>
  <c r="W24" i="1"/>
  <c r="AA23" i="1"/>
  <c r="Z23" i="1"/>
  <c r="Y23" i="1"/>
  <c r="X23" i="1"/>
  <c r="W23" i="1"/>
  <c r="AA22" i="1"/>
  <c r="Z22" i="1"/>
  <c r="Y22" i="1"/>
  <c r="X22" i="1"/>
  <c r="W22" i="1"/>
  <c r="AA21" i="1"/>
  <c r="Z21" i="1"/>
  <c r="Y21" i="1"/>
  <c r="X21" i="1"/>
  <c r="W21" i="1"/>
  <c r="AA20" i="1"/>
  <c r="Z20" i="1"/>
  <c r="Y20" i="1"/>
  <c r="X20" i="1"/>
  <c r="W20" i="1"/>
  <c r="AA19" i="1"/>
  <c r="Z19" i="1"/>
  <c r="Y19" i="1"/>
  <c r="X19" i="1"/>
  <c r="W19" i="1"/>
  <c r="AA18" i="1"/>
  <c r="Z18" i="1"/>
  <c r="Y18" i="1"/>
  <c r="X18" i="1"/>
  <c r="W18" i="1"/>
  <c r="AA17" i="1"/>
  <c r="Z17" i="1"/>
  <c r="Y17" i="1"/>
  <c r="X17" i="1"/>
  <c r="W17" i="1"/>
  <c r="AA16" i="1"/>
  <c r="Z16" i="1"/>
  <c r="Y16" i="1"/>
  <c r="X16" i="1"/>
  <c r="W16" i="1"/>
  <c r="AA15" i="1"/>
  <c r="Z15" i="1"/>
  <c r="Y15" i="1"/>
  <c r="X15" i="1"/>
  <c r="W15" i="1"/>
  <c r="AA14" i="1"/>
  <c r="Z14" i="1"/>
  <c r="Y14" i="1"/>
  <c r="X14" i="1"/>
  <c r="W14" i="1"/>
  <c r="AA13" i="1"/>
  <c r="Z13" i="1"/>
  <c r="Y13" i="1"/>
  <c r="X13" i="1"/>
  <c r="W13" i="1"/>
  <c r="AA12" i="1"/>
  <c r="Z12" i="1"/>
  <c r="Y12" i="1"/>
  <c r="X12" i="1"/>
  <c r="W12" i="1"/>
  <c r="AA11" i="1"/>
  <c r="Z11" i="1"/>
  <c r="Y11" i="1"/>
  <c r="X11" i="1"/>
  <c r="W11" i="1"/>
  <c r="AA10" i="1"/>
  <c r="Z10" i="1"/>
  <c r="Y10" i="1"/>
  <c r="X10" i="1"/>
  <c r="W10" i="1"/>
  <c r="AA9" i="1"/>
  <c r="Z9" i="1"/>
  <c r="Y9" i="1"/>
  <c r="X9" i="1"/>
  <c r="W9" i="1"/>
  <c r="AA8" i="1"/>
  <c r="Z8" i="1"/>
  <c r="Y8" i="1"/>
  <c r="X8" i="1"/>
  <c r="W8" i="1"/>
  <c r="AA7" i="1"/>
  <c r="Z7" i="1"/>
  <c r="Y7" i="1"/>
  <c r="X7" i="1"/>
  <c r="W7" i="1"/>
  <c r="AB6" i="1"/>
  <c r="AA6" i="1"/>
  <c r="Z6" i="1"/>
  <c r="Y6" i="1"/>
  <c r="X6" i="1"/>
  <c r="W6" i="1"/>
  <c r="Z5" i="1"/>
  <c r="Y5" i="1"/>
  <c r="W5" i="1"/>
  <c r="E3" i="2"/>
  <c r="F3" i="2" s="1"/>
  <c r="E2" i="2" a="1"/>
  <c r="E2" i="2"/>
  <c r="F2" i="2" s="1"/>
  <c r="X198" i="1" l="1"/>
  <c r="X197" i="1"/>
  <c r="W197" i="1"/>
  <c r="B16" i="3" l="1" a="1"/>
  <c r="B16" i="3" s="1"/>
  <c r="B15" i="3" a="1"/>
  <c r="B15" i="3" s="1"/>
  <c r="B14" i="3" a="1"/>
  <c r="B14" i="3" s="1"/>
  <c r="B13" i="3" a="1"/>
  <c r="B13" i="3" s="1"/>
  <c r="B12" i="3" a="1"/>
  <c r="B12" i="3" s="1"/>
  <c r="B11" i="3" a="1"/>
  <c r="B11" i="3" s="1"/>
  <c r="B10" i="3" a="1"/>
  <c r="B10" i="3" s="1"/>
  <c r="B9" i="3" a="1"/>
  <c r="B9" i="3" s="1"/>
  <c r="B8" i="3" a="1"/>
  <c r="B8" i="3" s="1"/>
  <c r="B7" i="3" a="1"/>
  <c r="B7" i="3" s="1"/>
  <c r="B6" i="3" a="1"/>
  <c r="B6" i="3" s="1"/>
  <c r="B5" i="3" a="1"/>
  <c r="B5" i="3" s="1"/>
  <c r="E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<sst xmlns="http://schemas.openxmlformats.org/spreadsheetml/2006/main" count="702" uniqueCount="354">
  <si>
    <t>Rótulos de Linha</t>
  </si>
  <si>
    <t>Soma de Investido Mês</t>
  </si>
  <si>
    <t>Ano</t>
  </si>
  <si>
    <t>Média Mês</t>
  </si>
  <si>
    <t>Média diária</t>
  </si>
  <si>
    <t>Janeiro</t>
  </si>
  <si>
    <t>Fevereiro</t>
  </si>
  <si>
    <t>Março</t>
  </si>
  <si>
    <t>Abril</t>
  </si>
  <si>
    <t>Valores</t>
  </si>
  <si>
    <t>Maio</t>
  </si>
  <si>
    <t>Máx. de Saldo em caixa</t>
  </si>
  <si>
    <t>Mín. de Saldo em caixa</t>
  </si>
  <si>
    <t>Junho</t>
  </si>
  <si>
    <t>Julho</t>
  </si>
  <si>
    <t>Outubro</t>
  </si>
  <si>
    <t>Novembro</t>
  </si>
  <si>
    <t>Dezembro</t>
  </si>
  <si>
    <t>Total Geral</t>
  </si>
  <si>
    <t>15/02/2025</t>
  </si>
  <si>
    <t>16/02/2025</t>
  </si>
  <si>
    <t>17/02/2025</t>
  </si>
  <si>
    <t>18/02/2025</t>
  </si>
  <si>
    <t>19/02/2025</t>
  </si>
  <si>
    <t>20/02/2025</t>
  </si>
  <si>
    <t>22/02/2025</t>
  </si>
  <si>
    <t>23/02/2025</t>
  </si>
  <si>
    <t>24/02/2025</t>
  </si>
  <si>
    <t>25/02/2025</t>
  </si>
  <si>
    <t>26/02/2025</t>
  </si>
  <si>
    <t>28/02/2025</t>
  </si>
  <si>
    <t>07/05/2025</t>
  </si>
  <si>
    <t>08/06/2025</t>
  </si>
  <si>
    <t>09/06/2025</t>
  </si>
  <si>
    <t>10/06/2025</t>
  </si>
  <si>
    <t>11/06/2025</t>
  </si>
  <si>
    <t>12/06/2025</t>
  </si>
  <si>
    <t>14/06/2025</t>
  </si>
  <si>
    <t>15/06/2025</t>
  </si>
  <si>
    <t>24/06/2025</t>
  </si>
  <si>
    <t>14/07/2025</t>
  </si>
  <si>
    <t>18/07/2025</t>
  </si>
  <si>
    <t>09/11/2025</t>
  </si>
  <si>
    <t>16/11/2025</t>
  </si>
  <si>
    <t>07/12/2025</t>
  </si>
  <si>
    <t>09/12/2025</t>
  </si>
  <si>
    <t>11/12/2025</t>
  </si>
  <si>
    <t>10/01/2026</t>
  </si>
  <si>
    <t>11/01/2026</t>
  </si>
  <si>
    <t>12/01/2026</t>
  </si>
  <si>
    <t>14/01/2026</t>
  </si>
  <si>
    <t>16/01/2026</t>
  </si>
  <si>
    <t>17/01/2026</t>
  </si>
  <si>
    <t>18/01/2026</t>
  </si>
  <si>
    <t>19/01/2026</t>
  </si>
  <si>
    <t>26/01/2026</t>
  </si>
  <si>
    <t>29/01/2026</t>
  </si>
  <si>
    <t>09/02/2026</t>
  </si>
  <si>
    <t>10/02/2026</t>
  </si>
  <si>
    <t>Dados Financeiros</t>
  </si>
  <si>
    <t>Capital investido</t>
  </si>
  <si>
    <t>Capital total</t>
  </si>
  <si>
    <t>Lucro</t>
  </si>
  <si>
    <t>Pagamento De funcionários</t>
  </si>
  <si>
    <t>Caixinha 2026</t>
  </si>
  <si>
    <t>Saldo em caixa</t>
  </si>
  <si>
    <t>Saldo projetado</t>
  </si>
  <si>
    <t>CDB</t>
  </si>
  <si>
    <t>CDB 2026</t>
  </si>
  <si>
    <t>Ação/BDR</t>
  </si>
  <si>
    <t>Dolar</t>
  </si>
  <si>
    <t>FII</t>
  </si>
  <si>
    <t>Caixa 2</t>
  </si>
  <si>
    <t>Empréstimo</t>
  </si>
  <si>
    <t>Crypto</t>
  </si>
  <si>
    <t>Day trade</t>
  </si>
  <si>
    <t>ETF</t>
  </si>
  <si>
    <t>Tesouro direto</t>
  </si>
  <si>
    <t>Fundos de investimento</t>
  </si>
  <si>
    <t>preço de mercado</t>
  </si>
  <si>
    <t>Data</t>
  </si>
  <si>
    <t>Hora</t>
  </si>
  <si>
    <t>% lucro</t>
  </si>
  <si>
    <t>Variação no Período</t>
  </si>
  <si>
    <t>Mês</t>
  </si>
  <si>
    <t>Investido Mês</t>
  </si>
  <si>
    <t>-</t>
  </si>
  <si>
    <t>11:39:45</t>
  </si>
  <si>
    <t>Índice</t>
  </si>
  <si>
    <t>16:32:49</t>
  </si>
  <si>
    <t>18:02:53</t>
  </si>
  <si>
    <t>18:03:11</t>
  </si>
  <si>
    <t>18:00:40</t>
  </si>
  <si>
    <t>18:02:42</t>
  </si>
  <si>
    <t>18:00:47</t>
  </si>
  <si>
    <t>11:33:35</t>
  </si>
  <si>
    <t>23:40:46</t>
  </si>
  <si>
    <t>18:04:05</t>
  </si>
  <si>
    <t>18:49:41</t>
  </si>
  <si>
    <t>18:54:49</t>
  </si>
  <si>
    <t>20:32:20</t>
  </si>
  <si>
    <t>18:04:04</t>
  </si>
  <si>
    <t>18:01:22</t>
  </si>
  <si>
    <t>20:05:54</t>
  </si>
  <si>
    <t>13:07:22</t>
  </si>
  <si>
    <t>20:14:40</t>
  </si>
  <si>
    <t>18:01:43</t>
  </si>
  <si>
    <t>18:00:01</t>
  </si>
  <si>
    <t>18:03:50</t>
  </si>
  <si>
    <t>18:01:30</t>
  </si>
  <si>
    <t>18:01:35</t>
  </si>
  <si>
    <t>22:28:00</t>
  </si>
  <si>
    <t>18:16:40</t>
  </si>
  <si>
    <t>18:18:11</t>
  </si>
  <si>
    <t>18:01:56</t>
  </si>
  <si>
    <t>20:00:43</t>
  </si>
  <si>
    <t>20:22:19</t>
  </si>
  <si>
    <t>20:24:40</t>
  </si>
  <si>
    <t>20:25:30</t>
  </si>
  <si>
    <t>18:44:39</t>
  </si>
  <si>
    <t>20:18:59</t>
  </si>
  <si>
    <t>20:29:58</t>
  </si>
  <si>
    <t>19:29:29</t>
  </si>
  <si>
    <t>19:35:30</t>
  </si>
  <si>
    <t>18:00:35</t>
  </si>
  <si>
    <t>10:16:39</t>
  </si>
  <si>
    <t>10:40:37</t>
  </si>
  <si>
    <t>19:24:15</t>
  </si>
  <si>
    <t>20:25:35</t>
  </si>
  <si>
    <t>18:58:59</t>
  </si>
  <si>
    <t>20:08:28</t>
  </si>
  <si>
    <t>19:22:38</t>
  </si>
  <si>
    <t>01/03/2025</t>
  </si>
  <si>
    <t>19:22:21</t>
  </si>
  <si>
    <t>05/03/2025</t>
  </si>
  <si>
    <t>13:40:43</t>
  </si>
  <si>
    <t>18:06:09</t>
  </si>
  <si>
    <t>06/03/2025</t>
  </si>
  <si>
    <t>21:34:46</t>
  </si>
  <si>
    <t>07/03/2025</t>
  </si>
  <si>
    <t>19:01:53</t>
  </si>
  <si>
    <t>08/03/2025</t>
  </si>
  <si>
    <t>17:19:01</t>
  </si>
  <si>
    <t>09/03/2025</t>
  </si>
  <si>
    <t>20:31:39</t>
  </si>
  <si>
    <t>10/03/2025</t>
  </si>
  <si>
    <t>18:01:06</t>
  </si>
  <si>
    <t>11/03/2025</t>
  </si>
  <si>
    <t>18:04:34</t>
  </si>
  <si>
    <t>22:54:48</t>
  </si>
  <si>
    <t>12/03/2025</t>
  </si>
  <si>
    <t>21:31:57</t>
  </si>
  <si>
    <t>13/03/2025</t>
  </si>
  <si>
    <t>21:42:20</t>
  </si>
  <si>
    <t>14/03/2025</t>
  </si>
  <si>
    <t>18:19:06</t>
  </si>
  <si>
    <t>21:49:06</t>
  </si>
  <si>
    <t>18/03/2025</t>
  </si>
  <si>
    <t>11:27:58</t>
  </si>
  <si>
    <t>11:37:00</t>
  </si>
  <si>
    <t>11:52:28</t>
  </si>
  <si>
    <t>19:13:47</t>
  </si>
  <si>
    <t>21:54:15</t>
  </si>
  <si>
    <t>20/03/2025</t>
  </si>
  <si>
    <t>22:40:29</t>
  </si>
  <si>
    <t>21/03/2025</t>
  </si>
  <si>
    <t>17:12:34</t>
  </si>
  <si>
    <t>17:26:13</t>
  </si>
  <si>
    <t>17:37:46</t>
  </si>
  <si>
    <t>18:39:36</t>
  </si>
  <si>
    <t>24/03/2025</t>
  </si>
  <si>
    <t>18:58:19</t>
  </si>
  <si>
    <t>25/03/2025</t>
  </si>
  <si>
    <t>20:17:10</t>
  </si>
  <si>
    <t>26/03/2025</t>
  </si>
  <si>
    <t>19:16:16</t>
  </si>
  <si>
    <t>27/03/2025</t>
  </si>
  <si>
    <t>20:01:18</t>
  </si>
  <si>
    <t>20:06:06</t>
  </si>
  <si>
    <t>28/03/2025</t>
  </si>
  <si>
    <t>18:26:30</t>
  </si>
  <si>
    <t>18:36:24</t>
  </si>
  <si>
    <t>31/03/2025</t>
  </si>
  <si>
    <t>12:20:03</t>
  </si>
  <si>
    <t>18:10:44</t>
  </si>
  <si>
    <t>01/04/2025</t>
  </si>
  <si>
    <t>18:19:51</t>
  </si>
  <si>
    <t>02/04/2025</t>
  </si>
  <si>
    <t>20:46:31</t>
  </si>
  <si>
    <t>03/04/2025</t>
  </si>
  <si>
    <t>19:46:18</t>
  </si>
  <si>
    <t>04/04/2025</t>
  </si>
  <si>
    <t>21:38:56</t>
  </si>
  <si>
    <t>06/04/2025</t>
  </si>
  <si>
    <t>21:06:07</t>
  </si>
  <si>
    <t>21:10:31</t>
  </si>
  <si>
    <t>07/04/2025</t>
  </si>
  <si>
    <t>19:39:54</t>
  </si>
  <si>
    <t>20:09:19</t>
  </si>
  <si>
    <t>09/04/2025</t>
  </si>
  <si>
    <t>06:19:13</t>
  </si>
  <si>
    <t>22:31:14</t>
  </si>
  <si>
    <t>10/04/2025</t>
  </si>
  <si>
    <t>18:28:23</t>
  </si>
  <si>
    <t>21:47:13</t>
  </si>
  <si>
    <t>11/04/2025</t>
  </si>
  <si>
    <t>21:38:15</t>
  </si>
  <si>
    <t>21:43:29</t>
  </si>
  <si>
    <t>12/04/2025</t>
  </si>
  <si>
    <t>17:02:29</t>
  </si>
  <si>
    <t>17:04:25</t>
  </si>
  <si>
    <t>15/04/2025</t>
  </si>
  <si>
    <t>18:45:40</t>
  </si>
  <si>
    <t>16/04/2025</t>
  </si>
  <si>
    <t>18/04/2025</t>
  </si>
  <si>
    <t>21:41:39</t>
  </si>
  <si>
    <t>20/04/2025</t>
  </si>
  <si>
    <t>15:55:18</t>
  </si>
  <si>
    <t>16:07:08</t>
  </si>
  <si>
    <t>24/04/2025</t>
  </si>
  <si>
    <t>09:52:07</t>
  </si>
  <si>
    <t>09:57:06</t>
  </si>
  <si>
    <t>21:48:55</t>
  </si>
  <si>
    <t>27/04/2025</t>
  </si>
  <si>
    <t>18:50:02</t>
  </si>
  <si>
    <t>28/04/2025</t>
  </si>
  <si>
    <t>21:26:50</t>
  </si>
  <si>
    <t>29/04/2025</t>
  </si>
  <si>
    <t>21:36:06</t>
  </si>
  <si>
    <t>03/05/2025</t>
  </si>
  <si>
    <t>14:22:09</t>
  </si>
  <si>
    <t>23:50:59</t>
  </si>
  <si>
    <t>23:54:59</t>
  </si>
  <si>
    <t>23:27:14</t>
  </si>
  <si>
    <t>23:33:05</t>
  </si>
  <si>
    <t>23:44:03</t>
  </si>
  <si>
    <t>10:42:43</t>
  </si>
  <si>
    <t>22:07:40</t>
  </si>
  <si>
    <t>23:24:48</t>
  </si>
  <si>
    <t>22:39:34</t>
  </si>
  <si>
    <t>21:12:33</t>
  </si>
  <si>
    <t>21:32:01</t>
  </si>
  <si>
    <t>21:44:20</t>
  </si>
  <si>
    <t>10:21:07</t>
  </si>
  <si>
    <t>08:18:01</t>
  </si>
  <si>
    <t>20:49:35</t>
  </si>
  <si>
    <t>22:47:07</t>
  </si>
  <si>
    <t>23:03:14</t>
  </si>
  <si>
    <t>10:01:21</t>
  </si>
  <si>
    <t>23:14:02</t>
  </si>
  <si>
    <t>10:12:44</t>
  </si>
  <si>
    <t>06:33:09</t>
  </si>
  <si>
    <t>06:34:48</t>
  </si>
  <si>
    <t>06:32:55</t>
  </si>
  <si>
    <t>10:19:29</t>
  </si>
  <si>
    <t>10:25:25</t>
  </si>
  <si>
    <t>21:23:15</t>
  </si>
  <si>
    <t>23:34:05</t>
  </si>
  <si>
    <t>23:42:30</t>
  </si>
  <si>
    <t>23:48:00</t>
  </si>
  <si>
    <t>23:48:28</t>
  </si>
  <si>
    <t>10:30:50</t>
  </si>
  <si>
    <t>00:21:44</t>
  </si>
  <si>
    <t>23:56:07</t>
  </si>
  <si>
    <t>17:40:31</t>
  </si>
  <si>
    <t>14:47:18</t>
  </si>
  <si>
    <t>23:53:42</t>
  </si>
  <si>
    <t>02/07/2025</t>
  </si>
  <si>
    <t>04/07/2025</t>
  </si>
  <si>
    <t>21:06:13</t>
  </si>
  <si>
    <t>21:16:49</t>
  </si>
  <si>
    <t>10:33:01</t>
  </si>
  <si>
    <t>01:05:53</t>
  </si>
  <si>
    <t>06/10/2025</t>
  </si>
  <si>
    <t>21:34:52</t>
  </si>
  <si>
    <t>17:03:40</t>
  </si>
  <si>
    <t>17:20:30</t>
  </si>
  <si>
    <t>10:24:17</t>
  </si>
  <si>
    <t>06/12/2025</t>
  </si>
  <si>
    <t>21:52:13</t>
  </si>
  <si>
    <t>22:14:44</t>
  </si>
  <si>
    <t>10:47:51</t>
  </si>
  <si>
    <t>10:49:31</t>
  </si>
  <si>
    <t>23:09:26</t>
  </si>
  <si>
    <t>21:15:54</t>
  </si>
  <si>
    <t>21:23:35</t>
  </si>
  <si>
    <t>21:33:23</t>
  </si>
  <si>
    <t>21:50:13</t>
  </si>
  <si>
    <t>22:18:58</t>
  </si>
  <si>
    <t>19:30:25</t>
  </si>
  <si>
    <t>08:51:54</t>
  </si>
  <si>
    <t>23:13:30</t>
  </si>
  <si>
    <t>18:55:09</t>
  </si>
  <si>
    <t>23:11:12</t>
  </si>
  <si>
    <t>13:09:52</t>
  </si>
  <si>
    <t>19:29:32</t>
  </si>
  <si>
    <t>20:07:19</t>
  </si>
  <si>
    <t>01:03:38</t>
  </si>
  <si>
    <t>22:11:22</t>
  </si>
  <si>
    <t>22:17:19</t>
  </si>
  <si>
    <t>23:05:27</t>
  </si>
  <si>
    <t>21:35:12</t>
  </si>
  <si>
    <t>23:41:10</t>
  </si>
  <si>
    <t>23:09:14</t>
  </si>
  <si>
    <t>06:32:36</t>
  </si>
  <si>
    <t>16:02:05</t>
  </si>
  <si>
    <t>21:48:22</t>
  </si>
  <si>
    <t>13:58:35</t>
  </si>
  <si>
    <t>15:15:39</t>
  </si>
  <si>
    <t>09:16:08</t>
  </si>
  <si>
    <t>21:15:03</t>
  </si>
  <si>
    <t>12:56:56</t>
  </si>
  <si>
    <t>12:59:36</t>
  </si>
  <si>
    <t>01/02/2026</t>
  </si>
  <si>
    <t>20:33:54</t>
  </si>
  <si>
    <t>02/02/2026</t>
  </si>
  <si>
    <t>12:59:38</t>
  </si>
  <si>
    <t>19:03:52</t>
  </si>
  <si>
    <t>03/02/2026</t>
  </si>
  <si>
    <t>20:29:49</t>
  </si>
  <si>
    <t>21:59:47</t>
  </si>
  <si>
    <t>20:29:38</t>
  </si>
  <si>
    <t>20:32:54</t>
  </si>
  <si>
    <t>20:34:11</t>
  </si>
  <si>
    <t>12:22:28</t>
  </si>
  <si>
    <t>19:11:08</t>
  </si>
  <si>
    <t>20:11:27</t>
  </si>
  <si>
    <t>12:54:06</t>
  </si>
  <si>
    <t>12:49:27</t>
  </si>
  <si>
    <t>11/02/2026</t>
  </si>
  <si>
    <t>12:09:36</t>
  </si>
  <si>
    <t>13:00:54</t>
  </si>
  <si>
    <t>12/02/2026</t>
  </si>
  <si>
    <t>13/02/2026</t>
  </si>
  <si>
    <t>12:58:32</t>
  </si>
  <si>
    <t>26/02/2026</t>
  </si>
  <si>
    <t>21:40:52</t>
  </si>
  <si>
    <t>21:41:26</t>
  </si>
  <si>
    <t>27/02/2026</t>
  </si>
  <si>
    <t>18:37:34</t>
  </si>
  <si>
    <t>01/03/2026</t>
  </si>
  <si>
    <t>13:46:05</t>
  </si>
  <si>
    <t>03/03/2026</t>
  </si>
  <si>
    <t>19:14:45</t>
  </si>
  <si>
    <t>07/03/2026</t>
  </si>
  <si>
    <t>12:57:42</t>
  </si>
  <si>
    <t>13:06:37</t>
  </si>
  <si>
    <t>15:29:15</t>
  </si>
  <si>
    <t>Valores acumulados em meses</t>
  </si>
  <si>
    <t>Valor</t>
  </si>
  <si>
    <t>Total</t>
  </si>
  <si>
    <t>jan/25</t>
  </si>
  <si>
    <t>fev/25</t>
  </si>
  <si>
    <t>mar/25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</si>
</sst>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_-&quot;R$&quot;\ * #,##0.00000_-;\-&quot;R$&quot;\ * #,##0.00000_-;_-&quot;R$&quot;\ * &quot;-&quot;??_-;_-@_-"/>
    <numFmt numFmtId="165" formatCode="0.000%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rial Narrow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64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6" borderId="4" xfId="0" applyFill="1" applyBorder="1"/>
    <xf numFmtId="0" fontId="0" fillId="8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17" fontId="3" fillId="0" borderId="5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1" fillId="0" borderId="4" xfId="1" applyNumberFormat="1" applyBorder="1" applyAlignment="1">
      <alignment horizontal="center" vertical="center"/>
    </xf>
    <xf numFmtId="14" fontId="1" fillId="5" borderId="6" xfId="1" applyNumberFormat="1" applyFill="1" applyBorder="1" applyAlignment="1">
      <alignment horizontal="center" vertical="center"/>
    </xf>
    <xf numFmtId="14" fontId="1" fillId="5" borderId="4" xfId="1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" fontId="1" fillId="0" borderId="4" xfId="1" applyNumberFormat="1" applyBorder="1" applyAlignment="1">
      <alignment horizontal="center" vertical="center"/>
    </xf>
    <xf numFmtId="0" fontId="0" fillId="0" borderId="0" xfId="0" pivotButton="1"/>
    <xf numFmtId="1" fontId="0" fillId="0" borderId="4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6" xfId="1" applyNumberFormat="1" applyBorder="1" applyAlignment="1">
      <alignment horizontal="center" vertical="center"/>
    </xf>
    <xf numFmtId="44" fontId="1" fillId="0" borderId="0" xfId="1"/>
    <xf numFmtId="44" fontId="1" fillId="0" borderId="0" xfId="1" applyAlignment="1">
      <alignment horizontal="center" vertical="center"/>
    </xf>
    <xf numFmtId="44" fontId="1" fillId="0" borderId="1" xfId="1" applyBorder="1" applyAlignment="1">
      <alignment horizontal="center" vertical="center" wrapText="1"/>
    </xf>
    <xf numFmtId="44" fontId="1" fillId="0" borderId="2" xfId="1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44" fontId="1" fillId="0" borderId="7" xfId="1" applyBorder="1" applyAlignment="1">
      <alignment horizontal="center" vertical="center"/>
    </xf>
    <xf numFmtId="44" fontId="1" fillId="0" borderId="4" xfId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5" fontId="1" fillId="0" borderId="4" xfId="2" applyNumberFormat="1" applyBorder="1" applyAlignment="1">
      <alignment horizontal="center" vertical="center"/>
    </xf>
    <xf numFmtId="44" fontId="1" fillId="0" borderId="8" xfId="1" applyBorder="1" applyAlignment="1">
      <alignment horizontal="center" vertical="center"/>
    </xf>
    <xf numFmtId="165" fontId="0" fillId="0" borderId="4" xfId="2" applyNumberFormat="1" applyFont="1" applyBorder="1" applyAlignment="1">
      <alignment horizontal="center" vertical="center"/>
    </xf>
    <xf numFmtId="166" fontId="0" fillId="0" borderId="0" xfId="0" applyNumberFormat="1"/>
    <xf numFmtId="44" fontId="1" fillId="0" borderId="5" xfId="1" applyBorder="1" applyAlignment="1">
      <alignment horizontal="center" vertical="center"/>
    </xf>
    <xf numFmtId="44" fontId="1" fillId="0" borderId="6" xfId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165" fontId="1" fillId="0" borderId="6" xfId="2" applyNumberFormat="1" applyBorder="1" applyAlignment="1">
      <alignment horizontal="center" vertical="center"/>
    </xf>
    <xf numFmtId="44" fontId="0" fillId="0" borderId="0" xfId="0" applyNumberFormat="1"/>
    <xf numFmtId="44" fontId="1" fillId="0" borderId="11" xfId="1" applyBorder="1" applyAlignment="1">
      <alignment horizontal="center" vertical="center"/>
    </xf>
    <xf numFmtId="44" fontId="0" fillId="8" borderId="7" xfId="1" applyFont="1" applyFill="1" applyBorder="1" applyAlignment="1">
      <alignment horizontal="center" vertical="center"/>
    </xf>
    <xf numFmtId="44" fontId="1" fillId="0" borderId="10" xfId="1" applyBorder="1"/>
    <xf numFmtId="44" fontId="0" fillId="7" borderId="4" xfId="0" applyNumberFormat="1" applyFill="1" applyBorder="1"/>
    <xf numFmtId="164" fontId="1" fillId="0" borderId="6" xfId="1" applyNumberForma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44" fontId="1" fillId="0" borderId="0" xfId="1"/>
    <xf numFmtId="44" fontId="1" fillId="0" borderId="0" xfId="1" applyAlignment="1">
      <alignment horizontal="center" vertical="center"/>
    </xf>
    <xf numFmtId="0" fontId="0" fillId="0" borderId="0" xfId="0"/>
    <xf numFmtId="0" fontId="0" fillId="0" borderId="9" xfId="0" applyBorder="1"/>
    <xf numFmtId="44" fontId="1" fillId="0" borderId="6" xfId="1" applyFill="1" applyBorder="1" applyAlignment="1">
      <alignment horizontal="center" vertical="center"/>
    </xf>
    <xf numFmtId="44" fontId="1" fillId="0" borderId="5" xfId="1" applyFill="1" applyBorder="1" applyAlignment="1">
      <alignment horizontal="center" vertical="center"/>
    </xf>
    <xf numFmtId="164" fontId="1" fillId="0" borderId="6" xfId="1" applyNumberFormat="1" applyFill="1" applyBorder="1" applyAlignment="1">
      <alignment horizontal="center" vertical="center"/>
    </xf>
    <xf numFmtId="165" fontId="1" fillId="0" borderId="6" xfId="2" applyNumberFormat="1" applyFill="1" applyBorder="1" applyAlignment="1">
      <alignment horizontal="center" vertical="center"/>
    </xf>
    <xf numFmtId="1" fontId="1" fillId="0" borderId="6" xfId="1" applyNumberFormat="1" applyFill="1" applyBorder="1" applyAlignment="1">
      <alignment horizontal="center" vertical="center"/>
    </xf>
    <xf numFmtId="44" fontId="0" fillId="5" borderId="0" xfId="0" applyNumberFormat="1" applyFont="1" applyFill="1" applyBorder="1" applyAlignment="1" applyProtection="1"/>
    <xf numFmtId="44" fontId="1" fillId="0" borderId="10" xfId="1" applyFill="1" applyBorder="1"/>
  </cellXfs>
  <cellStyles count="3">
    <cellStyle name="Moeda" xfId="1" builtinId="4"/>
    <cellStyle name="Normal" xfId="0" builtinId="0"/>
    <cellStyle name="Porcentagem" xfId="2" builtinId="5"/>
  </cellStyles>
  <dxfs count="45">
    <dxf>
      <font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&quot;R$&quot;\ * #,##0.00000_-;\-&quot;R$&quot;\ * #,##0.00000_-;_-&quot;R$&quot;\ 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</dxfs>
  <tableStyles count="2" defaultTableStyle="TableStyleMedium2" defaultPivotStyle="PivotStyleLight16">
    <tableStyle name="Estilo de Tabela Dinâmica 1" table="0" count="0" xr9:uid="{00000000-0011-0000-FFFF-FFFF00000000}"/>
    <tableStyle name="Estilo de Tabela Dinâmica 2" table="0" count="1" xr9:uid="{00000000-0011-0000-FFFF-FFFF01000000}">
      <tableStyleElement type="firstColumnStripe" size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[Relatorio.xlsx]Visão geral!Tabela dinâmica3</c:name>
    <c:fmtId val="7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INVESTIMENTO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'Visão geral'!$B$1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'Visão geral'!$A$2:$A$17</c:f>
              <c:multiLvlStrCache>
                <c:ptCount val="13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Outubro</c:v>
                  </c:pt>
                  <c:pt idx="8">
                    <c:v>Novembro</c:v>
                  </c:pt>
                  <c:pt idx="9">
                    <c:v>Dezembro</c:v>
                  </c:pt>
                  <c:pt idx="10">
                    <c:v>Janeiro</c:v>
                  </c:pt>
                  <c:pt idx="11">
                    <c:v>Fevereiro</c:v>
                  </c:pt>
                  <c:pt idx="12">
                    <c:v>Março</c:v>
                  </c:pt>
                </c:lvl>
                <c:lvl>
                  <c:pt idx="0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'Visão geral'!$B$2:$B$17</c:f>
              <c:numCache>
                <c:formatCode>_("R$"* #,##0.00_);_("R$"* \(#,##0.00\);_("R$"* "-"??_);_(@_)</c:formatCode>
                <c:ptCount val="13"/>
                <c:pt idx="0">
                  <c:v>13.831533968379944</c:v>
                </c:pt>
                <c:pt idx="1">
                  <c:v>47.426765080256502</c:v>
                </c:pt>
                <c:pt idx="2">
                  <c:v>371.97721755260068</c:v>
                </c:pt>
                <c:pt idx="3">
                  <c:v>340.85131852974007</c:v>
                </c:pt>
                <c:pt idx="4">
                  <c:v>203.43972878690727</c:v>
                </c:pt>
                <c:pt idx="5">
                  <c:v>71.389999999999873</c:v>
                </c:pt>
                <c:pt idx="6">
                  <c:v>6.0299999999990632</c:v>
                </c:pt>
                <c:pt idx="7">
                  <c:v>0</c:v>
                </c:pt>
                <c:pt idx="8">
                  <c:v>106.95600190974392</c:v>
                </c:pt>
                <c:pt idx="9">
                  <c:v>560.67807447450309</c:v>
                </c:pt>
                <c:pt idx="10">
                  <c:v>99.945745387331954</c:v>
                </c:pt>
                <c:pt idx="11">
                  <c:v>26.028638064407005</c:v>
                </c:pt>
                <c:pt idx="12">
                  <c:v>59.969836798858069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2-4EF8-AC79-7FE29FEBC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5216079"/>
        <c:axId val="1645229519"/>
      </c:barChart>
      <c:catAx>
        <c:axId val="164521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229519"/>
        <c:crosses val="autoZero"/>
        <c:auto val="1"/>
        <c:lblAlgn val="ctr"/>
        <c:lblOffset val="100"/>
        <c:noMultiLvlLbl val="0"/>
      </c:catAx>
      <c:valAx>
        <c:axId val="164522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pt-BR"/>
                  <a:t>None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/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216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[Relatorio.xlsx]Visão geral!Tabela dinâmica6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SALDO EM CAIXA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'Visão geral'!$E$6:$E$7</c:f>
              <c:strCache>
                <c:ptCount val="1"/>
                <c:pt idx="0">
                  <c:v>Máx. de Saldo em caixa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'Visão geral'!$D$8:$D$23</c:f>
              <c:multiLvlStrCache>
                <c:ptCount val="13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Outubro</c:v>
                  </c:pt>
                  <c:pt idx="8">
                    <c:v>Novembro</c:v>
                  </c:pt>
                  <c:pt idx="9">
                    <c:v>Dezembro</c:v>
                  </c:pt>
                  <c:pt idx="10">
                    <c:v>Janeiro</c:v>
                  </c:pt>
                  <c:pt idx="11">
                    <c:v>Fevereiro</c:v>
                  </c:pt>
                  <c:pt idx="12">
                    <c:v>Março</c:v>
                  </c:pt>
                </c:lvl>
                <c:lvl>
                  <c:pt idx="0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'Visão geral'!$E$8:$E$23</c:f>
              <c:numCache>
                <c:formatCode>_("R$"* #,##0.00_);_("R$"* \(#,##0.00\);_("R$"* "-"??_);_(@_)</c:formatCode>
                <c:ptCount val="13"/>
                <c:pt idx="0">
                  <c:v>99.463383982945189</c:v>
                </c:pt>
                <c:pt idx="1">
                  <c:v>142.4495407128984</c:v>
                </c:pt>
                <c:pt idx="2">
                  <c:v>512.35731078126321</c:v>
                </c:pt>
                <c:pt idx="3">
                  <c:v>816.93629603650663</c:v>
                </c:pt>
                <c:pt idx="4">
                  <c:v>916.61530660692949</c:v>
                </c:pt>
                <c:pt idx="5">
                  <c:v>1114.5485099003499</c:v>
                </c:pt>
                <c:pt idx="6">
                  <c:v>854.71214010262906</c:v>
                </c:pt>
                <c:pt idx="7">
                  <c:v>183.23487029629311</c:v>
                </c:pt>
                <c:pt idx="8">
                  <c:v>393.86894235261508</c:v>
                </c:pt>
                <c:pt idx="9">
                  <c:v>407.69946217585198</c:v>
                </c:pt>
                <c:pt idx="10">
                  <c:v>706.29293869129015</c:v>
                </c:pt>
                <c:pt idx="11">
                  <c:v>459.94568064053419</c:v>
                </c:pt>
                <c:pt idx="12">
                  <c:v>1069.4895247674419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9-46CA-9F15-9DEBEFFB6597}"/>
            </c:ext>
          </c:extLst>
        </c:ser>
        <c:ser>
          <c:idx val="1"/>
          <c:order val="1"/>
          <c:tx>
            <c:strRef>
              <c:f>'Visão geral'!$F$6:$F$7</c:f>
              <c:strCache>
                <c:ptCount val="1"/>
                <c:pt idx="0">
                  <c:v>Mín. de Saldo em caixa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'Visão geral'!$D$8:$D$23</c:f>
              <c:multiLvlStrCache>
                <c:ptCount val="13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Outubro</c:v>
                  </c:pt>
                  <c:pt idx="8">
                    <c:v>Novembro</c:v>
                  </c:pt>
                  <c:pt idx="9">
                    <c:v>Dezembro</c:v>
                  </c:pt>
                  <c:pt idx="10">
                    <c:v>Janeiro</c:v>
                  </c:pt>
                  <c:pt idx="11">
                    <c:v>Fevereiro</c:v>
                  </c:pt>
                  <c:pt idx="12">
                    <c:v>Março</c:v>
                  </c:pt>
                </c:lvl>
                <c:lvl>
                  <c:pt idx="0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'Visão geral'!$F$8:$F$23</c:f>
              <c:numCache>
                <c:formatCode>_("R$"* #,##0.00_);_("R$"* \(#,##0.00\);_("R$"* "-"??_);_(@_)</c:formatCode>
                <c:ptCount val="13"/>
                <c:pt idx="0">
                  <c:v>69.062932121834649</c:v>
                </c:pt>
                <c:pt idx="1">
                  <c:v>34.625186207185372</c:v>
                </c:pt>
                <c:pt idx="2">
                  <c:v>49.956276682018533</c:v>
                </c:pt>
                <c:pt idx="3">
                  <c:v>311.69342515946568</c:v>
                </c:pt>
                <c:pt idx="4">
                  <c:v>79.535200822982034</c:v>
                </c:pt>
                <c:pt idx="5">
                  <c:v>508.63468130162983</c:v>
                </c:pt>
                <c:pt idx="6">
                  <c:v>550.76452979197961</c:v>
                </c:pt>
                <c:pt idx="7">
                  <c:v>183.23487029629311</c:v>
                </c:pt>
                <c:pt idx="8">
                  <c:v>196.80517769599689</c:v>
                </c:pt>
                <c:pt idx="9">
                  <c:v>296.74</c:v>
                </c:pt>
                <c:pt idx="10">
                  <c:v>247.44340150215339</c:v>
                </c:pt>
                <c:pt idx="11">
                  <c:v>139.24</c:v>
                </c:pt>
                <c:pt idx="12">
                  <c:v>163.45952476744151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C9-46CA-9F15-9DEBEFFB6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2746671"/>
        <c:axId val="1662769231"/>
      </c:barChart>
      <c:catAx>
        <c:axId val="166274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769231"/>
        <c:crosses val="autoZero"/>
        <c:auto val="1"/>
        <c:lblAlgn val="ctr"/>
        <c:lblOffset val="100"/>
        <c:noMultiLvlLbl val="0"/>
      </c:catAx>
      <c:valAx>
        <c:axId val="166276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pt-BR"/>
                  <a:t>None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/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746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r>
              <a:rPr lang="pt-BR"/>
              <a:t>Evolução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'Saúde financeira'!$B$4</c:f>
              <c:strCache>
                <c:ptCount val="1"/>
                <c:pt idx="0">
                  <c:v>Valor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</c:spPr>
            <c:trendlineType val="movingAvg"/>
            <c:period val="2"/>
            <c:dispRSqr val="0"/>
            <c:dispEq val="0"/>
          </c:trendline>
          <c:cat>
            <c:strRef>
              <c:f>'Saúde financeira'!$A$5:$A$17</c:f>
              <c:strCache>
                <c:ptCount val="13"/>
                <c:pt idx="0">
                  <c:v>jan/25</c:v>
                </c:pt>
                <c:pt idx="1">
                  <c:v>fev/25</c:v>
                </c:pt>
                <c:pt idx="2">
                  <c:v>mar/25</c:v>
                </c:pt>
                <c:pt idx="3">
                  <c:v>abr/25</c:v>
                </c:pt>
                <c:pt idx="4">
                  <c:v>mai/25</c:v>
                </c:pt>
                <c:pt idx="5">
                  <c:v>jun/25</c:v>
                </c:pt>
                <c:pt idx="6">
                  <c:v>jul/25</c:v>
                </c:pt>
                <c:pt idx="7">
                  <c:v>out/25</c:v>
                </c:pt>
                <c:pt idx="8">
                  <c:v>nov/25</c:v>
                </c:pt>
                <c:pt idx="9">
                  <c:v>dez/25</c:v>
                </c:pt>
                <c:pt idx="10">
                  <c:v>jan/26</c:v>
                </c:pt>
                <c:pt idx="11">
                  <c:v>fev/26</c:v>
                </c:pt>
                <c:pt idx="12">
                  <c:v>mar/26</c:v>
                </c:pt>
              </c:strCache>
            </c:strRef>
          </c:cat>
          <c:val>
            <c:numRef>
              <c:f>'Saúde financeira'!$B$5:$B$17</c:f>
              <c:numCache>
                <c:formatCode>_("R$"* #,##0.00_);_("R$"* \(#,##0.00\);_("R$"* "-"??_);_(@_)</c:formatCode>
                <c:ptCount val="13"/>
                <c:pt idx="0">
                  <c:v>-27.017124595652145</c:v>
                </c:pt>
                <c:pt idx="1">
                  <c:v>25.050758026498965</c:v>
                </c:pt>
                <c:pt idx="2">
                  <c:v>-201.38869082120272</c:v>
                </c:pt>
                <c:pt idx="3">
                  <c:v>-262.20773588034922</c:v>
                </c:pt>
                <c:pt idx="4">
                  <c:v>203.94728720043986</c:v>
                </c:pt>
                <c:pt idx="5">
                  <c:v>-168.00914583206594</c:v>
                </c:pt>
                <c:pt idx="6">
                  <c:v>-115.58789557837957</c:v>
                </c:pt>
                <c:pt idx="7">
                  <c:v>-408.7476688899867</c:v>
                </c:pt>
                <c:pt idx="8">
                  <c:v>103.67807014657876</c:v>
                </c:pt>
                <c:pt idx="9">
                  <c:v>-536.88187551141834</c:v>
                </c:pt>
                <c:pt idx="10">
                  <c:v>10903.649332000001</c:v>
                </c:pt>
                <c:pt idx="11">
                  <c:v>411.94020802576961</c:v>
                </c:pt>
                <c:pt idx="12">
                  <c:v>-1010.9623636399629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4-472E-BE2F-6D1E0A97E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569071"/>
        <c:axId val="792509551"/>
      </c:lineChart>
      <c:catAx>
        <c:axId val="79256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509551"/>
        <c:crosses val="autoZero"/>
        <c:auto val="1"/>
        <c:lblAlgn val="ctr"/>
        <c:lblOffset val="100"/>
        <c:noMultiLvlLbl val="0"/>
      </c:catAx>
      <c:valAx>
        <c:axId val="7925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pt-BR"/>
                  <a:t>None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569071"/>
        <c:crosses val="autoZero"/>
        <c:crossBetween val="between"/>
      </c:valAx>
    </c:plotArea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7EA531-1A9F-44E9-81D1-196202BBAD8C}">
  <sheetPr/>
  <sheetViews>
    <sheetView zoomScale="90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59E23-F996-4897-BCEF-B21A8892C3EE}">
  <sheetPr/>
  <sheetViews>
    <sheetView tabSelected="1" zoomScale="90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9732" cy="602116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58BB7E-1D7A-4D14-810C-285404B7BE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9732" cy="602116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7919B-57F3-BC9C-F3F0-1D931521B4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18</xdr:col>
      <xdr:colOff>400050</xdr:colOff>
      <xdr:row>20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ando rodrigues" refreshedDate="46088.646706712963" createdVersion="8" refreshedVersion="8" minRefreshableVersion="3" recordCount="209" xr:uid="{00000000-000A-0000-FFFF-FFFF02000000}">
  <cacheSource type="worksheet">
    <worksheetSource name="Tabela11[[Mês]:[Investido Mês]]"/>
  </cacheSource>
  <cacheFields count="3">
    <cacheField name="Mês" numFmtId="1">
      <sharedItems count="10">
        <s v="Janeiro"/>
        <s v="Fevereiro"/>
        <s v="Maio"/>
        <s v="Março"/>
        <s v="Abril"/>
        <s v="Junho"/>
        <s v="Julho"/>
        <s v="Outubro"/>
        <s v="Novembro"/>
        <s v="Dezembro"/>
      </sharedItems>
    </cacheField>
    <cacheField name="Ano" numFmtId="1">
      <sharedItems containsSemiMixedTypes="0" containsString="0" containsNumber="1" containsInteger="1" minValue="2025" maxValue="2026" count="2">
        <n v="2025"/>
        <n v="2026"/>
      </sharedItems>
    </cacheField>
    <cacheField name="Investido Mês" numFmtId="44">
      <sharedItems containsSemiMixedTypes="0" containsString="0" containsNumber="1" minValue="-21.991790055049933" maxValue="454.462057969653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ando rodrigues" refreshedDate="46088.646708217595" createdVersion="8" refreshedVersion="8" minRefreshableVersion="3" recordCount="209" xr:uid="{00000000-000A-0000-FFFF-FFFF01000000}">
  <cacheSource type="worksheet">
    <worksheetSource name="Tabela11"/>
  </cacheSource>
  <cacheFields count="27">
    <cacheField name="Capital investido" numFmtId="44">
      <sharedItems containsSemiMixedTypes="0" containsString="0" containsNumber="1" minValue="82.702501013569645" maxValue="1991.2273615662971"/>
    </cacheField>
    <cacheField name="Capital total" numFmtId="44">
      <sharedItems containsSemiMixedTypes="0" containsString="0" containsNumber="1" minValue="34.625186207185372" maxValue="22229.53345212655"/>
    </cacheField>
    <cacheField name="Lucro" numFmtId="44">
      <sharedItems containsSemiMixedTypes="0" containsString="0" containsNumber="1" minValue="-1387.6179999999999" maxValue="9927.9715400257737"/>
    </cacheField>
    <cacheField name="Pagamento De funcionários" numFmtId="44">
      <sharedItems containsBlank="1" containsMixedTypes="1" containsNumber="1" minValue="1.04" maxValue="361.17327678614703"/>
    </cacheField>
    <cacheField name="Caixinha 2026" numFmtId="44">
      <sharedItems containsString="0" containsBlank="1" containsNumber="1" minValue="6.1595242213035837" maxValue="191.3717288728939"/>
    </cacheField>
    <cacheField name="Saldo em caixa" numFmtId="44">
      <sharedItems containsString="0" containsBlank="1" containsNumber="1" minValue="34.625186207185372" maxValue="1114.5485099003499"/>
    </cacheField>
    <cacheField name="Saldo projetado" numFmtId="44">
      <sharedItems containsBlank="1" containsMixedTypes="1" containsNumber="1" minValue="0" maxValue="1292.5421644800001"/>
    </cacheField>
    <cacheField name="CDB" numFmtId="44">
      <sharedItems containsSemiMixedTypes="0" containsString="0" containsNumber="1" minValue="20.412501013569649" maxValue="972.73233439994453"/>
    </cacheField>
    <cacheField name="CDB 2026" numFmtId="44">
      <sharedItems containsString="0" containsBlank="1" containsNumber="1" minValue="2.02" maxValue="138.93291585635279"/>
    </cacheField>
    <cacheField name="Ação/BDR" numFmtId="44">
      <sharedItems containsSemiMixedTypes="0" containsString="0" containsNumber="1" minValue="1.399999999999999" maxValue="249.32"/>
    </cacheField>
    <cacheField name="Dolar" numFmtId="44">
      <sharedItems containsSemiMixedTypes="0" containsString="0" containsNumber="1" minValue="19.246021735537202" maxValue="278.68269467001682"/>
    </cacheField>
    <cacheField name="FII" numFmtId="44">
      <sharedItems containsString="0" containsBlank="1" containsNumber="1" minValue="9.6850975100000003" maxValue="219.26"/>
    </cacheField>
    <cacheField name="Caixa 2" numFmtId="44">
      <sharedItems containsBlank="1" containsMixedTypes="1" containsNumber="1" minValue="1.1899999999999979" maxValue="40.33"/>
    </cacheField>
    <cacheField name="Empréstimo" numFmtId="44">
      <sharedItems containsString="0" containsBlank="1" containsNumber="1" minValue="2.159999999999997" maxValue="226.99"/>
    </cacheField>
    <cacheField name="Crypto" numFmtId="44">
      <sharedItems containsString="0" containsBlank="1" containsNumber="1" minValue="0" maxValue="106.27"/>
    </cacheField>
    <cacheField name="Day trade" numFmtId="44">
      <sharedItems containsBlank="1" containsMixedTypes="1" containsNumber="1" minValue="0" maxValue="106.27"/>
    </cacheField>
    <cacheField name="ETF" numFmtId="44">
      <sharedItems containsMixedTypes="1" containsNumber="1" minValue="20.54" maxValue="41.54"/>
    </cacheField>
    <cacheField name="Tesouro direto" numFmtId="44">
      <sharedItems containsMixedTypes="1" containsNumber="1" minValue="6.86" maxValue="43.67"/>
    </cacheField>
    <cacheField name="Fundos de investimento" numFmtId="44">
      <sharedItems containsBlank="1" containsMixedTypes="1" containsNumber="1" minValue="104.1" maxValue="114.6"/>
    </cacheField>
    <cacheField name="preço de mercado" numFmtId="164">
      <sharedItems containsSemiMixedTypes="0" containsString="0" containsNumber="1" minValue="4.3281482758981719E-3" maxValue="2.7786916815158191"/>
    </cacheField>
    <cacheField name="Data" numFmtId="14">
      <sharedItems containsDate="1" containsMixedTypes="1" minDate="2025-01-25T00:00:00" maxDate="2026-02-09T00:00:00" count="199"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5-01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s v="15/02/2025"/>
        <s v="16/02/2025"/>
        <s v="17/02/2025"/>
        <s v="18/02/2025"/>
        <s v="19/02/2025"/>
        <s v="20/02/2025"/>
        <s v="22/02/2025"/>
        <s v="23/02/2025"/>
        <s v="24/02/2025"/>
        <s v="25/02/2025"/>
        <s v="26/02/2025"/>
        <s v="28/02/2025"/>
        <s v="01/03/2025"/>
        <s v="05/03/2025"/>
        <s v="06/03/2025"/>
        <s v="07/03/2025"/>
        <s v="08/03/2025"/>
        <s v="09/03/2025"/>
        <s v="10/03/2025"/>
        <s v="11/03/2025"/>
        <s v="12/03/2025"/>
        <s v="13/03/2025"/>
        <s v="14/03/2025"/>
        <d v="2025-03-16T00:00:00"/>
        <s v="18/03/2025"/>
        <d v="2025-03-20T00:00:00"/>
        <s v="20/03/2025"/>
        <s v="21/03/2025"/>
        <s v="24/03/2025"/>
        <s v="25/03/2025"/>
        <s v="26/03/2025"/>
        <s v="27/03/2025"/>
        <s v="28/03/2025"/>
        <s v="31/03/2025"/>
        <s v="01/04/2025"/>
        <s v="02/04/2025"/>
        <s v="03/04/2025"/>
        <s v="04/04/2025"/>
        <s v="06/04/2025"/>
        <s v="07/04/2025"/>
        <s v="09/04/2025"/>
        <s v="10/04/2025"/>
        <s v="11/04/2025"/>
        <s v="12/04/2025"/>
        <s v="15/04/2025"/>
        <s v="16/04/2025"/>
        <s v="18/04/2025"/>
        <s v="20/04/2025"/>
        <s v="24/04/2025"/>
        <s v="27/04/2025"/>
        <s v="28/04/2025"/>
        <s v="29/04/2025"/>
        <s v="03/05/2025"/>
        <s v="07/05/2025"/>
        <d v="2025-05-07T00:00:00"/>
        <d v="2025-05-08T00:00:00"/>
        <d v="2025-05-09T00:00:00"/>
        <d v="2025-05-10T00:00:00"/>
        <d v="2025-05-12T00:00:00"/>
        <d v="2025-05-13T00:00:00"/>
        <d v="2025-05-15T00:00:00"/>
        <d v="2025-05-17T00:00:00"/>
        <d v="2025-05-20T00:00:00"/>
        <d v="2025-05-22T00:00:00"/>
        <d v="2025-05-24T00:00:00"/>
        <d v="2025-05-25T00:00:00"/>
        <d v="2025-05-27T00:00:00"/>
        <d v="2025-05-28T00:00:00"/>
        <d v="2025-06-03T00:00:00"/>
        <d v="2025-06-05T00:00:00"/>
        <d v="2025-06-06T00:00:00"/>
        <d v="2025-06-08T00:00:00"/>
        <s v="08/06/2025"/>
        <s v="09/06/2025"/>
        <s v="10/06/2025"/>
        <s v="11/06/2025"/>
        <s v="12/06/2025"/>
        <s v="14/06/2025"/>
        <s v="15/06/2025"/>
        <s v="24/06/2025"/>
        <s v="02/07/2025"/>
        <s v="04/07/2025"/>
        <s v="14/07/2025"/>
        <s v="18/07/2025"/>
        <s v="06/10/2025"/>
        <s v="09/11/2025"/>
        <s v="16/11/2025"/>
        <s v="06/12/2025"/>
        <s v="07/12/2025"/>
        <s v="09/12/2025"/>
        <s v="11/12/2025"/>
        <d v="2025-12-12T00:00:00"/>
        <d v="2025-12-14T00:00:00"/>
        <d v="2025-12-15T00:00:00"/>
        <d v="2025-12-16T00:00:00"/>
        <d v="2025-12-17T00:00:00"/>
        <d v="2025-12-31T00:00:00"/>
        <d v="2026-01-02T00:00:00"/>
        <d v="2026-01-08T00:00:00"/>
        <d v="2026-01-09T00:00:00"/>
        <s v="10/01/2026"/>
        <s v="11/01/2026"/>
        <s v="12/01/2026"/>
        <s v="14/01/2026"/>
        <s v="16/01/2026"/>
        <s v="17/01/2026"/>
        <d v="2026-01-18T00:00:00"/>
        <s v="18/01/2026"/>
        <s v="19/01/2026"/>
        <s v="26/01/2026"/>
        <s v="29/01/2026"/>
        <d v="2026-01-30T00:00:00"/>
        <s v="01/02/2026"/>
        <s v="02/02/2026"/>
        <s v="03/02/2026"/>
        <d v="2026-02-04T00:00:00"/>
        <d v="2026-02-06T00:00:00"/>
        <d v="2026-02-08T00:00:00"/>
        <s v="09/02/2026"/>
        <s v="10/02/2026"/>
        <s v="11/02/2026"/>
        <s v="12/02/2026"/>
        <s v="13/02/2026"/>
        <s v="26/02/2026"/>
        <s v="27/02/2026"/>
        <s v="01/03/2026"/>
        <s v="03/03/2026"/>
        <s v="07/03/2026"/>
        <s v="09/02/2025" u="1"/>
        <s v="10/02/2025" u="1"/>
        <s v="11/02/2025" u="1"/>
        <s v="12/02/2025" u="1"/>
        <s v="13/02/2025" u="1"/>
        <s v="14/02/2025" u="1"/>
        <s v="25/01/2025" u="1"/>
        <s v="26/01/2025" u="1"/>
        <s v="27/01/2025" u="1"/>
        <s v="28/01/2025" u="1"/>
        <s v="29/01/2025" u="1"/>
        <s v="30/01/2025" u="1"/>
        <s v="31/01/2025" u="1"/>
        <s v="01/02/2025" u="1"/>
        <s v="02/02/2025" u="1"/>
        <s v="03/02/2025" u="1"/>
        <s v="04/02/2025" u="1"/>
        <s v="05/02/2025" u="1"/>
        <s v="06/02/2025" u="1"/>
        <s v="07/02/2025" u="1"/>
        <s v="08/02/2025" u="1"/>
        <s v="04/02/2026" u="1"/>
        <s v="06/02/2026" u="1"/>
        <s v="08/02/2026" u="1"/>
        <s v="08/01/2026" u="1"/>
        <s v="14/12/2025" u="1"/>
        <s v="15/12/2025" u="1"/>
        <s v="16/12/2025" u="1"/>
        <s v="17/12/2025" u="1"/>
        <s v="31/12/2025" u="1"/>
        <s v="02/01/2026" u="1"/>
        <s v="16/03/2025" u="1"/>
        <s v="08/05/2025" u="1"/>
        <s v="09/05/2025" u="1"/>
        <s v="10/05/2025" u="1"/>
        <s v="12/05/2025" u="1"/>
        <s v="13/05/2025" u="1"/>
        <s v="15/05/2025" u="1"/>
        <s v="17/05/2025" u="1"/>
        <s v="20/05/2025" u="1"/>
        <s v="22/05/2025" u="1"/>
        <s v="24/05/2025" u="1"/>
        <s v="25/05/2025" u="1"/>
        <s v="27/05/2025" u="1"/>
        <s v="28/05/2025" u="1"/>
        <s v="03/06/2025" u="1"/>
        <s v="05/06/2025" u="1"/>
        <s v="06/06/2025" u="1"/>
        <s v="12/12/2025" u="1"/>
        <s v="30/01/2026" u="1"/>
      </sharedItems>
    </cacheField>
    <cacheField name="Hora" numFmtId="0">
      <sharedItems containsBlank="1"/>
    </cacheField>
    <cacheField name="% lucro" numFmtId="165">
      <sharedItems containsSemiMixedTypes="0" containsString="0" containsNumber="1" minValue="-5.2086930456624358" maxValue="0.83612313524606641"/>
    </cacheField>
    <cacheField name="Variação no Período" numFmtId="44">
      <sharedItems containsSemiMixedTypes="0" containsString="0" containsNumber="1" minValue="-905.72876363996329" maxValue="8548.5875814400006"/>
    </cacheField>
    <cacheField name="Mês" numFmtId="1">
      <sharedItems count="10">
        <s v="Janeiro"/>
        <s v="Fevereiro"/>
        <s v="Maio"/>
        <s v="Março"/>
        <s v="Abril"/>
        <s v="Junho"/>
        <s v="Julho"/>
        <s v="Outubro"/>
        <s v="Novembro"/>
        <s v="Dezembro"/>
      </sharedItems>
    </cacheField>
    <cacheField name="Ano" numFmtId="1">
      <sharedItems containsSemiMixedTypes="0" containsString="0" containsNumber="1" containsInteger="1" minValue="2025" maxValue="2026" count="2">
        <n v="2025"/>
        <n v="2026"/>
      </sharedItems>
    </cacheField>
    <cacheField name="Investido Mês" numFmtId="44">
      <sharedItems containsSemiMixedTypes="0" containsString="0" containsNumber="1" minValue="-21.991790055049933" maxValue="454.462057969653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x v="0"/>
    <x v="0"/>
    <n v="0"/>
  </r>
  <r>
    <x v="0"/>
    <x v="0"/>
    <n v="7.2668087537538497"/>
  </r>
  <r>
    <x v="0"/>
    <x v="0"/>
    <n v="1.1412308490280338"/>
  </r>
  <r>
    <x v="0"/>
    <x v="0"/>
    <n v="11.146480510933571"/>
  </r>
  <r>
    <x v="0"/>
    <x v="0"/>
    <n v="0"/>
  </r>
  <r>
    <x v="0"/>
    <x v="0"/>
    <n v="2.2967457947946031"/>
  </r>
  <r>
    <x v="0"/>
    <x v="0"/>
    <n v="-8.0197319401301144"/>
  </r>
  <r>
    <x v="1"/>
    <x v="0"/>
    <n v="1.1515333547357329"/>
  </r>
  <r>
    <x v="1"/>
    <x v="0"/>
    <n v="1.4000000000000057"/>
  </r>
  <r>
    <x v="1"/>
    <x v="0"/>
    <n v="0"/>
  </r>
  <r>
    <x v="1"/>
    <x v="0"/>
    <n v="0"/>
  </r>
  <r>
    <x v="1"/>
    <x v="0"/>
    <n v="8.9799999999999756"/>
  </r>
  <r>
    <x v="2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4.618814227063794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-8.9800000000001035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0"/>
  </r>
  <r>
    <x v="1"/>
    <x v="0"/>
    <n v="12.02000000000001"/>
  </r>
  <r>
    <x v="1"/>
    <x v="0"/>
    <n v="28.196417498457095"/>
  </r>
  <r>
    <x v="1"/>
    <x v="0"/>
    <n v="0"/>
  </r>
  <r>
    <x v="1"/>
    <x v="0"/>
    <n v="0"/>
  </r>
  <r>
    <x v="1"/>
    <x v="0"/>
    <n v="0"/>
  </r>
  <r>
    <x v="1"/>
    <x v="0"/>
    <n v="3.9999999999992042E-2"/>
  </r>
  <r>
    <x v="1"/>
    <x v="0"/>
    <n v="0"/>
  </r>
  <r>
    <x v="1"/>
    <x v="0"/>
    <n v="0"/>
  </r>
  <r>
    <x v="3"/>
    <x v="0"/>
    <n v="0.15999999999999659"/>
  </r>
  <r>
    <x v="3"/>
    <x v="0"/>
    <n v="0"/>
  </r>
  <r>
    <x v="3"/>
    <x v="0"/>
    <n v="0"/>
  </r>
  <r>
    <x v="3"/>
    <x v="0"/>
    <n v="0"/>
  </r>
  <r>
    <x v="3"/>
    <x v="0"/>
    <n v="117.58738010334113"/>
  </r>
  <r>
    <x v="3"/>
    <x v="0"/>
    <n v="0"/>
  </r>
  <r>
    <x v="3"/>
    <x v="0"/>
    <n v="0"/>
  </r>
  <r>
    <x v="3"/>
    <x v="0"/>
    <n v="0"/>
  </r>
  <r>
    <x v="3"/>
    <x v="0"/>
    <n v="0"/>
  </r>
  <r>
    <x v="3"/>
    <x v="0"/>
    <n v="14.889999999999873"/>
  </r>
  <r>
    <x v="3"/>
    <x v="0"/>
    <n v="0"/>
  </r>
  <r>
    <x v="3"/>
    <x v="0"/>
    <n v="-11.230000000000018"/>
  </r>
  <r>
    <x v="3"/>
    <x v="0"/>
    <n v="19.04000000000002"/>
  </r>
  <r>
    <x v="3"/>
    <x v="0"/>
    <n v="5.0000000000011369E-2"/>
  </r>
  <r>
    <x v="3"/>
    <x v="0"/>
    <n v="0"/>
  </r>
  <r>
    <x v="3"/>
    <x v="0"/>
    <n v="0"/>
  </r>
  <r>
    <x v="3"/>
    <x v="0"/>
    <n v="-6.6700000000000159"/>
  </r>
  <r>
    <x v="3"/>
    <x v="0"/>
    <n v="0"/>
  </r>
  <r>
    <x v="3"/>
    <x v="0"/>
    <n v="0"/>
  </r>
  <r>
    <x v="3"/>
    <x v="0"/>
    <n v="77.051332685369118"/>
  </r>
  <r>
    <x v="3"/>
    <x v="0"/>
    <n v="0"/>
  </r>
  <r>
    <x v="3"/>
    <x v="0"/>
    <n v="99.13"/>
  </r>
  <r>
    <x v="3"/>
    <x v="0"/>
    <n v="0"/>
  </r>
  <r>
    <x v="3"/>
    <x v="0"/>
    <n v="0"/>
  </r>
  <r>
    <x v="3"/>
    <x v="0"/>
    <n v="0"/>
  </r>
  <r>
    <x v="3"/>
    <x v="0"/>
    <n v="8.6212566841347211"/>
  </r>
  <r>
    <x v="3"/>
    <x v="0"/>
    <n v="11.592492698167064"/>
  </r>
  <r>
    <x v="3"/>
    <x v="0"/>
    <n v="1.8817051207677196"/>
  </r>
  <r>
    <x v="3"/>
    <x v="0"/>
    <n v="0.31999999999987949"/>
  </r>
  <r>
    <x v="3"/>
    <x v="0"/>
    <n v="33.881121195047911"/>
  </r>
  <r>
    <x v="3"/>
    <x v="0"/>
    <n v="0"/>
  </r>
  <r>
    <x v="3"/>
    <x v="0"/>
    <n v="5.6719290657732699"/>
  </r>
  <r>
    <x v="3"/>
    <x v="0"/>
    <n v="0"/>
  </r>
  <r>
    <x v="4"/>
    <x v="0"/>
    <n v="1.930865527812557"/>
  </r>
  <r>
    <x v="4"/>
    <x v="0"/>
    <n v="6.9913327024072487"/>
  </r>
  <r>
    <x v="4"/>
    <x v="0"/>
    <n v="2.3320168290528045"/>
  </r>
  <r>
    <x v="4"/>
    <x v="0"/>
    <n v="293.54292020744083"/>
  </r>
  <r>
    <x v="4"/>
    <x v="0"/>
    <n v="0"/>
  </r>
  <r>
    <x v="4"/>
    <x v="0"/>
    <n v="0.15000000000009095"/>
  </r>
  <r>
    <x v="4"/>
    <x v="0"/>
    <n v="0"/>
  </r>
  <r>
    <x v="4"/>
    <x v="0"/>
    <n v="0"/>
  </r>
  <r>
    <x v="4"/>
    <x v="0"/>
    <n v="0"/>
  </r>
  <r>
    <x v="4"/>
    <x v="0"/>
    <n v="0.14999999999986358"/>
  </r>
  <r>
    <x v="4"/>
    <x v="0"/>
    <n v="-0.36999999999989086"/>
  </r>
  <r>
    <x v="4"/>
    <x v="0"/>
    <n v="5.999999999994543E-2"/>
  </r>
  <r>
    <x v="4"/>
    <x v="0"/>
    <n v="0.41999999999995907"/>
  </r>
  <r>
    <x v="4"/>
    <x v="0"/>
    <n v="0"/>
  </r>
  <r>
    <x v="4"/>
    <x v="0"/>
    <n v="0"/>
  </r>
  <r>
    <x v="4"/>
    <x v="0"/>
    <n v="0"/>
  </r>
  <r>
    <x v="4"/>
    <x v="0"/>
    <n v="1.0900000000000318"/>
  </r>
  <r>
    <x v="4"/>
    <x v="0"/>
    <n v="0.25000000000011369"/>
  </r>
  <r>
    <x v="4"/>
    <x v="0"/>
    <n v="4.9999999999954525E-2"/>
  </r>
  <r>
    <x v="4"/>
    <x v="0"/>
    <n v="0"/>
  </r>
  <r>
    <x v="4"/>
    <x v="0"/>
    <n v="33.614183263026575"/>
  </r>
  <r>
    <x v="4"/>
    <x v="0"/>
    <n v="0"/>
  </r>
  <r>
    <x v="4"/>
    <x v="0"/>
    <n v="0.22000000000002728"/>
  </r>
  <r>
    <x v="4"/>
    <x v="0"/>
    <n v="0"/>
  </r>
  <r>
    <x v="4"/>
    <x v="0"/>
    <n v="0.41999999999995907"/>
  </r>
  <r>
    <x v="4"/>
    <x v="0"/>
    <n v="0"/>
  </r>
  <r>
    <x v="4"/>
    <x v="0"/>
    <n v="0"/>
  </r>
  <r>
    <x v="2"/>
    <x v="0"/>
    <n v="0"/>
  </r>
  <r>
    <x v="2"/>
    <x v="0"/>
    <n v="0"/>
  </r>
  <r>
    <x v="2"/>
    <x v="0"/>
    <n v="0"/>
  </r>
  <r>
    <x v="2"/>
    <x v="0"/>
    <n v="0"/>
  </r>
  <r>
    <x v="2"/>
    <x v="0"/>
    <n v="52.700000000000045"/>
  </r>
  <r>
    <x v="2"/>
    <x v="0"/>
    <n v="43.582892461958295"/>
  </r>
  <r>
    <x v="2"/>
    <x v="0"/>
    <n v="0"/>
  </r>
  <r>
    <x v="2"/>
    <x v="0"/>
    <n v="0"/>
  </r>
  <r>
    <x v="2"/>
    <x v="0"/>
    <n v="0"/>
  </r>
  <r>
    <x v="2"/>
    <x v="0"/>
    <n v="1.17999999999995"/>
  </r>
  <r>
    <x v="2"/>
    <x v="0"/>
    <n v="0"/>
  </r>
  <r>
    <x v="2"/>
    <x v="0"/>
    <n v="0"/>
  </r>
  <r>
    <x v="2"/>
    <x v="0"/>
    <n v="0"/>
  </r>
  <r>
    <x v="2"/>
    <x v="0"/>
    <n v="30.310075062931901"/>
  </r>
  <r>
    <x v="2"/>
    <x v="0"/>
    <n v="0"/>
  </r>
  <r>
    <x v="2"/>
    <x v="0"/>
    <n v="10.247470006503363"/>
  </r>
  <r>
    <x v="2"/>
    <x v="0"/>
    <n v="0"/>
  </r>
  <r>
    <x v="2"/>
    <x v="0"/>
    <n v="60.000000000000568"/>
  </r>
  <r>
    <x v="2"/>
    <x v="0"/>
    <n v="5.4192912555131443"/>
  </r>
  <r>
    <x v="2"/>
    <x v="0"/>
    <n v="0"/>
  </r>
  <r>
    <x v="5"/>
    <x v="0"/>
    <n v="0"/>
  </r>
  <r>
    <x v="5"/>
    <x v="0"/>
    <n v="0"/>
  </r>
  <r>
    <x v="5"/>
    <x v="0"/>
    <n v="0"/>
  </r>
  <r>
    <x v="5"/>
    <x v="0"/>
    <n v="0"/>
  </r>
  <r>
    <x v="5"/>
    <x v="0"/>
    <n v="-2.5300000000011096"/>
  </r>
  <r>
    <x v="5"/>
    <x v="0"/>
    <n v="0"/>
  </r>
  <r>
    <x v="5"/>
    <x v="0"/>
    <n v="60"/>
  </r>
  <r>
    <x v="5"/>
    <x v="0"/>
    <n v="0"/>
  </r>
  <r>
    <x v="5"/>
    <x v="0"/>
    <n v="12"/>
  </r>
  <r>
    <x v="5"/>
    <x v="0"/>
    <n v="0.13000000000101863"/>
  </r>
  <r>
    <x v="5"/>
    <x v="0"/>
    <n v="0.12999999999897227"/>
  </r>
  <r>
    <x v="5"/>
    <x v="0"/>
    <n v="4.9999999999954525E-2"/>
  </r>
  <r>
    <x v="5"/>
    <x v="0"/>
    <n v="0.13000000000101863"/>
  </r>
  <r>
    <x v="5"/>
    <x v="0"/>
    <n v="0"/>
  </r>
  <r>
    <x v="5"/>
    <x v="0"/>
    <n v="0"/>
  </r>
  <r>
    <x v="5"/>
    <x v="0"/>
    <n v="1.4800000000000182"/>
  </r>
  <r>
    <x v="5"/>
    <x v="0"/>
    <n v="0"/>
  </r>
  <r>
    <x v="6"/>
    <x v="0"/>
    <n v="0"/>
  </r>
  <r>
    <x v="6"/>
    <x v="0"/>
    <n v="0"/>
  </r>
  <r>
    <x v="6"/>
    <x v="0"/>
    <n v="0"/>
  </r>
  <r>
    <x v="6"/>
    <x v="0"/>
    <n v="6.0299999999990632"/>
  </r>
  <r>
    <x v="6"/>
    <x v="0"/>
    <n v="0"/>
  </r>
  <r>
    <x v="7"/>
    <x v="0"/>
    <n v="0"/>
  </r>
  <r>
    <x v="8"/>
    <x v="0"/>
    <n v="0"/>
  </r>
  <r>
    <x v="8"/>
    <x v="0"/>
    <n v="0"/>
  </r>
  <r>
    <x v="8"/>
    <x v="0"/>
    <n v="106.95600190974392"/>
  </r>
  <r>
    <x v="9"/>
    <x v="0"/>
    <n v="1.4700000000000273"/>
  </r>
  <r>
    <x v="9"/>
    <x v="0"/>
    <n v="0"/>
  </r>
  <r>
    <x v="9"/>
    <x v="0"/>
    <n v="0"/>
  </r>
  <r>
    <x v="9"/>
    <x v="0"/>
    <n v="0"/>
  </r>
  <r>
    <x v="9"/>
    <x v="0"/>
    <n v="-21.991790055049933"/>
  </r>
  <r>
    <x v="9"/>
    <x v="0"/>
    <n v="0"/>
  </r>
  <r>
    <x v="9"/>
    <x v="0"/>
    <n v="11.217503057828935"/>
  </r>
  <r>
    <x v="9"/>
    <x v="0"/>
    <n v="0"/>
  </r>
  <r>
    <x v="9"/>
    <x v="0"/>
    <n v="0"/>
  </r>
  <r>
    <x v="9"/>
    <x v="0"/>
    <n v="0"/>
  </r>
  <r>
    <x v="9"/>
    <x v="0"/>
    <n v="11.307512661504916"/>
  </r>
  <r>
    <x v="9"/>
    <x v="0"/>
    <n v="5.6877354062780796"/>
  </r>
  <r>
    <x v="9"/>
    <x v="0"/>
    <n v="11.443883076120983"/>
  </r>
  <r>
    <x v="9"/>
    <x v="0"/>
    <n v="5.7563304066809451"/>
  </r>
  <r>
    <x v="9"/>
    <x v="0"/>
    <n v="454.46205796965319"/>
  </r>
  <r>
    <x v="9"/>
    <x v="0"/>
    <n v="7.5990448337399812"/>
  </r>
  <r>
    <x v="9"/>
    <x v="0"/>
    <n v="54.052114574598818"/>
  </r>
  <r>
    <x v="9"/>
    <x v="0"/>
    <n v="19.673682543147152"/>
  </r>
  <r>
    <x v="0"/>
    <x v="1"/>
    <n v="7.9266486891010572"/>
  </r>
  <r>
    <x v="0"/>
    <x v="1"/>
    <n v="17.992544395142886"/>
  </r>
  <r>
    <x v="0"/>
    <x v="1"/>
    <n v="0"/>
  </r>
  <r>
    <x v="0"/>
    <x v="1"/>
    <n v="8.1306264078918957"/>
  </r>
  <r>
    <x v="0"/>
    <x v="1"/>
    <n v="24.002111310000146"/>
  </r>
  <r>
    <x v="0"/>
    <x v="1"/>
    <n v="4.0958665734540318"/>
  </r>
  <r>
    <x v="0"/>
    <x v="1"/>
    <n v="0"/>
  </r>
  <r>
    <x v="0"/>
    <x v="1"/>
    <n v="4.1163715054879049"/>
  </r>
  <r>
    <x v="0"/>
    <x v="1"/>
    <n v="4.1369790903370358"/>
  </r>
  <r>
    <x v="0"/>
    <x v="1"/>
    <n v="2.0762496089430442"/>
  </r>
  <r>
    <x v="0"/>
    <x v="1"/>
    <n v="2.0814402329649511"/>
  </r>
  <r>
    <x v="0"/>
    <x v="1"/>
    <n v="0"/>
  </r>
  <r>
    <x v="0"/>
    <x v="1"/>
    <n v="0"/>
  </r>
  <r>
    <x v="0"/>
    <x v="1"/>
    <n v="16.839948348909047"/>
  </r>
  <r>
    <x v="0"/>
    <x v="1"/>
    <n v="6.4022099956910097"/>
  </r>
  <r>
    <x v="0"/>
    <x v="1"/>
    <n v="2.1447492294089443"/>
  </r>
  <r>
    <x v="1"/>
    <x v="1"/>
    <n v="4.2895358677030799"/>
  </r>
  <r>
    <x v="1"/>
    <x v="1"/>
    <n v="2.1544166946048335"/>
  </r>
  <r>
    <x v="1"/>
    <x v="1"/>
    <n v="0"/>
  </r>
  <r>
    <x v="1"/>
    <x v="1"/>
    <n v="2.1587255279951023"/>
  </r>
  <r>
    <x v="1"/>
    <x v="1"/>
    <n v="0"/>
  </r>
  <r>
    <x v="1"/>
    <x v="1"/>
    <n v="2.1630429790509424"/>
  </r>
  <r>
    <x v="1"/>
    <x v="1"/>
    <n v="0"/>
  </r>
  <r>
    <x v="1"/>
    <x v="1"/>
    <n v="0"/>
  </r>
  <r>
    <x v="1"/>
    <x v="1"/>
    <n v="4.3390728681470137"/>
  </r>
  <r>
    <x v="1"/>
    <x v="1"/>
    <n v="0"/>
  </r>
  <r>
    <x v="1"/>
    <x v="1"/>
    <n v="4.3564465159120118"/>
  </r>
  <r>
    <x v="1"/>
    <x v="1"/>
    <n v="2.1847601037770801"/>
  </r>
  <r>
    <x v="1"/>
    <x v="1"/>
    <n v="2.1891296239848543"/>
  </r>
  <r>
    <x v="1"/>
    <x v="1"/>
    <n v="0"/>
  </r>
  <r>
    <x v="1"/>
    <x v="1"/>
    <n v="2.1935078832320869"/>
  </r>
  <r>
    <x v="1"/>
    <x v="1"/>
    <n v="0"/>
  </r>
  <r>
    <x v="1"/>
    <x v="1"/>
    <n v="0"/>
  </r>
  <r>
    <x v="1"/>
    <x v="1"/>
    <n v="0"/>
  </r>
  <r>
    <x v="1"/>
    <x v="1"/>
    <n v="0"/>
  </r>
  <r>
    <x v="1"/>
    <x v="1"/>
    <n v="0"/>
  </r>
  <r>
    <x v="3"/>
    <x v="1"/>
    <n v="0"/>
  </r>
  <r>
    <x v="3"/>
    <x v="1"/>
    <n v="0"/>
  </r>
  <r>
    <x v="3"/>
    <x v="1"/>
    <n v="0"/>
  </r>
  <r>
    <x v="3"/>
    <x v="1"/>
    <n v="0"/>
  </r>
  <r>
    <x v="3"/>
    <x v="1"/>
    <n v="59.9698367988580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n v="82.702501013569645"/>
    <n v="82.24852274910684"/>
    <n v="-0.45397826446280481"/>
    <n v="1.04"/>
    <m/>
    <n v="82.24852274910684"/>
    <s v="-"/>
    <n v="20.412501013569649"/>
    <m/>
    <n v="1.769999999999996"/>
    <n v="19.246021735537202"/>
    <n v="27.58"/>
    <n v="1.1899999999999979"/>
    <n v="2.159999999999997"/>
    <n v="0"/>
    <n v="9.1599999999999966"/>
    <s v="-"/>
    <s v="-"/>
    <s v="-"/>
    <n v="1.0281065343638349E-2"/>
    <x v="0"/>
    <s v="11:39:45"/>
    <n v="-5.5195917116667567E-3"/>
    <n v="0"/>
    <x v="0"/>
    <x v="0"/>
    <n v="0"/>
  </r>
  <r>
    <n v="89.969309767323494"/>
    <n v="87.745331502860694"/>
    <n v="-2.2239782644628039"/>
    <n v="1.04"/>
    <m/>
    <n v="87.745331502860694"/>
    <s v="-"/>
    <n v="22.679309767323488"/>
    <m/>
    <n v="1.769999999999996"/>
    <n v="19.246021735537202"/>
    <n v="27.68000000000001"/>
    <n v="1.1899999999999979"/>
    <n v="2.159999999999997"/>
    <n v="5"/>
    <n v="9.1599999999999966"/>
    <s v="-"/>
    <s v="-"/>
    <s v="-"/>
    <n v="1.096816643785759E-2"/>
    <x v="1"/>
    <s v="16:32:49"/>
    <n v="-2.5345830101403143E-2"/>
    <n v="-1.7699999999999991"/>
    <x v="0"/>
    <x v="0"/>
    <n v="7.2668087537538497"/>
  </r>
  <r>
    <n v="91.110540616351528"/>
    <n v="88.886562351888728"/>
    <n v="-2.2239782644628039"/>
    <n v="1.04"/>
    <m/>
    <n v="88.886562351888728"/>
    <s v="-"/>
    <n v="23.820540616351519"/>
    <m/>
    <n v="1.769999999999996"/>
    <n v="19.246021735537202"/>
    <n v="27.48"/>
    <n v="1.1899999999999979"/>
    <n v="2.159999999999997"/>
    <n v="5"/>
    <n v="9.1599999999999966"/>
    <s v="-"/>
    <s v="-"/>
    <s v="-"/>
    <n v="1.1110820293986089E-2"/>
    <x v="2"/>
    <s v="18:02:53"/>
    <n v="-2.5020410347948923E-2"/>
    <n v="0"/>
    <x v="0"/>
    <x v="0"/>
    <n v="1.1412308490280338"/>
  </r>
  <r>
    <n v="102.2570211272851"/>
    <n v="99.463383982945189"/>
    <n v="-2.7936371443399071"/>
    <n v="1.04"/>
    <m/>
    <n v="99.463383982945189"/>
    <s v="-"/>
    <n v="24.96702112728509"/>
    <m/>
    <n v="1.609999999999999"/>
    <n v="29.07636285566009"/>
    <n v="27.3"/>
    <n v="1.1899999999999979"/>
    <n v="2.159999999999997"/>
    <n v="5"/>
    <n v="9.0999999999999943"/>
    <s v="-"/>
    <s v="-"/>
    <s v="-"/>
    <n v="1.243292299786815E-2"/>
    <x v="3"/>
    <s v="18:03:11"/>
    <n v="-2.808709127389962E-2"/>
    <n v="-0.56965887987710317"/>
    <x v="0"/>
    <x v="0"/>
    <n v="11.146480510933571"/>
  </r>
  <r>
    <n v="102.2570211272851"/>
    <n v="99.095956833530408"/>
    <n v="-3.1610642937546878"/>
    <n v="1.04"/>
    <m/>
    <n v="99.095956833530408"/>
    <s v="-"/>
    <n v="24.96702112728509"/>
    <m/>
    <n v="1.5499999999999969"/>
    <n v="28.888935706245309"/>
    <n v="27.20999999999999"/>
    <n v="1.1899999999999979"/>
    <n v="2.159999999999997"/>
    <n v="5"/>
    <n v="9.0699999999999932"/>
    <s v="-"/>
    <s v="-"/>
    <s v="-"/>
    <n v="1.23869946041913E-2"/>
    <x v="4"/>
    <s v="18:00:40"/>
    <n v="-3.1899023883132843E-2"/>
    <n v="-0.36742714941478072"/>
    <x v="0"/>
    <x v="0"/>
    <n v="0"/>
  </r>
  <r>
    <n v="104.5537669220797"/>
    <n v="81.860497450945644"/>
    <n v="-22.69326947113408"/>
    <n v="1.04"/>
    <m/>
    <n v="81.860497450945644"/>
    <s v="-"/>
    <n v="27.263766922079721"/>
    <m/>
    <n v="1.5300000000000009"/>
    <n v="28.976730528865911"/>
    <n v="27.509999999999991"/>
    <n v="1.1899999999999979"/>
    <n v="2.159999999999997"/>
    <n v="5"/>
    <n v="9.1700000000000017"/>
    <s v="-"/>
    <s v="-"/>
    <s v="-"/>
    <n v="1.0232562181368209E-2"/>
    <x v="5"/>
    <s v="18:02:42"/>
    <n v="-0.27721880733418303"/>
    <n v="-19.532205177379392"/>
    <x v="0"/>
    <x v="0"/>
    <n v="2.2967457947946031"/>
  </r>
  <r>
    <n v="96.534034981949588"/>
    <n v="69.062932121834649"/>
    <n v="-27.47110286011495"/>
    <n v="1.04"/>
    <m/>
    <n v="69.062932121834649"/>
    <s v="-"/>
    <n v="28.41403498194958"/>
    <m/>
    <n v="1.5799999999999981"/>
    <n v="28.818897139885049"/>
    <n v="27.66"/>
    <n v="1.1899999999999979"/>
    <n v="2.159999999999997"/>
    <n v="5.0100000000000051"/>
    <n v="0"/>
    <s v="-"/>
    <s v="-"/>
    <s v="-"/>
    <n v="8.6328665152293309E-3"/>
    <x v="6"/>
    <s v="18:00:47"/>
    <n v="-0.39776913629518201"/>
    <n v="-4.77783338898087"/>
    <x v="0"/>
    <x v="0"/>
    <n v="-8.0197319401301144"/>
  </r>
  <r>
    <n v="97.685568336685321"/>
    <n v="70.15509411909963"/>
    <n v="-27.530474217585681"/>
    <n v="1.04"/>
    <m/>
    <n v="70.15509411909963"/>
    <s v="-"/>
    <n v="29.56556833668532"/>
    <m/>
    <n v="1.5600000000000021"/>
    <n v="28.809525782414308"/>
    <n v="27.63"/>
    <n v="1.1899999999999979"/>
    <n v="2.159999999999997"/>
    <n v="5.0100000000000051"/>
    <n v="0"/>
    <s v="-"/>
    <s v="-"/>
    <s v="-"/>
    <n v="8.7693867648874543E-3"/>
    <x v="7"/>
    <s v="11:33:35"/>
    <n v="-0.39242302448982885"/>
    <n v="-5.9371357470730857E-2"/>
    <x v="1"/>
    <x v="0"/>
    <n v="1.1515333547357329"/>
  </r>
  <r>
    <n v="99.085568336685327"/>
    <n v="71.567424852613769"/>
    <n v="-27.518143484071562"/>
    <n v="1.04"/>
    <m/>
    <n v="71.567424852613769"/>
    <n v="39.472189166666674"/>
    <n v="29.56556833668532"/>
    <m/>
    <n v="1.5600000000000021"/>
    <n v="28.821856515928449"/>
    <n v="27.63000000000001"/>
    <n v="1.1899999999999979"/>
    <n v="2.159999999999997"/>
    <n v="6.4099999999999966"/>
    <n v="0"/>
    <s v="-"/>
    <s v="-"/>
    <s v="-"/>
    <n v="8.945928106576722E-3"/>
    <x v="8"/>
    <s v="23:40:46"/>
    <n v="-0.38450654806628198"/>
    <n v="1.2330733514119174E-2"/>
    <x v="1"/>
    <x v="0"/>
    <n v="1.4000000000000057"/>
  </r>
  <r>
    <n v="99.085568336685327"/>
    <n v="71.567424852613769"/>
    <n v="-27.518143484071562"/>
    <n v="1.04"/>
    <m/>
    <n v="71.567424852613769"/>
    <s v="-"/>
    <n v="29.56556833668532"/>
    <m/>
    <n v="1.5600000000000021"/>
    <n v="28.821856515928449"/>
    <n v="27.63000000000001"/>
    <n v="1.1899999999999979"/>
    <n v="2.159999999999997"/>
    <n v="6.4099999999999966"/>
    <n v="0"/>
    <s v="-"/>
    <s v="-"/>
    <s v="-"/>
    <n v="8.945928106576722E-3"/>
    <x v="9"/>
    <s v="18:04:05"/>
    <n v="-0.38450654806628198"/>
    <n v="0"/>
    <x v="1"/>
    <x v="0"/>
    <n v="0"/>
  </r>
  <r>
    <n v="99.085568336685327"/>
    <n v="70.438315326322027"/>
    <n v="-28.64725301036329"/>
    <n v="1.04"/>
    <m/>
    <n v="70.438315326322027"/>
    <s v="-"/>
    <n v="29.56556833668532"/>
    <m/>
    <n v="1.519999999999996"/>
    <n v="28.392746989636709"/>
    <n v="26.97"/>
    <n v="1.1899999999999979"/>
    <n v="2.159999999999997"/>
    <n v="6.4099999999999966"/>
    <n v="0"/>
    <s v="-"/>
    <s v="-"/>
    <s v="-"/>
    <n v="8.8047894157902533E-3"/>
    <x v="10"/>
    <s v="18:49:41"/>
    <n v="-0.40669986040478351"/>
    <n v="-1.1291095262917281"/>
    <x v="1"/>
    <x v="0"/>
    <n v="0"/>
  </r>
  <r>
    <n v="108.0655683366853"/>
    <n v="79.465984592807899"/>
    <n v="-28.599583743877432"/>
    <n v="1.04"/>
    <m/>
    <n v="79.465984592807899"/>
    <n v="54.850964166666657"/>
    <n v="29.56556833668532"/>
    <m/>
    <n v="1.5300000000000009"/>
    <n v="28.380416256122569"/>
    <n v="27"/>
    <n v="1.1899999999999979"/>
    <n v="2.159999999999997"/>
    <n v="6.4099999999999966"/>
    <n v="9"/>
    <s v="-"/>
    <s v="-"/>
    <s v="-"/>
    <n v="9.9332480741009879E-3"/>
    <x v="10"/>
    <s v="18:54:49"/>
    <n v="-0.35989717978610247"/>
    <n v="4.766926648585823E-2"/>
    <x v="1"/>
    <x v="0"/>
    <n v="8.9799999999999756"/>
  </r>
  <r>
    <n v="108.0655683366853"/>
    <n v="79.535200822982034"/>
    <n v="-28.53036751370329"/>
    <n v="1.04"/>
    <m/>
    <n v="79.535200822982034"/>
    <s v="-"/>
    <n v="29.56556833668532"/>
    <m/>
    <n v="1.480000000000004"/>
    <n v="28.619632486296709"/>
    <n v="26.910000000000011"/>
    <n v="1.1899999999999979"/>
    <n v="2.159999999999997"/>
    <n v="6.4099999999999966"/>
    <n v="8.9699999999999989"/>
    <s v="-"/>
    <s v="-"/>
    <s v="-"/>
    <n v="9.9419001028727538E-3"/>
    <x v="11"/>
    <s v="20:32:20"/>
    <n v="-0.35871371692644699"/>
    <n v="6.9216230174141913E-2"/>
    <x v="2"/>
    <x v="0"/>
    <n v="0"/>
  </r>
  <r>
    <n v="108.0655683366853"/>
    <n v="79.512106033749944"/>
    <n v="-28.55346230293538"/>
    <n v="1.04"/>
    <m/>
    <n v="79.512106033749944"/>
    <n v="54.850964166666657"/>
    <n v="29.56556833668532"/>
    <m/>
    <n v="1.4500000000000031"/>
    <n v="28.626537697064609"/>
    <n v="26.91"/>
    <n v="1.1899999999999979"/>
    <n v="2.159999999999997"/>
    <n v="6.4099999999999966"/>
    <n v="8.9699999999999989"/>
    <s v="-"/>
    <s v="-"/>
    <s v="-"/>
    <n v="9.9390132542187433E-3"/>
    <x v="12"/>
    <s v="18:04:04"/>
    <n v="-0.35910836383601125"/>
    <n v="-2.3094789232089852E-2"/>
    <x v="1"/>
    <x v="0"/>
    <n v="0"/>
  </r>
  <r>
    <n v="108.0655683366853"/>
    <n v="79.512106033749944"/>
    <n v="-28.55346230293538"/>
    <n v="1.04"/>
    <m/>
    <n v="79.512106033749944"/>
    <n v="54.850964166666657"/>
    <n v="29.56556833668532"/>
    <m/>
    <n v="1.4500000000000031"/>
    <n v="28.626537697064609"/>
    <n v="26.91"/>
    <n v="1.1899999999999979"/>
    <n v="2.159999999999997"/>
    <n v="6.4099999999999966"/>
    <n v="8.9699999999999989"/>
    <s v="-"/>
    <s v="-"/>
    <s v="-"/>
    <n v="9.9390132542187433E-3"/>
    <x v="13"/>
    <s v="18:01:22"/>
    <n v="-0.35910836383601125"/>
    <n v="0"/>
    <x v="1"/>
    <x v="0"/>
    <n v="0"/>
  </r>
  <r>
    <n v="108.0655683366853"/>
    <n v="135.5414773912207"/>
    <n v="27.475909054535361"/>
    <n v="1.04"/>
    <m/>
    <n v="135.5414773912207"/>
    <n v="0"/>
    <n v="29.56556833668532"/>
    <m/>
    <n v="1.4699999999999991"/>
    <n v="28.63590905453535"/>
    <n v="26.97"/>
    <n v="1.1899999999999979"/>
    <n v="2.159999999999997"/>
    <n v="6.4099999999999966"/>
    <n v="8.9900000000000091"/>
    <s v="-"/>
    <s v="-"/>
    <s v="-"/>
    <n v="1.694268467390259E-2"/>
    <x v="14"/>
    <s v="20:05:54"/>
    <n v="0.20271218510648337"/>
    <n v="56.029371357470737"/>
    <x v="1"/>
    <x v="0"/>
    <n v="0"/>
  </r>
  <r>
    <n v="108.0655683366853"/>
    <n v="51.121477391220687"/>
    <n v="-56.944090945464637"/>
    <n v="2.1800000000000002"/>
    <m/>
    <n v="51.121477391220687"/>
    <n v="56.194730020000002"/>
    <n v="29.56556833668532"/>
    <m/>
    <n v="1.4699999999999991"/>
    <n v="28.63590905453535"/>
    <n v="26.97"/>
    <n v="1.1899999999999979"/>
    <n v="2.159999999999997"/>
    <n v="6.4099999999999966"/>
    <n v="8.990000000000002"/>
    <s v="-"/>
    <s v="-"/>
    <s v="-"/>
    <n v="6.3901846739025858E-3"/>
    <x v="15"/>
    <s v="13:07:22"/>
    <n v="-1.1138975994313476"/>
    <n v="-84.42"/>
    <x v="1"/>
    <x v="0"/>
    <n v="0"/>
  </r>
  <r>
    <n v="112.6843825637491"/>
    <n v="55.754102039820253"/>
    <n v="-56.930280523928808"/>
    <n v="2.1800000000000002"/>
    <m/>
    <n v="55.754102039820253"/>
    <s v="-"/>
    <n v="34.184382563749047"/>
    <m/>
    <n v="1.4699999999999991"/>
    <n v="28.64971947607118"/>
    <n v="26.97000000000001"/>
    <n v="1.1899999999999979"/>
    <n v="2.1600000000000041"/>
    <n v="6.4100000000000037"/>
    <n v="8.990000000000002"/>
    <s v="-"/>
    <s v="-"/>
    <s v="-"/>
    <n v="6.9692627549775314E-3"/>
    <x v="15"/>
    <s v="20:14:40"/>
    <n v="-1.0210958196989437"/>
    <n v="1.3810421535829676E-2"/>
    <x v="1"/>
    <x v="0"/>
    <n v="4.618814227063794"/>
  </r>
  <r>
    <n v="112.6843825637491"/>
    <n v="55.754102039820253"/>
    <n v="-56.930280523928808"/>
    <n v="2.1800000000000002"/>
    <m/>
    <n v="55.754102039820253"/>
    <s v="-"/>
    <n v="34.184382563749047"/>
    <m/>
    <n v="1.4699999999999991"/>
    <n v="28.64971947607118"/>
    <n v="26.97000000000001"/>
    <n v="1.1899999999999979"/>
    <n v="2.1600000000000041"/>
    <n v="6.4100000000000037"/>
    <n v="8.990000000000002"/>
    <s v="-"/>
    <s v="-"/>
    <s v="-"/>
    <n v="6.9692627549775314E-3"/>
    <x v="16"/>
    <s v="18:01:43"/>
    <n v="-1.0210958196989437"/>
    <n v="0"/>
    <x v="1"/>
    <x v="0"/>
    <n v="0"/>
  </r>
  <r>
    <n v="112.6843825637491"/>
    <n v="55.629537419620419"/>
    <n v="-57.054845144128628"/>
    <n v="2.1800000000000002"/>
    <m/>
    <n v="55.629537419620419"/>
    <s v="-"/>
    <n v="34.18438256374904"/>
    <m/>
    <n v="1.4500000000000031"/>
    <n v="28.545154855871349"/>
    <n v="26.97"/>
    <n v="1.1899999999999979"/>
    <n v="2.159999999999997"/>
    <n v="6.4099999999999966"/>
    <n v="8.9899999999999949"/>
    <s v="-"/>
    <s v="-"/>
    <s v="-"/>
    <n v="6.9536921774525527E-3"/>
    <x v="17"/>
    <s v="18:00:01"/>
    <n v="-1.0256214196741731"/>
    <n v="-0.12456462019981984"/>
    <x v="1"/>
    <x v="0"/>
    <n v="0"/>
  </r>
  <r>
    <n v="112.6843825637491"/>
    <n v="55.381026964696069"/>
    <n v="-57.303355599052978"/>
    <n v="2.1800000000000002"/>
    <m/>
    <n v="55.381026964696069"/>
    <n v="56.194730020000002"/>
    <n v="34.184382563749047"/>
    <m/>
    <n v="1.43"/>
    <n v="28.436644400946999"/>
    <n v="26.88"/>
    <n v="1.1899999999999979"/>
    <n v="2.1600000000000041"/>
    <n v="6.4100000000000037"/>
    <n v="8.9600000000000009"/>
    <s v="-"/>
    <s v="-"/>
    <s v="-"/>
    <n v="6.9226283705870082E-3"/>
    <x v="18"/>
    <s v="18:03:50"/>
    <n v="-1.0347109604085591"/>
    <n v="-0.2485104549243502"/>
    <x v="1"/>
    <x v="0"/>
    <n v="0"/>
  </r>
  <r>
    <n v="112.6843825637491"/>
    <n v="55.381026964696069"/>
    <n v="-57.303355599052978"/>
    <n v="2.1800000000000002"/>
    <m/>
    <n v="55.381026964696069"/>
    <s v="-"/>
    <n v="34.184382563749047"/>
    <m/>
    <n v="1.43"/>
    <n v="28.436644400946999"/>
    <n v="26.88"/>
    <n v="1.1899999999999979"/>
    <n v="2.1600000000000041"/>
    <n v="6.4100000000000037"/>
    <n v="8.9600000000000009"/>
    <s v="-"/>
    <s v="-"/>
    <s v="-"/>
    <n v="6.9226283705870082E-3"/>
    <x v="19"/>
    <s v="18:01:30"/>
    <n v="-1.0347109604085591"/>
    <n v="0"/>
    <x v="1"/>
    <x v="0"/>
    <n v="0"/>
  </r>
  <r>
    <n v="112.6843825637491"/>
    <n v="55.228425404804547"/>
    <n v="-57.455957158944507"/>
    <n v="2.1800000000000002"/>
    <m/>
    <n v="55.228425404804547"/>
    <s v="-"/>
    <n v="34.184382563749033"/>
    <m/>
    <n v="1.43"/>
    <n v="28.444042841055481"/>
    <n v="26.76"/>
    <n v="1.1899999999999979"/>
    <n v="2.1600000000000041"/>
    <n v="6.4100000000000037"/>
    <n v="8.9199999999999946"/>
    <s v="-"/>
    <s v="-"/>
    <s v="-"/>
    <n v="6.9035531756005686E-3"/>
    <x v="20"/>
    <s v="18:01:35"/>
    <n v="-1.0403330664927155"/>
    <n v="-0.15260155989152935"/>
    <x v="1"/>
    <x v="0"/>
    <n v="0"/>
  </r>
  <r>
    <n v="112.6843825637491"/>
    <n v="55.249170608270163"/>
    <n v="-57.435211955478898"/>
    <n v="2.1800000000000002"/>
    <m/>
    <n v="55.249170608270163"/>
    <s v="-"/>
    <n v="34.184382563749047"/>
    <m/>
    <n v="1.4399999999999979"/>
    <n v="28.134788044521091"/>
    <n v="27.000000000000011"/>
    <n v="1.1899999999999979"/>
    <n v="2.1600000000000041"/>
    <n v="6.4100000000000037"/>
    <n v="9.0000000000000071"/>
    <s v="-"/>
    <s v="-"/>
    <s v="-"/>
    <n v="6.9061463260337696E-3"/>
    <x v="21"/>
    <s v="22:28:00"/>
    <n v="-1.0395669531893663"/>
    <n v="2.0745203465608597E-2"/>
    <x v="1"/>
    <x v="0"/>
    <n v="0"/>
  </r>
  <r>
    <n v="112.6843825637491"/>
    <n v="55.249170608270163"/>
    <n v="-57.435211955478898"/>
    <n v="2.1800000000000002"/>
    <m/>
    <n v="55.249170608270163"/>
    <s v="-"/>
    <n v="34.184382563749047"/>
    <m/>
    <n v="1.4399999999999979"/>
    <n v="28.134788044521091"/>
    <n v="27.000000000000011"/>
    <n v="1.1899999999999979"/>
    <n v="2.1600000000000041"/>
    <n v="6.4100000000000037"/>
    <n v="9.0000000000000071"/>
    <s v="-"/>
    <s v="-"/>
    <s v="-"/>
    <n v="6.9061463260337696E-3"/>
    <x v="22"/>
    <s v="18:16:40"/>
    <n v="-1.0395669531893663"/>
    <n v="0"/>
    <x v="1"/>
    <x v="0"/>
    <n v="0"/>
  </r>
  <r>
    <n v="112.6843825637491"/>
    <n v="55.249170608270163"/>
    <n v="-57.435211955478898"/>
    <n v="2.1800000000000002"/>
    <m/>
    <n v="55.249170608270163"/>
    <s v="-"/>
    <n v="34.184382563749047"/>
    <m/>
    <n v="1.4399999999999979"/>
    <n v="28.134788044521091"/>
    <n v="27.000000000000011"/>
    <n v="1.1899999999999979"/>
    <n v="2.1600000000000041"/>
    <n v="6.4100000000000037"/>
    <n v="9.0000000000000071"/>
    <s v="-"/>
    <s v="-"/>
    <s v="-"/>
    <n v="6.9061463260337696E-3"/>
    <x v="22"/>
    <s v="18:18:11"/>
    <n v="-1.0395669531893663"/>
    <n v="0"/>
    <x v="1"/>
    <x v="0"/>
    <n v="0"/>
  </r>
  <r>
    <n v="112.6843825637491"/>
    <n v="55.249170608270163"/>
    <n v="-57.435211955478898"/>
    <n v="2.1800000000000002"/>
    <m/>
    <n v="55.249170608270163"/>
    <s v="-"/>
    <n v="34.184382563749047"/>
    <m/>
    <n v="1.4399999999999979"/>
    <n v="28.134788044521091"/>
    <n v="27.000000000000011"/>
    <n v="1.1899999999999979"/>
    <n v="2.1600000000000041"/>
    <n v="6.4100000000000037"/>
    <n v="9.0000000000000071"/>
    <s v="-"/>
    <s v="-"/>
    <s v="-"/>
    <n v="6.9061463260337696E-3"/>
    <x v="23"/>
    <s v="18:01:56"/>
    <n v="-1.0395669531893663"/>
    <n v="0"/>
    <x v="1"/>
    <x v="0"/>
    <n v="0"/>
  </r>
  <r>
    <n v="112.6843825637491"/>
    <n v="55.249170608270163"/>
    <n v="-57.435211955478898"/>
    <n v="2.1800000000000002"/>
    <m/>
    <n v="55.249170608270163"/>
    <s v="-"/>
    <n v="34.184382563749047"/>
    <m/>
    <n v="1.4399999999999979"/>
    <n v="28.134788044521091"/>
    <n v="27.000000000000011"/>
    <n v="1.1899999999999979"/>
    <n v="2.1600000000000041"/>
    <n v="6.4100000000000037"/>
    <n v="9.0000000000000071"/>
    <s v="-"/>
    <s v="-"/>
    <s v="-"/>
    <n v="6.9061463260337696E-3"/>
    <x v="23"/>
    <s v="20:00:43"/>
    <n v="-1.0395669531893663"/>
    <n v="0"/>
    <x v="1"/>
    <x v="0"/>
    <n v="0"/>
  </r>
  <r>
    <n v="112.6843825637491"/>
    <n v="55.249170608270163"/>
    <n v="-57.435211955478898"/>
    <n v="2.1800000000000002"/>
    <m/>
    <n v="55.249170608270163"/>
    <s v="-"/>
    <n v="34.184382563749047"/>
    <m/>
    <n v="1.4399999999999979"/>
    <n v="28.134788044521091"/>
    <n v="27.000000000000011"/>
    <n v="1.1899999999999979"/>
    <n v="2.1600000000000041"/>
    <n v="6.4100000000000037"/>
    <n v="9.0000000000000071"/>
    <s v="-"/>
    <s v="-"/>
    <s v="-"/>
    <n v="6.9061463260337696E-3"/>
    <x v="23"/>
    <s v="20:22:19"/>
    <n v="-1.0395669531893663"/>
    <n v="0"/>
    <x v="1"/>
    <x v="0"/>
    <n v="0"/>
  </r>
  <r>
    <n v="112.6843825637491"/>
    <n v="55.249170608270163"/>
    <n v="-57.435211955478898"/>
    <n v="2.1800000000000002"/>
    <m/>
    <n v="55.249170608270163"/>
    <s v="-"/>
    <n v="34.184382563749047"/>
    <m/>
    <n v="1.4399999999999979"/>
    <n v="28.134788044521091"/>
    <n v="27.000000000000011"/>
    <n v="1.1899999999999979"/>
    <n v="2.1600000000000041"/>
    <n v="6.4100000000000037"/>
    <n v="9.0000000000000071"/>
    <s v="-"/>
    <s v="-"/>
    <s v="-"/>
    <n v="6.9061463260337696E-3"/>
    <x v="23"/>
    <s v="20:24:40"/>
    <n v="-1.0395669531893663"/>
    <n v="0"/>
    <x v="1"/>
    <x v="0"/>
    <n v="0"/>
  </r>
  <r>
    <n v="103.70438256374899"/>
    <n v="46.462574790239891"/>
    <n v="-57.241807773509159"/>
    <n v="2.1800000000000002"/>
    <m/>
    <n v="46.462574790239891"/>
    <s v="-"/>
    <n v="34.184382563749047"/>
    <m/>
    <n v="1.4399999999999979"/>
    <n v="28.178192226490829"/>
    <n v="27.09"/>
    <n v="1.1899999999999979"/>
    <n v="2.1600000000000041"/>
    <n v="6.4100000000000037"/>
    <n v="0"/>
    <s v="-"/>
    <s v="-"/>
    <s v="-"/>
    <n v="5.8078218487799867E-3"/>
    <x v="23"/>
    <s v="20:25:30"/>
    <n v="-1.2319981841715237"/>
    <n v="0.19340418196973985"/>
    <x v="1"/>
    <x v="0"/>
    <n v="-8.9800000000001035"/>
  </r>
  <r>
    <n v="103.70438256374899"/>
    <n v="46.732574790239887"/>
    <n v="-56.971807773509163"/>
    <n v="2.1800000000000002"/>
    <m/>
    <n v="46.732574790239887"/>
    <s v="-"/>
    <n v="34.18438256374904"/>
    <m/>
    <n v="1.4399999999999979"/>
    <n v="28.17819222649084"/>
    <n v="27.089999999999989"/>
    <n v="1.1899999999999979"/>
    <n v="2.159999999999997"/>
    <n v="6.4099999999999966"/>
    <n v="0"/>
    <s v="-"/>
    <s v="-"/>
    <s v="-"/>
    <n v="5.8415718487799858E-3"/>
    <x v="24"/>
    <s v="18:44:39"/>
    <n v="-1.2191026929123483"/>
    <n v="0.26999999999999602"/>
    <x v="1"/>
    <x v="0"/>
    <n v="0"/>
  </r>
  <r>
    <n v="103.70438256374899"/>
    <n v="34.625186207185372"/>
    <n v="-69.079196356563685"/>
    <n v="2.1800000000000002"/>
    <m/>
    <n v="34.625186207185372"/>
    <s v="-"/>
    <n v="34.184382563749047"/>
    <m/>
    <n v="1.4200000000000019"/>
    <n v="28.060803643436309"/>
    <n v="27.12"/>
    <n v="1.1899999999999979"/>
    <n v="2.159999999999997"/>
    <n v="6.4099999999999966"/>
    <n v="0"/>
    <s v="-"/>
    <s v="-"/>
    <s v="-"/>
    <n v="4.3281482758981719E-3"/>
    <x v="24"/>
    <s v="20:18:59"/>
    <n v="-1.9950563137254251"/>
    <n v="-12.107388583054522"/>
    <x v="1"/>
    <x v="0"/>
    <n v="0"/>
  </r>
  <r>
    <n v="103.70438256374899"/>
    <n v="46.605186207185369"/>
    <n v="-57.099196356563681"/>
    <n v="2.1800000000000002"/>
    <m/>
    <n v="46.605186207185369"/>
    <s v="-"/>
    <n v="34.18438256374904"/>
    <m/>
    <n v="1.4200000000000019"/>
    <n v="28.060803643436319"/>
    <n v="27.12"/>
    <n v="1.1899999999999979"/>
    <n v="2.1600000000000041"/>
    <n v="6.4099999999999966"/>
    <n v="0"/>
    <s v="-"/>
    <s v="-"/>
    <s v="-"/>
    <n v="5.8256482758981707E-3"/>
    <x v="24"/>
    <s v="20:29:58"/>
    <n v="-1.2251682914156106"/>
    <n v="11.980000000000004"/>
    <x v="1"/>
    <x v="0"/>
    <n v="0"/>
  </r>
  <r>
    <n v="103.70438256374899"/>
    <n v="46.605186207185369"/>
    <n v="-57.099196356563681"/>
    <n v="2.1800000000000002"/>
    <m/>
    <n v="46.605186207185369"/>
    <s v="-"/>
    <n v="34.18438256374904"/>
    <m/>
    <n v="1.4200000000000019"/>
    <n v="28.060803643436319"/>
    <n v="27.12"/>
    <n v="1.1899999999999979"/>
    <n v="2.1600000000000041"/>
    <n v="6.4099999999999966"/>
    <n v="0"/>
    <s v="-"/>
    <s v="-"/>
    <s v="-"/>
    <n v="5.8256482758981707E-3"/>
    <x v="25"/>
    <s v="19:29:29"/>
    <n v="-1.2251682914156106"/>
    <n v="0"/>
    <x v="1"/>
    <x v="0"/>
    <n v="0"/>
  </r>
  <r>
    <n v="103.70438256374899"/>
    <n v="46.924006054847368"/>
    <n v="-56.780376508901682"/>
    <n v="2.1800000000000002"/>
    <m/>
    <n v="46.924006054847368"/>
    <s v="-"/>
    <n v="34.18438256374904"/>
    <m/>
    <n v="1.399999999999999"/>
    <n v="28.219623491098321"/>
    <n v="27.3"/>
    <n v="1.1899999999999979"/>
    <n v="2.159999999999997"/>
    <n v="6.4099999999999966"/>
    <n v="0"/>
    <s v="-"/>
    <s v="-"/>
    <s v="-"/>
    <n v="5.8655007568559209E-3"/>
    <x v="25"/>
    <s v="19:35:30"/>
    <n v="-1.2100496373334715"/>
    <n v="0.31881984766199878"/>
    <x v="1"/>
    <x v="0"/>
    <n v="0"/>
  </r>
  <r>
    <n v="115.724382563749"/>
    <n v="59.09400605484737"/>
    <n v="-56.630376508901684"/>
    <n v="2.1800000000000002"/>
    <m/>
    <n v="59.09400605484737"/>
    <s v="-"/>
    <n v="34.18438256374904"/>
    <m/>
    <n v="12.77"/>
    <n v="28.2196234910983"/>
    <n v="27.3"/>
    <n v="1.9600000000000011"/>
    <n v="2.159999999999997"/>
    <n v="6.4099999999999966"/>
    <n v="0"/>
    <s v="-"/>
    <s v="-"/>
    <s v="-"/>
    <n v="7.3867507568559209E-3"/>
    <x v="26"/>
    <s v="18:00:35"/>
    <n v="-0.95830999266390737"/>
    <n v="0.14999999999999858"/>
    <x v="1"/>
    <x v="0"/>
    <n v="12.02000000000001"/>
  </r>
  <r>
    <n v="143.9208000622061"/>
    <n v="142.4495407128984"/>
    <n v="-1.4712593493077619"/>
    <n v="2.1800000000000002"/>
    <m/>
    <n v="142.4495407128984"/>
    <s v="-"/>
    <n v="41.150800062206123"/>
    <m/>
    <n v="12.72"/>
    <n v="38.018740650692251"/>
    <n v="27.56999999999999"/>
    <n v="1.960000000000008"/>
    <n v="2.159999999999997"/>
    <n v="6.4099999999999966"/>
    <n v="11.28999999999999"/>
    <s v="-"/>
    <s v="-"/>
    <s v="-"/>
    <n v="1.7806192589112299E-2"/>
    <x v="27"/>
    <s v="10:16:39"/>
    <n v="-1.0328284260831903E-2"/>
    <n v="55.159117159593919"/>
    <x v="1"/>
    <x v="0"/>
    <n v="28.196417498457095"/>
  </r>
  <r>
    <n v="143.9208000622061"/>
    <n v="142.2782286704219"/>
    <n v="-1.6425713917842419"/>
    <n v="2.1800000000000002"/>
    <m/>
    <n v="142.2782286704219"/>
    <s v="-"/>
    <n v="41.150800062206123"/>
    <m/>
    <n v="12.63"/>
    <n v="38.217428608215783"/>
    <n v="27.359999999999989"/>
    <n v="1.960000000000008"/>
    <n v="2.159999999999997"/>
    <n v="6.4099999999999966"/>
    <n v="11.22"/>
    <s v="-"/>
    <s v="-"/>
    <s v="-"/>
    <n v="1.778477858380274E-2"/>
    <x v="28"/>
    <s v="10:40:37"/>
    <n v="-1.1544783816427389E-2"/>
    <n v="-0.17131204247648002"/>
    <x v="1"/>
    <x v="0"/>
    <n v="0"/>
  </r>
  <r>
    <n v="143.9208000622061"/>
    <n v="142.2782286704219"/>
    <n v="-1.6425713917842419"/>
    <n v="2.1800000000000002"/>
    <m/>
    <n v="142.2782286704219"/>
    <s v="-"/>
    <n v="41.150800062206123"/>
    <m/>
    <n v="12.63"/>
    <n v="38.217428608215783"/>
    <n v="27.359999999999989"/>
    <n v="1.960000000000008"/>
    <n v="2.159999999999997"/>
    <n v="6.4099999999999966"/>
    <n v="11.22"/>
    <s v="-"/>
    <s v="-"/>
    <s v="-"/>
    <n v="1.778477858380274E-2"/>
    <x v="29"/>
    <s v="19:24:15"/>
    <n v="-1.1544783816427389E-2"/>
    <n v="0"/>
    <x v="1"/>
    <x v="0"/>
    <n v="0"/>
  </r>
  <r>
    <n v="143.9208000622061"/>
    <n v="141.69826189273209"/>
    <n v="-2.222538169474046"/>
    <n v="2.1800000000000002"/>
    <m/>
    <n v="141.69826189273209"/>
    <s v="-"/>
    <n v="41.150800062206088"/>
    <m/>
    <n v="12.240000000000011"/>
    <n v="38.527461830525972"/>
    <n v="27.240000000000009"/>
    <n v="1.960000000000008"/>
    <n v="2.159999999999997"/>
    <n v="6.4099999999999966"/>
    <n v="10.84"/>
    <s v="-"/>
    <s v="-"/>
    <s v="-"/>
    <n v="1.7712282736591509E-2"/>
    <x v="29"/>
    <s v="20:25:35"/>
    <n v="-1.5685006575144472E-2"/>
    <n v="-0.57996677768980409"/>
    <x v="1"/>
    <x v="0"/>
    <n v="0"/>
  </r>
  <r>
    <n v="143.96080006220609"/>
    <n v="141.70890076697151"/>
    <n v="-2.2518992952346149"/>
    <n v="2.1800000000000002"/>
    <m/>
    <n v="141.70890076697151"/>
    <s v="-"/>
    <n v="41.150800062206123"/>
    <m/>
    <n v="12.21000000000001"/>
    <n v="38.268100704765402"/>
    <n v="27.539999999999988"/>
    <n v="1.9699999999999991"/>
    <n v="2.1800000000000068"/>
    <n v="6.4199999999999866"/>
    <n v="10.80000000000001"/>
    <s v="-"/>
    <s v="-"/>
    <s v="-"/>
    <n v="1.7713612595871439E-2"/>
    <x v="30"/>
    <s v="18:58:59"/>
    <n v="-1.5891022250872411E-2"/>
    <n v="-2.9361125760568818E-2"/>
    <x v="1"/>
    <x v="0"/>
    <n v="3.9999999999992042E-2"/>
  </r>
  <r>
    <n v="143.96080006220609"/>
    <n v="141.6449464208558"/>
    <n v="-2.3158536413502819"/>
    <n v="2.1800000000000002"/>
    <m/>
    <n v="141.6449464208558"/>
    <s v="-"/>
    <n v="41.150800062206123"/>
    <m/>
    <n v="12.03"/>
    <n v="38.694146358649732"/>
    <n v="27.38999999999999"/>
    <n v="1.9699999999999991"/>
    <n v="2.1800000000000068"/>
    <n v="6.4199999999999866"/>
    <n v="10.63999999999999"/>
    <s v="-"/>
    <s v="-"/>
    <s v="-"/>
    <n v="1.770561830260698E-2"/>
    <x v="31"/>
    <s v="20:08:28"/>
    <n v="-1.6349708901505122E-2"/>
    <n v="-6.3954346115667082E-2"/>
    <x v="1"/>
    <x v="0"/>
    <n v="0"/>
  </r>
  <r>
    <n v="143.96080006220609"/>
    <n v="141.6096714587643"/>
    <n v="-2.3511286034418348"/>
    <n v="2.1800000000000002"/>
    <m/>
    <n v="141.6096714587643"/>
    <s v="-"/>
    <n v="41.150800062206123"/>
    <m/>
    <n v="11.84"/>
    <n v="39.238871396558181"/>
    <n v="27.240000000000009"/>
    <n v="1.9699999999999991"/>
    <n v="2.1800000000000068"/>
    <n v="6.4199999999999866"/>
    <n v="10.400000000000009"/>
    <s v="-"/>
    <s v="-"/>
    <s v="-"/>
    <n v="1.7701208932345541E-2"/>
    <x v="32"/>
    <s v="19:22:38"/>
    <n v="-1.6602881563258669E-2"/>
    <n v="-3.5274962091552897E-2"/>
    <x v="1"/>
    <x v="0"/>
    <n v="0"/>
  </r>
  <r>
    <n v="144.12080006220609"/>
    <n v="140.4196714587643"/>
    <n v="-3.7011286034418438"/>
    <n v="2.1800000000000002"/>
    <m/>
    <n v="140.4196714587643"/>
    <n v="1.5276249833333331"/>
    <n v="41.300800062206093"/>
    <m/>
    <n v="11.84"/>
    <n v="39.238871396558181"/>
    <n v="27.240000000000009"/>
    <n v="1.9699999999999991"/>
    <n v="2.1800000000000068"/>
    <n v="6.4300000000000068"/>
    <n v="10.400000000000009"/>
    <s v="-"/>
    <s v="-"/>
    <s v="-"/>
    <n v="1.7552458932345541E-2"/>
    <x v="33"/>
    <s v="19:22:21"/>
    <n v="-2.6357621870157409E-2"/>
    <n v="-1.350000000000009"/>
    <x v="3"/>
    <x v="0"/>
    <n v="0.15999999999999659"/>
  </r>
  <r>
    <n v="144.12080006220609"/>
    <n v="49.956276682018533"/>
    <n v="-94.164523380187589"/>
    <n v="2.1800000000000002"/>
    <m/>
    <n v="49.956276682018533"/>
    <n v="89.699268316666675"/>
    <n v="41.300800062206108"/>
    <m/>
    <n v="11.73"/>
    <n v="38.665476619812438"/>
    <n v="27"/>
    <n v="1.9699999999999991"/>
    <n v="2.1800000000000002"/>
    <n v="6.43"/>
    <n v="10.32"/>
    <s v="-"/>
    <s v="-"/>
    <s v="-"/>
    <n v="6.2445345852523166E-3"/>
    <x v="34"/>
    <s v="13:40:43"/>
    <n v="-1.8849387831595854"/>
    <n v="-90.463394776745744"/>
    <x v="3"/>
    <x v="0"/>
    <n v="0"/>
  </r>
  <r>
    <n v="144.12080006220609"/>
    <n v="50.342948349893177"/>
    <n v="-93.777851712312938"/>
    <n v="2.1800000000000002"/>
    <m/>
    <n v="50.342948349893177"/>
    <n v="89.699268316666675"/>
    <n v="41.300800062206108"/>
    <m/>
    <n v="11.92"/>
    <n v="38.712148287687093"/>
    <n v="26.97"/>
    <n v="1.9699999999999991"/>
    <n v="2.1800000000000002"/>
    <n v="6.43"/>
    <n v="10.5"/>
    <s v="-"/>
    <s v="-"/>
    <s v="-"/>
    <n v="6.2928685437366469E-3"/>
    <x v="34"/>
    <s v="18:06:09"/>
    <n v="-1.862780285742083"/>
    <n v="0.38667166787465135"/>
    <x v="3"/>
    <x v="0"/>
    <n v="0"/>
  </r>
  <r>
    <n v="144.12080006220609"/>
    <n v="221.26091812830779"/>
    <n v="77.140118066101707"/>
    <n v="2.1800000000000002"/>
    <m/>
    <n v="221.26091812830779"/>
    <n v="0"/>
    <n v="41.300800062206122"/>
    <m/>
    <n v="12.03999999999999"/>
    <n v="38.43011806610167"/>
    <n v="27.06"/>
    <n v="1.9699999999999991"/>
    <n v="2.1800000000000068"/>
    <n v="6.4300000000000068"/>
    <n v="10.63999999999999"/>
    <s v="-"/>
    <s v="-"/>
    <s v="-"/>
    <n v="2.7657614766038469E-2"/>
    <x v="35"/>
    <s v="21:34:46"/>
    <n v="0.34863869642522521"/>
    <n v="170.91796977841466"/>
    <x v="3"/>
    <x v="0"/>
    <n v="0"/>
  </r>
  <r>
    <n v="261.70818016554722"/>
    <n v="259.24962701680488"/>
    <n v="-2.4585531487422321"/>
    <n v="2.1800000000000002"/>
    <m/>
    <n v="259.24962701680488"/>
    <n v="0"/>
    <n v="65.678180165547133"/>
    <m/>
    <n v="46.79000000000002"/>
    <n v="57.861446851257767"/>
    <n v="45.25"/>
    <n v="1.9700000000000271"/>
    <n v="2.1800000000000068"/>
    <n v="6.4300000000000068"/>
    <n v="10.69999999999999"/>
    <s v="-"/>
    <s v="-"/>
    <s v="-"/>
    <n v="3.2406203377100609E-2"/>
    <x v="36"/>
    <s v="19:01:53"/>
    <n v="-9.4833430506068416E-3"/>
    <n v="-79.598671214843932"/>
    <x v="3"/>
    <x v="0"/>
    <n v="117.58738010334113"/>
  </r>
  <r>
    <n v="261.70818016554722"/>
    <n v="248.24962701680491"/>
    <n v="-13.458553148742229"/>
    <n v="2.1800000000000002"/>
    <m/>
    <n v="248.24962701680491"/>
    <n v="11.28408233333333"/>
    <n v="65.678180165547133"/>
    <m/>
    <n v="46.79000000000002"/>
    <n v="57.861446851257767"/>
    <n v="45.25"/>
    <n v="1.9699999999999991"/>
    <n v="2.1800000000000068"/>
    <n v="6.4300000000000068"/>
    <n v="10.69999999999999"/>
    <s v="-"/>
    <s v="-"/>
    <s v="-"/>
    <n v="3.1031203377100611E-2"/>
    <x v="37"/>
    <s v="17:19:01"/>
    <n v="-5.4213790008357882E-2"/>
    <n v="-10.999999999999996"/>
    <x v="3"/>
    <x v="0"/>
    <n v="0"/>
  </r>
  <r>
    <n v="261.70818016554722"/>
    <n v="248.28062029275591"/>
    <n v="-13.427559872791219"/>
    <n v="3.43"/>
    <m/>
    <n v="248.28062029275591"/>
    <s v="-"/>
    <n v="65.678180165547133"/>
    <m/>
    <n v="46.79000000000002"/>
    <n v="57.892440127208772"/>
    <n v="45.25"/>
    <n v="1.9699999999999991"/>
    <n v="2.1800000000000068"/>
    <n v="6.4300000000000068"/>
    <n v="10.69999999999999"/>
    <n v="21"/>
    <s v="-"/>
    <s v="-"/>
    <n v="3.1035077536594489E-2"/>
    <x v="38"/>
    <s v="20:31:39"/>
    <n v="-5.4082190776542839E-2"/>
    <n v="3.0993275951010091E-2"/>
    <x v="3"/>
    <x v="0"/>
    <n v="0"/>
  </r>
  <r>
    <n v="261.70818016554722"/>
    <n v="248.08347865391761"/>
    <n v="-13.62470151162954"/>
    <n v="3.43"/>
    <m/>
    <n v="248.08347865391761"/>
    <s v="-"/>
    <n v="65.678180165547133"/>
    <m/>
    <n v="46.480000000000018"/>
    <n v="58.545298488370463"/>
    <n v="45.199999999999989"/>
    <n v="1.9699999999999991"/>
    <n v="2.1800000000000068"/>
    <n v="6.4300000000000068"/>
    <n v="10.470000000000031"/>
    <n v="20.74"/>
    <s v="-"/>
    <s v="-"/>
    <n v="3.1010434831739701E-2"/>
    <x v="39"/>
    <s v="18:01:06"/>
    <n v="-5.4919826122868609E-2"/>
    <n v="-0.19714163883832114"/>
    <x v="3"/>
    <x v="0"/>
    <n v="0"/>
  </r>
  <r>
    <n v="261.70818016554722"/>
    <n v="246.94257430893711"/>
    <n v="-14.76560585661009"/>
    <n v="3.43"/>
    <m/>
    <n v="246.94257430893711"/>
    <s v="-"/>
    <n v="65.678180165547133"/>
    <m/>
    <n v="45.949999999999989"/>
    <n v="58.104394143389868"/>
    <n v="45.199999999999989"/>
    <n v="1.9699999999999991"/>
    <n v="2.1800000000000068"/>
    <n v="6.4300000000000104"/>
    <n v="10.399999999999981"/>
    <n v="20.64"/>
    <s v="-"/>
    <s v="-"/>
    <n v="3.086782178861714E-2"/>
    <x v="40"/>
    <s v="18:04:34"/>
    <n v="-5.9793682389240842E-2"/>
    <n v="-1.1409043449805498"/>
    <x v="3"/>
    <x v="0"/>
    <n v="0"/>
  </r>
  <r>
    <n v="276.59818016554709"/>
    <n v="261.92457821322353"/>
    <n v="-14.67360195232359"/>
    <n v="3.43"/>
    <m/>
    <n v="261.92457821322353"/>
    <s v="-"/>
    <n v="65.728180165547144"/>
    <m/>
    <n v="45.949999999999989"/>
    <n v="58.086398047676433"/>
    <n v="45.199999999999989"/>
    <n v="1.9700000000000271"/>
    <n v="2.1800000000000068"/>
    <n v="6.4399999999999977"/>
    <n v="10.399999999999981"/>
    <n v="20.64"/>
    <s v="-"/>
    <s v="-"/>
    <n v="3.2740572276652939E-2"/>
    <x v="40"/>
    <s v="22:54:48"/>
    <n v="-5.6022241411717882E-2"/>
    <n v="9.200390428649996E-2"/>
    <x v="3"/>
    <x v="0"/>
    <n v="14.889999999999873"/>
  </r>
  <r>
    <n v="276.59818016554709"/>
    <n v="262.08460207275209"/>
    <n v="-14.51357809279493"/>
    <n v="3.43"/>
    <m/>
    <n v="262.08460207275209"/>
    <s v="-"/>
    <n v="65.728180165547144"/>
    <m/>
    <n v="46.06"/>
    <n v="57.976421907205072"/>
    <n v="45.199999999999989"/>
    <n v="1.9700000000000271"/>
    <n v="2.1800000000000068"/>
    <n v="6.4399999999999977"/>
    <n v="10.5"/>
    <n v="20.7"/>
    <s v="-"/>
    <s v="-"/>
    <n v="3.276057525909401E-2"/>
    <x v="41"/>
    <s v="21:31:57"/>
    <n v="-5.5377454371646387E-2"/>
    <n v="0.16002385952866049"/>
    <x v="3"/>
    <x v="0"/>
    <n v="0"/>
  </r>
  <r>
    <n v="265.36818016554707"/>
    <n v="252.7666016389426"/>
    <n v="-12.601578526604539"/>
    <n v="3.43"/>
    <m/>
    <n v="252.7666016389426"/>
    <s v="-"/>
    <n v="65.728180165547116"/>
    <m/>
    <n v="47.499999999999972"/>
    <n v="57.978421473395457"/>
    <n v="45.099999999999987"/>
    <n v="1.9699999999999991"/>
    <n v="2.1800000000000068"/>
    <n v="6.4400000000000261"/>
    <n v="0"/>
    <n v="20.54"/>
    <s v="-"/>
    <s v="-"/>
    <n v="3.1595825204867832E-2"/>
    <x v="42"/>
    <s v="21:42:20"/>
    <n v="-4.9854602803122351E-2"/>
    <n v="1.9119995661903904"/>
    <x v="3"/>
    <x v="0"/>
    <n v="-11.230000000000018"/>
  </r>
  <r>
    <n v="284.40818016554709"/>
    <n v="283.84684923457718"/>
    <n v="-0.56133093096991504"/>
    <n v="3.43"/>
    <m/>
    <n v="283.84684923457718"/>
    <s v="-"/>
    <n v="65.798180165547137"/>
    <m/>
    <n v="49.909999999999968"/>
    <n v="66.188669069030084"/>
    <n v="54.300000000000011"/>
    <n v="2.910000000000025"/>
    <n v="2.1800000000000068"/>
    <n v="6.4399999999999977"/>
    <n v="0"/>
    <n v="20.65"/>
    <s v="-"/>
    <s v="-"/>
    <n v="3.548085615432215E-2"/>
    <x v="43"/>
    <s v="18:19:06"/>
    <n v="-1.9775838008545903E-3"/>
    <n v="12.040247595634625"/>
    <x v="3"/>
    <x v="0"/>
    <n v="19.04000000000002"/>
  </r>
  <r>
    <n v="284.45818016554711"/>
    <n v="284.01566349836821"/>
    <n v="-0.44251666717892379"/>
    <n v="3.43"/>
    <m/>
    <n v="284.01566349836821"/>
    <s v="-"/>
    <n v="65.838180165547158"/>
    <m/>
    <n v="49.910000000000032"/>
    <n v="66.217483332821075"/>
    <n v="54.300000000000011"/>
    <n v="2.910000000000025"/>
    <n v="2.1800000000000068"/>
    <n v="6.4499999999999886"/>
    <n v="0"/>
    <n v="20.65"/>
    <s v="-"/>
    <s v="-"/>
    <n v="3.5501957937296033E-2"/>
    <x v="44"/>
    <s v="21:49:06"/>
    <n v="-1.5580713462356847E-3"/>
    <n v="0.11881426379099125"/>
    <x v="3"/>
    <x v="0"/>
    <n v="5.0000000000011369E-2"/>
  </r>
  <r>
    <n v="284.45818016554711"/>
    <n v="283.30134339434409"/>
    <n v="-1.1568367712030361"/>
    <n v="3.43"/>
    <m/>
    <n v="283.30134339434409"/>
    <s v="-"/>
    <n v="65.838180165547158"/>
    <m/>
    <n v="49.75"/>
    <n v="65.603163228796973"/>
    <n v="54.240000000000009"/>
    <n v="2.910000000000025"/>
    <n v="2.1800000000000068"/>
    <n v="6.4499999999999886"/>
    <n v="0"/>
    <n v="20.77"/>
    <s v="-"/>
    <s v="-"/>
    <n v="3.5412667924293012E-2"/>
    <x v="45"/>
    <s v="11:27:58"/>
    <n v="-4.0834143507493563E-3"/>
    <n v="-0.71432010402411228"/>
    <x v="3"/>
    <x v="0"/>
    <n v="0"/>
  </r>
  <r>
    <n v="284.45818016554711"/>
    <n v="190.1175457133817"/>
    <n v="-94.340634452165361"/>
    <n v="3.43"/>
    <m/>
    <n v="190.1175457133817"/>
    <n v="95.33315300000001"/>
    <n v="65.838180165547129"/>
    <m/>
    <n v="49.70999999999998"/>
    <n v="65.559365547834631"/>
    <n v="54.180000000000007"/>
    <n v="2.909999999999997"/>
    <n v="2.1800000000000068"/>
    <n v="6.4499999999999886"/>
    <n v="0"/>
    <n v="20.73"/>
    <s v="-"/>
    <s v="-"/>
    <n v="2.3764693214172711E-2"/>
    <x v="45"/>
    <s v="11:37:00"/>
    <n v="-0.49622266108143359"/>
    <n v="-93.183797680962329"/>
    <x v="3"/>
    <x v="0"/>
    <n v="0"/>
  </r>
  <r>
    <n v="277.78818016554709"/>
    <n v="183.78283593420309"/>
    <n v="-94.005344231344012"/>
    <n v="3.43"/>
    <m/>
    <n v="183.78283593420309"/>
    <n v="95.33315300000001"/>
    <n v="65.838180165547129"/>
    <m/>
    <n v="49.579999999999977"/>
    <n v="65.64465576865598"/>
    <n v="54.240000000000009"/>
    <n v="2.909999999999997"/>
    <n v="3.460000000000008"/>
    <n v="6.4499999999999886"/>
    <n v="0"/>
    <n v="20.72"/>
    <n v="6.88"/>
    <s v="-"/>
    <n v="2.2972854491775389E-2"/>
    <x v="45"/>
    <s v="11:52:28"/>
    <n v="-0.51150230517173689"/>
    <n v="0.33529022082134929"/>
    <x v="3"/>
    <x v="0"/>
    <n v="-6.6700000000000159"/>
  </r>
  <r>
    <n v="277.78818016554709"/>
    <n v="183.56235498953239"/>
    <n v="-94.225825176014652"/>
    <n v="3.43"/>
    <m/>
    <n v="183.56235498953239"/>
    <s v="-"/>
    <n v="65.838180165547129"/>
    <m/>
    <n v="49.70999999999998"/>
    <n v="65.384174823985347"/>
    <n v="54.180000000000007"/>
    <n v="2.909999999999997"/>
    <n v="3.460000000000008"/>
    <n v="6.4499999999999886"/>
    <n v="0"/>
    <n v="20.69"/>
    <n v="6.88"/>
    <s v="-"/>
    <n v="2.2945294373691551E-2"/>
    <x v="45"/>
    <s v="19:13:47"/>
    <n v="-0.51331780517518344"/>
    <n v="-0.22048094467064061"/>
    <x v="3"/>
    <x v="0"/>
    <n v="0"/>
  </r>
  <r>
    <n v="277.78818016554709"/>
    <n v="184.36886411222019"/>
    <n v="-93.419316053326924"/>
    <n v="3.43"/>
    <m/>
    <n v="184.36886411222019"/>
    <s v="-"/>
    <n v="65.838180165547129"/>
    <m/>
    <n v="50.140000000000008"/>
    <n v="65.410683946673061"/>
    <n v="54.119999999999983"/>
    <n v="2.909999999999997"/>
    <n v="3.460000000000008"/>
    <n v="6.4499999999999886"/>
    <n v="0"/>
    <n v="21.1"/>
    <n v="6.88"/>
    <s v="-"/>
    <n v="2.3046108014027521E-2"/>
    <x v="46"/>
    <s v="21:54:15"/>
    <n v="-0.50669789881910421"/>
    <n v="0.80650912268772856"/>
    <x v="3"/>
    <x v="0"/>
    <n v="0"/>
  </r>
  <r>
    <n v="354.83951285091621"/>
    <n v="352.41952355815272"/>
    <n v="-2.4199892927635358"/>
    <n v="3.43"/>
    <m/>
    <n v="352.41952355815272"/>
    <s v="-"/>
    <n v="93.879512850916228"/>
    <m/>
    <n v="50.139999999999993"/>
    <n v="113.5000107072365"/>
    <n v="54.12"/>
    <n v="2.910000000000025"/>
    <n v="3.45999999999998"/>
    <n v="6.4499999999999886"/>
    <n v="0"/>
    <n v="21.1"/>
    <n v="6.86"/>
    <s v="-"/>
    <n v="4.4052440444769088E-2"/>
    <x v="47"/>
    <s v="22:40:29"/>
    <n v="-6.866785552430422E-3"/>
    <n v="90.999326760563392"/>
    <x v="3"/>
    <x v="0"/>
    <n v="77.051332685369118"/>
  </r>
  <r>
    <n v="354.83951285091621"/>
    <n v="455.99749129346799"/>
    <n v="101.15797844255189"/>
    <n v="3.43"/>
    <m/>
    <n v="455.99749129346799"/>
    <s v="-"/>
    <n v="93.879512850916228"/>
    <m/>
    <n v="50.75"/>
    <n v="114.4179784425519"/>
    <n v="54.240000000000009"/>
    <n v="2.910000000000025"/>
    <n v="3.45999999999998"/>
    <n v="6.4499999999999886"/>
    <n v="0"/>
    <n v="21.18"/>
    <n v="6.86"/>
    <s v="-"/>
    <n v="5.6999686411683501E-2"/>
    <x v="48"/>
    <s v="17:12:34"/>
    <n v="0.22183889248076868"/>
    <n v="103.57796773531543"/>
    <x v="3"/>
    <x v="0"/>
    <n v="0"/>
  </r>
  <r>
    <n v="453.9695128509162"/>
    <n v="454.58748813026369"/>
    <n v="0.61797527934747087"/>
    <n v="3.43"/>
    <m/>
    <n v="454.58748813026369"/>
    <s v="-"/>
    <n v="93.879512850916228"/>
    <m/>
    <n v="88.339999999999975"/>
    <n v="114.5079752793476"/>
    <n v="81.54000000000002"/>
    <n v="5.910000000000025"/>
    <n v="3.45999999999998"/>
    <n v="6.4499999999999886"/>
    <n v="0"/>
    <n v="21.18"/>
    <n v="38.340000000000003"/>
    <s v="-"/>
    <n v="5.6823436016282959E-2"/>
    <x v="48"/>
    <s v="17:26:13"/>
    <n v="1.3594199037224443E-3"/>
    <n v="-100.54000316320442"/>
    <x v="3"/>
    <x v="0"/>
    <n v="99.13"/>
  </r>
  <r>
    <n v="453.9695128509162"/>
    <n v="453.78148623234108"/>
    <n v="-0.18802661857512071"/>
    <n v="3.43"/>
    <m/>
    <n v="453.78148623234108"/>
    <s v="-"/>
    <n v="93.879512850916171"/>
    <m/>
    <n v="88.409999999999968"/>
    <n v="114.56197338142491"/>
    <n v="81.539999999999964"/>
    <n v="5.910000000000025"/>
    <n v="3.45999999999998"/>
    <n v="6.4499999999999886"/>
    <n v="0"/>
    <n v="21.23"/>
    <n v="38.340000000000003"/>
    <s v="-"/>
    <n v="5.6722685779042638E-2"/>
    <x v="48"/>
    <s v="17:37:46"/>
    <n v="-4.1435497983020186E-4"/>
    <n v="-0.80600189792259158"/>
    <x v="3"/>
    <x v="0"/>
    <n v="0"/>
  </r>
  <r>
    <n v="453.9695128509162"/>
    <n v="453.89748215532211"/>
    <n v="-7.2030695594092364E-2"/>
    <n v="3.43"/>
    <m/>
    <n v="453.89748215532211"/>
    <s v="-"/>
    <n v="93.879512850916171"/>
    <m/>
    <n v="88.409999999999968"/>
    <n v="114.67796930440591"/>
    <n v="81.539999999999964"/>
    <n v="5.910000000000025"/>
    <n v="3.45999999999998"/>
    <n v="6.4499999999999886"/>
    <n v="0"/>
    <n v="21.23"/>
    <n v="38.340000000000003"/>
    <s v="-"/>
    <n v="5.6737185269415263E-2"/>
    <x v="48"/>
    <s v="18:39:36"/>
    <n v="-1.5869375448406589E-4"/>
    <n v="0.11599592298102834"/>
    <x v="3"/>
    <x v="0"/>
    <n v="0"/>
  </r>
  <r>
    <n v="453.9695128509162"/>
    <n v="454.20546359785652"/>
    <n v="0.2359507469402882"/>
    <n v="3.43"/>
    <m/>
    <n v="454.20546359785652"/>
    <s v="-"/>
    <n v="93.879512850916171"/>
    <m/>
    <n v="88.600000000000023"/>
    <n v="115.2059507469403"/>
    <n v="81.090000000000032"/>
    <n v="5.910000000000025"/>
    <n v="3.45999999999998"/>
    <n v="6.4499999999999886"/>
    <n v="0"/>
    <n v="21.58"/>
    <n v="38.340000000000003"/>
    <s v="-"/>
    <n v="5.6775682949732058E-2"/>
    <x v="49"/>
    <s v="18:58:19"/>
    <n v="5.1948020411571663E-4"/>
    <n v="0.30798144253438053"/>
    <x v="3"/>
    <x v="0"/>
    <n v="0"/>
  </r>
  <r>
    <n v="462.59076953505092"/>
    <n v="462.77476323127718"/>
    <n v="0.18399369622625361"/>
    <n v="3.43"/>
    <m/>
    <n v="462.77476323127718"/>
    <s v="-"/>
    <n v="102.7407695350509"/>
    <m/>
    <n v="89.53000000000003"/>
    <n v="113.98399369622631"/>
    <n v="81.180000000000007"/>
    <n v="5.910000000000025"/>
    <n v="3.45999999999998"/>
    <n v="6.4699999999999704"/>
    <n v="0"/>
    <n v="21.53"/>
    <n v="38.08"/>
    <s v="-"/>
    <n v="5.784684540390965E-2"/>
    <x v="50"/>
    <s v="20:17:10"/>
    <n v="3.9758800791455556E-4"/>
    <n v="-5.1957050714034586E-2"/>
    <x v="3"/>
    <x v="0"/>
    <n v="8.6212566841347211"/>
  </r>
  <r>
    <n v="474.18326223321799"/>
    <n v="476.47015844468291"/>
    <n v="2.2868962114648501"/>
    <n v="3.43"/>
    <m/>
    <n v="476.47015844468291"/>
    <s v="-"/>
    <n v="104.61326223321799"/>
    <m/>
    <n v="90.510000000000048"/>
    <n v="124.5868962114649"/>
    <n v="81.629999999999939"/>
    <n v="5.910000000000025"/>
    <n v="3.45999999999998"/>
    <n v="6.4699999999999704"/>
    <n v="0"/>
    <n v="21.34"/>
    <n v="37.799999999999997"/>
    <s v="-"/>
    <n v="5.9558769805585367E-2"/>
    <x v="51"/>
    <s v="19:16:16"/>
    <n v="4.7996630448585657E-3"/>
    <n v="2.1029025152385965"/>
    <x v="3"/>
    <x v="0"/>
    <n v="11.592492698167064"/>
  </r>
  <r>
    <n v="476.06496735398571"/>
    <n v="478.37362931311901"/>
    <n v="2.308661959133278"/>
    <n v="3.43"/>
    <m/>
    <n v="478.37362931311901"/>
    <s v="-"/>
    <n v="106.4949673539857"/>
    <m/>
    <n v="90.509999999999991"/>
    <n v="124.5586619591334"/>
    <n v="81.63"/>
    <n v="5.910000000000025"/>
    <n v="3.45999999999998"/>
    <n v="6.4700000000000273"/>
    <n v="0"/>
    <n v="21.34"/>
    <n v="37.799999999999997"/>
    <s v="-"/>
    <n v="5.9796703664139868E-2"/>
    <x v="52"/>
    <s v="20:01:18"/>
    <n v="4.8260644351324506E-3"/>
    <n v="2.1765747668427871E-2"/>
    <x v="3"/>
    <x v="0"/>
    <n v="1.8817051207677196"/>
  </r>
  <r>
    <n v="476.38496735398559"/>
    <n v="479.01005072575327"/>
    <n v="2.6250833717677109"/>
    <n v="3.43"/>
    <m/>
    <n v="479.01005072575327"/>
    <s v="-"/>
    <n v="106.4949673539857"/>
    <m/>
    <n v="90.63"/>
    <n v="124.66508337176781"/>
    <n v="81.720000000000027"/>
    <n v="5.910000000000025"/>
    <n v="3.45999999999998"/>
    <n v="6.4700000000000273"/>
    <n v="0"/>
    <n v="21.3"/>
    <n v="38.119999999999997"/>
    <s v="-"/>
    <n v="5.9876256340719157E-2"/>
    <x v="52"/>
    <s v="20:06:06"/>
    <n v="5.4802260783263709E-3"/>
    <n v="0.31642141263443291"/>
    <x v="3"/>
    <x v="0"/>
    <n v="0.31999999999987949"/>
  </r>
  <r>
    <n v="510.2660885490335"/>
    <n v="512.35731078126321"/>
    <n v="2.091222232229744"/>
    <n v="3.43"/>
    <m/>
    <n v="512.35731078126321"/>
    <s v="-"/>
    <n v="108.39608854903349"/>
    <m/>
    <n v="89.659999999999968"/>
    <n v="125.0712222322297"/>
    <n v="100.54"/>
    <n v="5.9099999999999682"/>
    <n v="3.4600000000000359"/>
    <n v="6.4800000000000182"/>
    <n v="0"/>
    <n v="35.200000000000003"/>
    <n v="37.78"/>
    <s v="-"/>
    <n v="6.4044663847657904E-2"/>
    <x v="53"/>
    <s v="18:26:30"/>
    <n v="4.0815700063710682E-3"/>
    <n v="-0.53386113953796688"/>
    <x v="3"/>
    <x v="0"/>
    <n v="33.881121195047911"/>
  </r>
  <r>
    <n v="510.2660885490335"/>
    <n v="492.35731078126332"/>
    <n v="-17.90877776777025"/>
    <n v="3.43"/>
    <m/>
    <n v="492.35731078126332"/>
    <n v="20.52826"/>
    <n v="108.39608854903339"/>
    <m/>
    <n v="89.660000000000025"/>
    <n v="125.0712222322298"/>
    <n v="100.54"/>
    <n v="5.910000000000025"/>
    <n v="3.45999999999998"/>
    <n v="6.4800000000000182"/>
    <n v="0"/>
    <n v="35.200000000000003"/>
    <n v="37.78"/>
    <s v="-"/>
    <n v="6.1544663847657922E-2"/>
    <x v="53"/>
    <s v="18:36:24"/>
    <n v="-3.6373538841848289E-2"/>
    <n v="-19.999999999999993"/>
    <x v="3"/>
    <x v="0"/>
    <n v="0"/>
  </r>
  <r>
    <n v="515.93801761480677"/>
    <n v="313.0150080103291"/>
    <n v="-202.9230096044777"/>
    <n v="3.43"/>
    <m/>
    <n v="313.0150080103291"/>
    <n v="209.29587483"/>
    <n v="114.06801761480681"/>
    <m/>
    <n v="89.139999999999986"/>
    <n v="124.4869903955224"/>
    <n v="100.87"/>
    <n v="5.910000000000025"/>
    <n v="3.45999999999998"/>
    <n v="6.4800000000000182"/>
    <n v="0"/>
    <n v="34.869999999999997"/>
    <n v="37.78"/>
    <s v="-"/>
    <n v="3.9126876001291139E-2"/>
    <x v="54"/>
    <s v="12:20:03"/>
    <n v="-0.64828524004121069"/>
    <n v="-185.01423183670744"/>
    <x v="3"/>
    <x v="0"/>
    <n v="5.6719290657732699"/>
  </r>
  <r>
    <n v="515.93801761480677"/>
    <n v="312.1981981901622"/>
    <n v="-203.73981942464459"/>
    <n v="3.43"/>
    <m/>
    <n v="312.1981981901622"/>
    <s v="-"/>
    <n v="114.06801761480681"/>
    <m/>
    <n v="88.789999999999964"/>
    <n v="123.87018057535541"/>
    <n v="100.76"/>
    <n v="5.910000000000025"/>
    <n v="3.45999999999998"/>
    <n v="6.4800000000000182"/>
    <n v="0"/>
    <n v="35.17"/>
    <n v="37.78"/>
    <s v="-"/>
    <n v="3.9024774773770282E-2"/>
    <x v="54"/>
    <s v="18:10:44"/>
    <n v="-0.65259767867252449"/>
    <n v="-0.81680982016689541"/>
    <x v="3"/>
    <x v="0"/>
    <n v="0"/>
  </r>
  <r>
    <n v="517.86888314261932"/>
    <n v="311.69342515946568"/>
    <n v="-206.17545798315359"/>
    <n v="3.43"/>
    <m/>
    <n v="311.69342515946568"/>
    <s v="-"/>
    <n v="115.99888314261931"/>
    <m/>
    <n v="88.46999999999997"/>
    <n v="123.3945420168464"/>
    <n v="99.550000000000011"/>
    <n v="5.910000000000025"/>
    <n v="3.45999999999998"/>
    <n v="6.4800000000000182"/>
    <n v="0"/>
    <n v="34.950000000000003"/>
    <n v="37.78"/>
    <s v="-"/>
    <n v="3.8961678144933211E-2"/>
    <x v="55"/>
    <s v="18:19:51"/>
    <n v="-0.6614687424916712"/>
    <n v="-2.4356385585089981"/>
    <x v="4"/>
    <x v="0"/>
    <n v="1.930865527812557"/>
  </r>
  <r>
    <n v="524.86021584502657"/>
    <n v="319.68074377494622"/>
    <n v="-205.17947207008041"/>
    <n v="3.43"/>
    <m/>
    <n v="319.68074377494622"/>
    <s v="-"/>
    <n v="117.95021584502651"/>
    <m/>
    <n v="93.31"/>
    <n v="123.04052792991961"/>
    <n v="99.88"/>
    <n v="5.910000000000025"/>
    <n v="3.45999999999998"/>
    <n v="6.4800000000000182"/>
    <n v="0"/>
    <n v="35.1"/>
    <n v="38.19"/>
    <s v="-"/>
    <n v="3.9960092971868283E-2"/>
    <x v="56"/>
    <s v="20:46:31"/>
    <n v="-0.64182618460912311"/>
    <n v="0.99598591307318429"/>
    <x v="4"/>
    <x v="0"/>
    <n v="6.9913327024072487"/>
  </r>
  <r>
    <n v="527.19223267407938"/>
    <n v="319.32387310232559"/>
    <n v="-207.86835957175381"/>
    <n v="3.43"/>
    <m/>
    <n v="319.32387310232559"/>
    <s v="-"/>
    <n v="119.9222326740794"/>
    <m/>
    <n v="92.860000000000014"/>
    <n v="122.3216404282462"/>
    <n v="99.220000000000027"/>
    <n v="5.910000000000025"/>
    <n v="3.45999999999998"/>
    <n v="6.4800000000000182"/>
    <n v="0"/>
    <n v="33.75"/>
    <n v="38.549999999999997"/>
    <s v="-"/>
    <n v="3.9915484137790697E-2"/>
    <x v="57"/>
    <s v="19:46:18"/>
    <n v="-0.65096404334649771"/>
    <n v="-2.6888875016734062"/>
    <x v="4"/>
    <x v="0"/>
    <n v="2.3320168290528045"/>
  </r>
  <r>
    <n v="820.73515288152021"/>
    <n v="816.93629603650663"/>
    <n v="-3.798856845013606"/>
    <n v="4.8"/>
    <m/>
    <n v="816.93629603650663"/>
    <s v="-"/>
    <n v="121.9151528815202"/>
    <m/>
    <n v="142.87"/>
    <n v="175.3211431549864"/>
    <n v="185.63"/>
    <n v="5.9099999999999682"/>
    <n v="5.0499999999999554"/>
    <n v="6.4800000000000182"/>
    <n v="0"/>
    <n v="32.880000000000003"/>
    <n v="38.549999999999997"/>
    <s v="-"/>
    <n v="0.1021170370045633"/>
    <x v="58"/>
    <s v="21:38:56"/>
    <n v="-4.6501261646034707E-3"/>
    <n v="204.06950272674021"/>
    <x v="4"/>
    <x v="0"/>
    <n v="293.54292020744083"/>
  </r>
  <r>
    <n v="820.73515288152021"/>
    <n v="642.37229711199484"/>
    <n v="-178.36285576952531"/>
    <n v="4.8"/>
    <m/>
    <n v="642.37229711199484"/>
    <n v="179.23599870000001"/>
    <n v="121.9151528815202"/>
    <m/>
    <n v="142.87"/>
    <n v="175.29714423047469"/>
    <n v="185.63"/>
    <n v="5.9099999999999682"/>
    <n v="5.0499999999999554"/>
    <n v="6.4800000000000182"/>
    <n v="0"/>
    <n v="32.880000000000003"/>
    <n v="38.549999999999997"/>
    <s v="-"/>
    <n v="8.0296537138999355E-2"/>
    <x v="59"/>
    <s v="21:06:07"/>
    <n v="-0.27766274568722338"/>
    <n v="-174.56399892451171"/>
    <x v="4"/>
    <x v="0"/>
    <n v="0"/>
  </r>
  <r>
    <n v="820.8851528815203"/>
    <n v="642.67229711199502"/>
    <n v="-178.21285576952531"/>
    <n v="4.8"/>
    <m/>
    <n v="642.67229711199502"/>
    <n v="179.23599870000001"/>
    <n v="121.9151528815202"/>
    <m/>
    <n v="142.87"/>
    <n v="175.29714423047469"/>
    <n v="185.63"/>
    <n v="5.9099999999999682"/>
    <n v="5.0499999999999554"/>
    <n v="6.4800000000000182"/>
    <n v="0"/>
    <n v="32.880000000000003"/>
    <n v="38.700000000000003"/>
    <s v="-"/>
    <n v="8.0334037138999378E-2"/>
    <x v="59"/>
    <s v="21:10:31"/>
    <n v="-0.27729973202574359"/>
    <n v="0.15000000000000568"/>
    <x v="4"/>
    <x v="0"/>
    <n v="0.15000000000009095"/>
  </r>
  <r>
    <n v="820.8851528815203"/>
    <n v="641.24720099023216"/>
    <n v="-179.63795189128811"/>
    <n v="4.8"/>
    <m/>
    <n v="641.24720099023216"/>
    <n v="179.24"/>
    <n v="121.9151528815202"/>
    <m/>
    <n v="140.05999999999989"/>
    <n v="177.4420481087119"/>
    <n v="185.02"/>
    <n v="5.9099999999999682"/>
    <n v="5.0499999999999554"/>
    <n v="6.4800000000000182"/>
    <n v="0"/>
    <n v="32.86"/>
    <n v="38.700000000000003"/>
    <s v="-"/>
    <n v="8.0155900123779017E-2"/>
    <x v="60"/>
    <s v="19:39:54"/>
    <n v="-0.28013837972919969"/>
    <n v="-1.425096121762806"/>
    <x v="4"/>
    <x v="0"/>
    <n v="0"/>
  </r>
  <r>
    <n v="820.8851528815203"/>
    <n v="641.24720099023216"/>
    <n v="-179.63795189128811"/>
    <n v="4.8"/>
    <m/>
    <n v="641.24720099023216"/>
    <n v="0"/>
    <n v="121.9151528815202"/>
    <m/>
    <n v="140.05999999999989"/>
    <n v="177.4420481087119"/>
    <n v="185.02"/>
    <n v="5.9099999999999682"/>
    <n v="5.0499999999999554"/>
    <n v="6.4800000000000182"/>
    <n v="0"/>
    <n v="32.86"/>
    <n v="38.700000000000003"/>
    <s v="-"/>
    <n v="8.0155900123779017E-2"/>
    <x v="60"/>
    <s v="20:09:19"/>
    <n v="-0.28013837972919969"/>
    <n v="0"/>
    <x v="4"/>
    <x v="0"/>
    <n v="0"/>
  </r>
  <r>
    <n v="820.8851528815203"/>
    <n v="638.41106682307236"/>
    <n v="-182.47408605844799"/>
    <n v="4.8"/>
    <m/>
    <n v="638.41106682307236"/>
    <n v="0"/>
    <n v="121.9151528815202"/>
    <m/>
    <n v="134.84"/>
    <n v="180.435913941552"/>
    <n v="184.61"/>
    <n v="5.9099999999999682"/>
    <n v="5.0499999999999554"/>
    <n v="6.4800000000000182"/>
    <n v="0"/>
    <n v="32.9"/>
    <n v="38.700000000000003"/>
    <s v="-"/>
    <n v="7.9801383352884045E-2"/>
    <x v="61"/>
    <s v="06:19:13"/>
    <n v="-0.28582538045039624"/>
    <n v="-2.8361341671598836"/>
    <x v="4"/>
    <x v="0"/>
    <n v="0"/>
  </r>
  <r>
    <n v="821.03515288152016"/>
    <n v="642.91833045213082"/>
    <n v="-178.1168224293894"/>
    <n v="4.8"/>
    <m/>
    <n v="642.91833045213082"/>
    <n v="0"/>
    <n v="122.06515288152011"/>
    <m/>
    <n v="140.88999999999999"/>
    <n v="174.55317757061059"/>
    <n v="185.22"/>
    <n v="5.9099999999999682"/>
    <n v="5.0499999999999554"/>
    <n v="6.4800000000000182"/>
    <n v="0"/>
    <n v="34.46"/>
    <n v="38.700000000000003"/>
    <s v="-"/>
    <n v="8.0364791306516359E-2"/>
    <x v="61"/>
    <s v="22:31:14"/>
    <n v="-0.27704424340200279"/>
    <n v="4.3572636290585933"/>
    <x v="4"/>
    <x v="0"/>
    <n v="0.14999999999986358"/>
  </r>
  <r>
    <n v="820.66515288152027"/>
    <n v="646.37624091773364"/>
    <n v="-174.2889119637866"/>
    <n v="4.8"/>
    <m/>
    <n v="646.37624091773364"/>
    <n v="0"/>
    <n v="122.1351528815202"/>
    <m/>
    <n v="139.46"/>
    <n v="176.5510880362134"/>
    <n v="184.41"/>
    <n v="5.9099999999999682"/>
    <n v="5.0499999999999554"/>
    <n v="6.4800000000000182"/>
    <n v="0"/>
    <n v="33.93"/>
    <n v="38.260000000000012"/>
    <s v="-"/>
    <n v="8.07970301147167E-2"/>
    <x v="62"/>
    <s v="18:28:23"/>
    <n v="-0.26964003459707753"/>
    <n v="3.8279104656027982"/>
    <x v="4"/>
    <x v="0"/>
    <n v="-0.36999999999989086"/>
  </r>
  <r>
    <n v="820.72515288152022"/>
    <n v="633.95624091773357"/>
    <n v="-186.76891196378659"/>
    <n v="4.8"/>
    <m/>
    <n v="633.95624091773357"/>
    <n v="192.11338739999999"/>
    <n v="122.1351528815202"/>
    <m/>
    <n v="139.46"/>
    <n v="176.5510880362134"/>
    <n v="184.41"/>
    <n v="5.9099999999999682"/>
    <n v="5.0499999999999554"/>
    <n v="6.5399999999999636"/>
    <n v="0"/>
    <n v="33.93"/>
    <n v="38.260000000000012"/>
    <s v="-"/>
    <n v="7.9244530114716702E-2"/>
    <x v="62"/>
    <s v="21:47:13"/>
    <n v="-0.29460852328453219"/>
    <n v="-12.47999999999999"/>
    <x v="4"/>
    <x v="0"/>
    <n v="5.999999999994543E-2"/>
  </r>
  <r>
    <n v="821.14515288152018"/>
    <n v="637.0412671327598"/>
    <n v="-184.1038857487604"/>
    <n v="4.8"/>
    <m/>
    <n v="637.0412671327598"/>
    <s v="-"/>
    <n v="122.1951528815201"/>
    <m/>
    <n v="141.42999999999989"/>
    <n v="175.96611425123959"/>
    <n v="184.4"/>
    <n v="5.9099999999999682"/>
    <n v="5.0499999999999554"/>
    <n v="6.5399999999999636"/>
    <n v="0"/>
    <n v="34.04"/>
    <n v="38.619999999999997"/>
    <s v="-"/>
    <n v="7.9630158391594971E-2"/>
    <x v="63"/>
    <s v="21:38:15"/>
    <n v="-0.28899836674221774"/>
    <n v="2.6650262150261881"/>
    <x v="4"/>
    <x v="0"/>
    <n v="0.41999999999995907"/>
  </r>
  <r>
    <n v="821.14515288152018"/>
    <n v="514.84126713275964"/>
    <n v="-306.30388574876048"/>
    <n v="4.8"/>
    <m/>
    <n v="514.84126713275964"/>
    <n v="317.60000000000002"/>
    <n v="122.1951528815201"/>
    <m/>
    <n v="141.43000000000009"/>
    <n v="175.96611425123959"/>
    <n v="184.4"/>
    <n v="5.9099999999999682"/>
    <n v="5.0499999999999554"/>
    <n v="6.5399999999999636"/>
    <n v="0"/>
    <n v="34.04"/>
    <n v="38.619999999999997"/>
    <s v="-"/>
    <n v="6.435515839159496E-2"/>
    <x v="63"/>
    <s v="21:43:29"/>
    <n v="-0.59494820113123403"/>
    <n v="-122.20000000000007"/>
    <x v="4"/>
    <x v="0"/>
    <n v="0"/>
  </r>
  <r>
    <n v="821.14515288152018"/>
    <n v="514.84126713275964"/>
    <n v="-306.30388574876048"/>
    <n v="4.8"/>
    <m/>
    <n v="514.84126713275964"/>
    <n v="0"/>
    <n v="122.1951528815201"/>
    <m/>
    <n v="141.43000000000009"/>
    <n v="175.96611425123959"/>
    <n v="184.4"/>
    <n v="5.9099999999999682"/>
    <n v="5.0499999999999554"/>
    <n v="6.5399999999999636"/>
    <n v="0"/>
    <n v="34.04"/>
    <n v="38.619999999999997"/>
    <s v="-"/>
    <n v="6.435515839159496E-2"/>
    <x v="64"/>
    <s v="17:02:29"/>
    <n v="-0.59494820113123403"/>
    <n v="0"/>
    <x v="4"/>
    <x v="0"/>
    <n v="0"/>
  </r>
  <r>
    <n v="821.14515288152018"/>
    <n v="514.84126713275964"/>
    <n v="-306.30388574876048"/>
    <n v="4.8"/>
    <m/>
    <n v="514.84126713275964"/>
    <n v="0"/>
    <n v="122.1951528815201"/>
    <m/>
    <n v="141.43000000000009"/>
    <n v="175.96611425123959"/>
    <n v="184.4"/>
    <n v="5.9099999999999682"/>
    <n v="5.0499999999999554"/>
    <n v="6.5399999999999636"/>
    <n v="0"/>
    <n v="34.04"/>
    <n v="38.619999999999997"/>
    <n v="109.43"/>
    <n v="6.435515839159496E-2"/>
    <x v="64"/>
    <s v="17:04:25"/>
    <n v="-0.59494820113123403"/>
    <n v="0"/>
    <x v="4"/>
    <x v="0"/>
    <n v="0"/>
  </r>
  <r>
    <n v="822.23515288152021"/>
    <n v="520.09923943893727"/>
    <n v="-302.13591344258288"/>
    <n v="4.8"/>
    <m/>
    <n v="520.09923943893727"/>
    <n v="0"/>
    <n v="122.1951528815201"/>
    <m/>
    <n v="141.44999999999999"/>
    <n v="176.58408655741701"/>
    <n v="185.44000000000011"/>
    <n v="7"/>
    <n v="5.0499999999999554"/>
    <n v="6.5399999999999636"/>
    <n v="0"/>
    <n v="34.64"/>
    <n v="38.619999999999997"/>
    <n v="109.8"/>
    <n v="6.5012404929867165E-2"/>
    <x v="65"/>
    <s v="18:45:40"/>
    <n v="-0.58091973710347145"/>
    <n v="4.1679723061776031"/>
    <x v="4"/>
    <x v="0"/>
    <n v="1.0900000000000318"/>
  </r>
  <r>
    <n v="822.48515288152032"/>
    <n v="520.07226619170774"/>
    <n v="-302.41288668981252"/>
    <n v="4.8"/>
    <m/>
    <n v="520.07226619170774"/>
    <n v="317.60117839999998"/>
    <n v="122.1951528815201"/>
    <m/>
    <n v="118.62"/>
    <n v="175.9871133101874"/>
    <n v="207.04"/>
    <n v="7"/>
    <n v="5.0499999999999554"/>
    <n v="6.5399999999999636"/>
    <n v="0"/>
    <n v="34.130000000000003"/>
    <n v="39.07"/>
    <n v="110.81"/>
    <n v="6.5009033273963471E-2"/>
    <x v="66"/>
    <s v="21:42:20"/>
    <n v="-0.58148243301698732"/>
    <n v="-0.27697324722964822"/>
    <x v="4"/>
    <x v="0"/>
    <n v="0.25000000000011369"/>
  </r>
  <r>
    <n v="822.53515288152028"/>
    <n v="523.02834658445488"/>
    <n v="-299.5068062970654"/>
    <n v="4.8"/>
    <m/>
    <n v="523.02834658445488"/>
    <n v="0"/>
    <n v="122.1951528815201"/>
    <m/>
    <n v="118.7"/>
    <n v="174.19319370293439"/>
    <n v="207.66"/>
    <n v="7"/>
    <n v="5.0499999999999554"/>
    <n v="6.5399999999999636"/>
    <n v="0"/>
    <n v="33.99"/>
    <n v="39.119999999999997"/>
    <n v="114.6"/>
    <n v="6.5378543323056856E-2"/>
    <x v="67"/>
    <s v="21:41:39"/>
    <n v="-0.57263972068233437"/>
    <n v="2.9060803927471284"/>
    <x v="4"/>
    <x v="0"/>
    <n v="4.9999999999954525E-2"/>
  </r>
  <r>
    <n v="822.53515288152028"/>
    <n v="533.02834658445488"/>
    <n v="-289.5068062970654"/>
    <n v="4.8"/>
    <m/>
    <n v="533.02834658445488"/>
    <n v="315.9516476"/>
    <n v="122.1951528815201"/>
    <m/>
    <n v="118.7"/>
    <n v="174.19319370293439"/>
    <n v="207.66"/>
    <n v="7"/>
    <n v="5.0499999999999554"/>
    <n v="6.5399999999999636"/>
    <n v="0"/>
    <n v="33.99"/>
    <n v="39.119999999999997"/>
    <n v="114.6"/>
    <n v="6.6628543323056857E-2"/>
    <x v="68"/>
    <s v="15:55:18"/>
    <n v="-0.54313585412890408"/>
    <n v="10"/>
    <x v="4"/>
    <x v="0"/>
    <n v="0"/>
  </r>
  <r>
    <n v="856.14933614454685"/>
    <n v="566.64252984748146"/>
    <n v="-289.5068062970654"/>
    <n v="4.8"/>
    <m/>
    <n v="566.64252984748146"/>
    <n v="315.9516476"/>
    <n v="155.80933614454679"/>
    <m/>
    <n v="118.7"/>
    <n v="174.19319370293439"/>
    <n v="207.66"/>
    <n v="7"/>
    <n v="5.0499999999999554"/>
    <n v="6.5399999999999636"/>
    <n v="0"/>
    <n v="33.99"/>
    <n v="39.119999999999997"/>
    <n v="114.6"/>
    <n v="7.0830316230935178E-2"/>
    <x v="68"/>
    <s v="16:07:08"/>
    <n v="-0.51091612621274574"/>
    <n v="0"/>
    <x v="4"/>
    <x v="0"/>
    <n v="33.614183263026575"/>
  </r>
  <r>
    <n v="856.14933614454685"/>
    <n v="565.77869627928897"/>
    <n v="-290.37063986525789"/>
    <n v="4.8"/>
    <m/>
    <n v="565.77869627928897"/>
    <n v="315.9516476"/>
    <n v="155.80933614454679"/>
    <m/>
    <n v="119.76"/>
    <n v="170.479360134742"/>
    <n v="208.69000000000011"/>
    <n v="7"/>
    <n v="5.0499999999999554"/>
    <n v="6.5399999999999636"/>
    <n v="0"/>
    <n v="34.130000000000003"/>
    <n v="39.119999999999997"/>
    <n v="114.6"/>
    <n v="7.0722337034911126E-2"/>
    <x v="69"/>
    <s v="09:52:07"/>
    <n v="-0.51322300004367849"/>
    <n v="-0.86383356819249002"/>
    <x v="4"/>
    <x v="0"/>
    <n v="0"/>
  </r>
  <r>
    <n v="856.36933614454688"/>
    <n v="565.84670757191566"/>
    <n v="-290.52262857263122"/>
    <n v="4.8"/>
    <m/>
    <n v="565.84670757191566"/>
    <n v="315.9516476"/>
    <n v="155.80933614454679"/>
    <m/>
    <n v="119.76"/>
    <n v="170.22737142736869"/>
    <n v="208.69000000000011"/>
    <n v="7"/>
    <n v="5.0499999999999554"/>
    <n v="6.5399999999999636"/>
    <n v="0"/>
    <n v="34.130000000000003"/>
    <n v="39.340000000000003"/>
    <n v="114.48"/>
    <n v="7.0730838446489461E-2"/>
    <x v="69"/>
    <s v="09:57:06"/>
    <n v="-0.51342991782930458"/>
    <n v="-0.15198870737333436"/>
    <x v="4"/>
    <x v="0"/>
    <n v="0.22000000000002728"/>
  </r>
  <r>
    <n v="856.36933614454688"/>
    <n v="568.93669950575372"/>
    <n v="-287.4326366387931"/>
    <n v="4.8"/>
    <m/>
    <n v="568.93669950575372"/>
    <n v="315.9516476"/>
    <n v="155.80933614454679"/>
    <m/>
    <n v="120.53"/>
    <n v="170.40736336120679"/>
    <n v="209.61"/>
    <n v="7"/>
    <n v="5.0499999999999554"/>
    <n v="6.5399999999999636"/>
    <n v="0"/>
    <n v="34.49"/>
    <n v="39.340000000000003"/>
    <n v="114.48"/>
    <n v="7.111708743821922E-2"/>
    <x v="69"/>
    <s v="21:48:55"/>
    <n v="-0.50521022266359572"/>
    <n v="3.089991933838121"/>
    <x v="4"/>
    <x v="0"/>
    <n v="0"/>
  </r>
  <r>
    <n v="856.78933614454684"/>
    <n v="567.79669143959177"/>
    <n v="-288.99264470495513"/>
    <n v="4.8"/>
    <m/>
    <n v="567.79669143959177"/>
    <n v="315.9516476"/>
    <n v="155.80933614454679"/>
    <m/>
    <n v="120.89"/>
    <n v="170.58735529504469"/>
    <n v="210.49"/>
    <n v="7"/>
    <n v="5.0499999999999554"/>
    <n v="6.5399999999999636"/>
    <n v="0"/>
    <n v="34.709999999999987"/>
    <n v="39.760000000000012"/>
    <n v="110.62"/>
    <n v="7.0974586429948971E-2"/>
    <x v="70"/>
    <s v="18:50:02"/>
    <n v="-0.50897204767474635"/>
    <n v="-1.5600080661620268"/>
    <x v="4"/>
    <x v="0"/>
    <n v="0.41999999999995907"/>
  </r>
  <r>
    <n v="856.78933614454684"/>
    <n v="527.10273553461025"/>
    <n v="-329.68660060993659"/>
    <n v="4.8"/>
    <m/>
    <n v="527.10273553461025"/>
    <s v="-"/>
    <n v="155.80933614454679"/>
    <m/>
    <n v="120.87"/>
    <n v="169.60339939006329"/>
    <n v="210.75"/>
    <n v="7"/>
    <n v="5.0499999999999554"/>
    <n v="6.5399999999999636"/>
    <n v="0"/>
    <n v="34.67"/>
    <n v="39.760000000000012"/>
    <n v="110.62"/>
    <n v="6.5887841941826286E-2"/>
    <x v="71"/>
    <s v="21:26:50"/>
    <n v="-0.62546934095410123"/>
    <n v="-40.693955904981465"/>
    <x v="4"/>
    <x v="0"/>
    <n v="0"/>
  </r>
  <r>
    <n v="856.78933614454684"/>
    <n v="390.841780839553"/>
    <n v="-465.94755530499378"/>
    <n v="4.8"/>
    <m/>
    <n v="390.841780839553"/>
    <s v="-"/>
    <n v="155.8093361445469"/>
    <m/>
    <n v="121.29"/>
    <n v="168.59244469500601"/>
    <n v="210.33"/>
    <n v="7"/>
    <n v="5.0500000000000114"/>
    <n v="6.5400000000000196"/>
    <n v="0"/>
    <n v="34.75"/>
    <n v="39.760000000000012"/>
    <n v="110.62"/>
    <n v="4.8855222604944133E-2"/>
    <x v="72"/>
    <s v="21:36:06"/>
    <n v="-1.1921641394226299"/>
    <n v="-136.26095469505719"/>
    <x v="4"/>
    <x v="0"/>
    <n v="0"/>
  </r>
  <r>
    <n v="856.78933614454684"/>
    <n v="393.39473096378521"/>
    <n v="-463.39460518076169"/>
    <n v="4.8"/>
    <m/>
    <n v="393.39473096378521"/>
    <s v="-"/>
    <n v="155.80933614454679"/>
    <m/>
    <n v="121.97"/>
    <n v="169.70539481923819"/>
    <n v="210.35"/>
    <n v="7"/>
    <n v="5.0500000000000114"/>
    <n v="6.5400000000000196"/>
    <n v="0"/>
    <n v="35.380000000000003"/>
    <n v="39.760000000000012"/>
    <n v="110.62"/>
    <n v="4.9174341370473149E-2"/>
    <x v="73"/>
    <s v="14:22:09"/>
    <n v="-1.1779380065551017"/>
    <n v="2.5529501242320976"/>
    <x v="2"/>
    <x v="0"/>
    <n v="0"/>
  </r>
  <r>
    <n v="856.78933614454684"/>
    <n v="396.70161279451298"/>
    <n v="-460.0877233500338"/>
    <n v="4.8"/>
    <m/>
    <n v="396.70161279451298"/>
    <n v="506.22689946000008"/>
    <n v="155.80933614454679"/>
    <m/>
    <n v="119.6900000000001"/>
    <n v="172.34227664996621"/>
    <n v="209.85"/>
    <n v="7"/>
    <n v="5.0500000000000114"/>
    <n v="6.5400000000000196"/>
    <n v="0"/>
    <n v="35.61"/>
    <n v="39.760000000000012"/>
    <n v="114.03"/>
    <n v="4.9587701599314117E-2"/>
    <x v="74"/>
    <s v="23:50:59"/>
    <n v="-1.159782840581377"/>
    <n v="3.3068818307278889"/>
    <x v="2"/>
    <x v="0"/>
    <n v="0"/>
  </r>
  <r>
    <n v="856.78933614454684"/>
    <n v="648.3146127945131"/>
    <n v="-208.4747233500338"/>
    <n v="6.3069999999999986"/>
    <m/>
    <n v="648.3146127945131"/>
    <n v="506.22689946000008"/>
    <n v="155.80933614454679"/>
    <m/>
    <n v="119.6900000000001"/>
    <n v="172.34227664996621"/>
    <n v="209.84999999999991"/>
    <n v="7"/>
    <n v="5.0499999999999554"/>
    <n v="6.5399999999999636"/>
    <n v="0"/>
    <n v="35.61"/>
    <n v="39.760000000000012"/>
    <n v="114.03"/>
    <n v="8.1039326599314135E-2"/>
    <x v="75"/>
    <s v="23:54:59"/>
    <n v="-0.32156412833488146"/>
    <n v="251.613"/>
    <x v="2"/>
    <x v="0"/>
    <n v="0"/>
  </r>
  <r>
    <n v="856.78933614454684"/>
    <n v="654.45472437641956"/>
    <n v="-202.3346117681273"/>
    <n v="6.3069999999999986"/>
    <m/>
    <n v="654.45472437641956"/>
    <n v="506.22689946000008"/>
    <n v="155.80933614454679"/>
    <m/>
    <n v="127.63"/>
    <n v="169.8523882318726"/>
    <n v="210.41"/>
    <n v="7"/>
    <n v="5.0499999999999554"/>
    <n v="6.5399999999999636"/>
    <n v="0"/>
    <n v="35.29"/>
    <n v="39.760000000000012"/>
    <n v="113.32"/>
    <n v="8.1806840547052451E-2"/>
    <x v="76"/>
    <s v="23:27:14"/>
    <n v="-0.30916517863159543"/>
    <n v="6.1401115819064955"/>
    <x v="2"/>
    <x v="0"/>
    <n v="0"/>
  </r>
  <r>
    <n v="909.48933614454688"/>
    <n v="704.80974790272512"/>
    <n v="-204.6795882418217"/>
    <n v="6.3069999999999986"/>
    <m/>
    <n v="704.80974790272512"/>
    <n v="506.22689946000008"/>
    <n v="155.80933614454679"/>
    <m/>
    <n v="181.54000000000011"/>
    <n v="169.32741175817819"/>
    <n v="210.95"/>
    <n v="7"/>
    <n v="5.0499999999999554"/>
    <n v="6.5399999999999636"/>
    <n v="0"/>
    <n v="35.200000000000003"/>
    <n v="39.760000000000012"/>
    <n v="109.41"/>
    <n v="8.8101218487840638E-2"/>
    <x v="77"/>
    <s v="23:33:05"/>
    <n v="-0.29040402583942515"/>
    <n v="-2.3449764736944019"/>
    <x v="2"/>
    <x v="0"/>
    <n v="52.700000000000045"/>
  </r>
  <r>
    <n v="953.07222860650518"/>
    <n v="748.47264036468346"/>
    <n v="-204.59958824182169"/>
    <n v="6.3069999999999986"/>
    <m/>
    <n v="748.47264036468346"/>
    <s v="-"/>
    <n v="199.39222860650511"/>
    <m/>
    <n v="181.54"/>
    <n v="169.32741175817819"/>
    <n v="210.95"/>
    <n v="7"/>
    <n v="5.0499999999999554"/>
    <n v="6.5399999999999636"/>
    <n v="0"/>
    <n v="35.200000000000003"/>
    <n v="39.760000000000012"/>
    <n v="109.41"/>
    <n v="9.3559080045585427E-2"/>
    <x v="77"/>
    <s v="23:44:03"/>
    <n v="-0.27335613515830481"/>
    <n v="8.0000000000012506E-2"/>
    <x v="2"/>
    <x v="0"/>
    <n v="43.582892461958295"/>
  </r>
  <r>
    <n v="953.07222860650518"/>
    <n v="748.47264036468346"/>
    <n v="-204.59958824182169"/>
    <n v="6.3069999999999986"/>
    <m/>
    <n v="748.47264036468346"/>
    <s v="-"/>
    <n v="199.39222860650511"/>
    <m/>
    <n v="181.54"/>
    <n v="169.32741175817819"/>
    <n v="210.95"/>
    <n v="7"/>
    <n v="5.0499999999999554"/>
    <n v="6.5399999999999636"/>
    <n v="0"/>
    <n v="35.200000000000003"/>
    <n v="39.760000000000012"/>
    <n v="109.41"/>
    <n v="9.3559080045585427E-2"/>
    <x v="78"/>
    <s v="10:42:43"/>
    <n v="-0.27335613515830481"/>
    <n v="0"/>
    <x v="2"/>
    <x v="0"/>
    <n v="0"/>
  </r>
  <r>
    <n v="953.07222860650518"/>
    <n v="751.4846062179314"/>
    <n v="-201.58762238857381"/>
    <n v="6.3069999999999986"/>
    <m/>
    <n v="751.4846062179314"/>
    <s v="-"/>
    <n v="199.39222860650511"/>
    <m/>
    <n v="183.36"/>
    <n v="170.0893776114261"/>
    <n v="210.75"/>
    <n v="7"/>
    <n v="5.0499999999999554"/>
    <n v="6.5399999999999636"/>
    <n v="0"/>
    <n v="36.119999999999997"/>
    <n v="39.760000000000012"/>
    <n v="109.41"/>
    <n v="9.3935575777241431E-2"/>
    <x v="79"/>
    <s v="22:07:40"/>
    <n v="-0.26825249741724339"/>
    <n v="3.0119658532478866"/>
    <x v="2"/>
    <x v="0"/>
    <n v="0"/>
  </r>
  <r>
    <n v="953.07222860650518"/>
    <n v="750.54568997157924"/>
    <n v="-202.52653863492591"/>
    <n v="6.3069999999999986"/>
    <m/>
    <n v="750.54568997157924"/>
    <s v="-"/>
    <n v="199.392228606505"/>
    <m/>
    <n v="186.92"/>
    <n v="168.22046136507399"/>
    <n v="210.48"/>
    <n v="7"/>
    <n v="5.0499999999999554"/>
    <n v="6.5399999999999636"/>
    <n v="0"/>
    <n v="35.86"/>
    <n v="39.760000000000012"/>
    <n v="106.75"/>
    <n v="9.3818211246447403E-2"/>
    <x v="80"/>
    <s v="23:24:48"/>
    <n v="-0.26983905355927756"/>
    <n v="-0.93891624635210746"/>
    <x v="2"/>
    <x v="0"/>
    <n v="0"/>
  </r>
  <r>
    <n v="954.25222860650513"/>
    <n v="754.38859035447956"/>
    <n v="-199.86363825202551"/>
    <n v="6.3069999999999986"/>
    <m/>
    <n v="754.38859035447956"/>
    <s v="-"/>
    <n v="199.392228606505"/>
    <m/>
    <n v="185.89"/>
    <n v="170.44336174797431"/>
    <n v="212.41"/>
    <n v="7"/>
    <n v="6.2300000000000182"/>
    <n v="6.5399999999999636"/>
    <n v="0"/>
    <n v="36.479999999999997"/>
    <n v="39.760000000000012"/>
    <n v="104.1"/>
    <n v="9.4298573794309948E-2"/>
    <x v="81"/>
    <s v="22:39:34"/>
    <n v="-0.26493459843833483"/>
    <n v="2.6629003829004034"/>
    <x v="2"/>
    <x v="0"/>
    <n v="1.17999999999995"/>
  </r>
  <r>
    <n v="954.25222860650513"/>
    <n v="756.87261616619776"/>
    <n v="-197.3796124403074"/>
    <n v="6.3069999999999986"/>
    <m/>
    <n v="756.87261616619776"/>
    <s v="-"/>
    <n v="199.39222860650511"/>
    <m/>
    <n v="185.9"/>
    <n v="169.8673875596925"/>
    <n v="213.62"/>
    <n v="7"/>
    <n v="6.2300000000000182"/>
    <n v="6.5399999999999636"/>
    <n v="0"/>
    <n v="36.590000000000003"/>
    <n v="39.760000000000012"/>
    <n v="105.81"/>
    <n v="9.4609077020774715E-2"/>
    <x v="82"/>
    <s v="21:12:33"/>
    <n v="-0.26078313341563125"/>
    <n v="2.4840258117181122"/>
    <x v="2"/>
    <x v="0"/>
    <n v="0"/>
  </r>
  <r>
    <n v="954.25222860650513"/>
    <n v="524.72261616619755"/>
    <n v="-429.52961244030757"/>
    <n v="6.3069999999999986"/>
    <m/>
    <n v="524.72261616619755"/>
    <n v="500.00069436333342"/>
    <n v="199.39222860650511"/>
    <m/>
    <n v="185.9"/>
    <n v="169.8673875596925"/>
    <n v="213.62"/>
    <n v="7"/>
    <n v="6.2300000000000182"/>
    <n v="6.5399999999999636"/>
    <n v="0"/>
    <n v="36.590000000000003"/>
    <n v="39.760000000000012"/>
    <n v="105.81"/>
    <n v="6.5590327020774691E-2"/>
    <x v="82"/>
    <s v="21:32:01"/>
    <n v="-0.81858414180543138"/>
    <n v="-232.15000000000018"/>
    <x v="2"/>
    <x v="0"/>
    <n v="0"/>
  </r>
  <r>
    <n v="954.25222860650513"/>
    <n v="527.48560930995995"/>
    <n v="-426.76661929654517"/>
    <n v="6.3069999999999986"/>
    <m/>
    <n v="527.48560930995995"/>
    <n v="500.00069436333342"/>
    <n v="199.39222860650511"/>
    <m/>
    <n v="187.39"/>
    <n v="170.02038070345489"/>
    <n v="214.34"/>
    <n v="7"/>
    <n v="6.2300000000000182"/>
    <n v="6.5399999999999636"/>
    <n v="0"/>
    <n v="36.739999999999988"/>
    <n v="39.760000000000012"/>
    <n v="105.81"/>
    <n v="6.5935701163744989E-2"/>
    <x v="83"/>
    <s v="21:44:20"/>
    <n v="-0.80905831697442476"/>
    <n v="2.7629931437624009"/>
    <x v="2"/>
    <x v="0"/>
    <n v="0"/>
  </r>
  <r>
    <n v="984.56230366943703"/>
    <n v="807.38070924355782"/>
    <n v="-177.18159442587921"/>
    <n v="6.3069999999999986"/>
    <m/>
    <n v="807.38070924355782"/>
    <n v="500.00069436333342"/>
    <n v="228.97230366943711"/>
    <m/>
    <n v="184.67"/>
    <n v="169.46540557412069"/>
    <n v="214.47"/>
    <n v="7"/>
    <n v="6.9600000000000364"/>
    <n v="6.5399999999999636"/>
    <n v="0"/>
    <n v="36.299999999999997"/>
    <n v="39.760000000000012"/>
    <n v="108.33"/>
    <n v="0.10092258865544471"/>
    <x v="84"/>
    <s v="10:21:07"/>
    <n v="-0.21945235054214043"/>
    <n v="249.58502487066596"/>
    <x v="2"/>
    <x v="0"/>
    <n v="30.310075062931901"/>
  </r>
  <r>
    <n v="984.56230366943703"/>
    <n v="809.70671300776667"/>
    <n v="-174.85559066167039"/>
    <n v="6.3069999999999986"/>
    <m/>
    <n v="809.70671300776667"/>
    <n v="500.00069436333342"/>
    <n v="228.972303669437"/>
    <m/>
    <n v="184.43000000000009"/>
    <n v="169.3814093383296"/>
    <n v="216.8599999999999"/>
    <n v="7"/>
    <n v="6.9600000000000364"/>
    <n v="6.5399999999999636"/>
    <n v="0"/>
    <n v="36.19"/>
    <n v="39.760000000000012"/>
    <n v="108.33"/>
    <n v="0.1012133391259708"/>
    <x v="85"/>
    <s v="08:18:01"/>
    <n v="-0.21594929108608388"/>
    <n v="2.3260037642088207"/>
    <x v="2"/>
    <x v="0"/>
    <n v="0"/>
  </r>
  <r>
    <n v="994.80977367594039"/>
    <n v="820.07418301427003"/>
    <n v="-174.73559066167039"/>
    <n v="6.3069999999999986"/>
    <m/>
    <n v="820.07418301427003"/>
    <n v="500.00069436333342"/>
    <n v="239.21977367594019"/>
    <m/>
    <n v="184.42999999999989"/>
    <n v="169.38140933832969"/>
    <n v="216.86"/>
    <n v="7"/>
    <n v="6.9600000000000364"/>
    <n v="6.5399999999999636"/>
    <n v="0"/>
    <n v="36.19"/>
    <n v="39.760000000000012"/>
    <n v="108.33"/>
    <n v="0.1025092728767838"/>
    <x v="86"/>
    <s v="20:49:35"/>
    <n v="-0.2130729076477095"/>
    <n v="0.12000000000000455"/>
    <x v="2"/>
    <x v="0"/>
    <n v="10.247470006503363"/>
  </r>
  <r>
    <n v="994.80977367594039"/>
    <n v="850.07418301427003"/>
    <n v="-144.73559066167039"/>
    <n v="6.3069999999999986"/>
    <m/>
    <n v="850.07418301427003"/>
    <n v="220.00034718166671"/>
    <n v="239.21977367594019"/>
    <m/>
    <n v="184.42999999999989"/>
    <n v="169.38140933832969"/>
    <n v="216.86"/>
    <n v="7"/>
    <n v="6.9600000000000364"/>
    <n v="6.5399999999999636"/>
    <n v="0"/>
    <n v="36.19"/>
    <n v="39.760000000000012"/>
    <n v="108.33"/>
    <n v="0.1062592728767838"/>
    <x v="86"/>
    <s v="22:47:07"/>
    <n v="-0.17026230598893596"/>
    <n v="30"/>
    <x v="2"/>
    <x v="0"/>
    <n v="0"/>
  </r>
  <r>
    <n v="1054.809773675941"/>
    <n v="907.5"/>
    <n v="-147.31"/>
    <n v="6.3069999999999986"/>
    <m/>
    <n v="850.07418301427015"/>
    <n v="220.00034718166671"/>
    <n v="239.21977367594039"/>
    <m/>
    <n v="184.43000000000009"/>
    <n v="226.8"/>
    <n v="216.8599999999999"/>
    <n v="7"/>
    <n v="6.9600000000000364"/>
    <n v="6.5399999999999636"/>
    <n v="0"/>
    <n v="36.19"/>
    <n v="39.760000000000012"/>
    <n v="108.33"/>
    <n v="0.1134375"/>
    <x v="86"/>
    <s v="23:03:14"/>
    <n v="-0.16232506887052342"/>
    <n v="-2.574409338329616"/>
    <x v="2"/>
    <x v="0"/>
    <n v="60.000000000000568"/>
  </r>
  <r>
    <n v="1060.2290649314541"/>
    <n v="916.61530660692949"/>
    <n v="-143.61375832452421"/>
    <n v="6.3069999999999986"/>
    <m/>
    <n v="916.61530660692949"/>
    <n v="220.00034718166671"/>
    <n v="244.63906493145359"/>
    <m/>
    <n v="184.0200000000001"/>
    <n v="227.03324167547581"/>
    <n v="217.06000000000009"/>
    <n v="7"/>
    <n v="6.9600000000000364"/>
    <n v="6.5399999999999636"/>
    <n v="0"/>
    <n v="36.36"/>
    <n v="39.760000000000012"/>
    <n v="111.7"/>
    <n v="0.1145769133258662"/>
    <x v="87"/>
    <s v="10:01:21"/>
    <n v="-0.15667833309062321"/>
    <n v="3.6962416754757896"/>
    <x v="2"/>
    <x v="0"/>
    <n v="5.4192912555131443"/>
  </r>
  <r>
    <n v="1060.2290649314541"/>
    <n v="798.1595805967255"/>
    <n v="-262.06948433472809"/>
    <n v="6.3069999999999986"/>
    <m/>
    <n v="798.1595805967255"/>
    <n v="359.9983375133333"/>
    <n v="244.63906493145359"/>
    <m/>
    <n v="184.78"/>
    <n v="228.52751566527181"/>
    <n v="216.25"/>
    <n v="7"/>
    <n v="6.9600000000000364"/>
    <n v="6.5399999999999636"/>
    <n v="0"/>
    <n v="36.729999999999997"/>
    <n v="39.760000000000012"/>
    <n v="111.7"/>
    <n v="9.9769947574590692E-2"/>
    <x v="88"/>
    <s v="23:14:02"/>
    <n v="-0.32834221464684782"/>
    <n v="-118.45572601020388"/>
    <x v="2"/>
    <x v="0"/>
    <n v="0"/>
  </r>
  <r>
    <n v="1060.2290649314541"/>
    <n v="518.13239014379633"/>
    <n v="-542.09667478765732"/>
    <n v="6.3069999999999986"/>
    <m/>
    <n v="518.13239014379633"/>
    <n v="716.40359333333333"/>
    <n v="244.6390649314535"/>
    <m/>
    <n v="183.15"/>
    <n v="228.72032521234249"/>
    <n v="213.41"/>
    <n v="7"/>
    <n v="6.9600000000000364"/>
    <n v="6.5399999999999636"/>
    <n v="0"/>
    <n v="36.69"/>
    <n v="39.760000000000012"/>
    <n v="111.7"/>
    <n v="6.4766548767974538E-2"/>
    <x v="89"/>
    <s v="10:12:44"/>
    <n v="-1.0462512768931704"/>
    <n v="-280.02719045292923"/>
    <x v="5"/>
    <x v="0"/>
    <n v="0"/>
  </r>
  <r>
    <n v="1060.2290649314541"/>
    <n v="518.13239014379633"/>
    <n v="-542.09667478765732"/>
    <n v="6.3069999999999986"/>
    <m/>
    <n v="518.13239014379633"/>
    <n v="716.40359333333333"/>
    <n v="244.6390649314535"/>
    <m/>
    <n v="183.15"/>
    <n v="228.72032521234249"/>
    <n v="213.41"/>
    <n v="7"/>
    <n v="6.9600000000000364"/>
    <n v="6.5399999999999636"/>
    <n v="0"/>
    <n v="36.69"/>
    <n v="39.760000000000012"/>
    <n v="111.7"/>
    <n v="6.4766548767974538E-2"/>
    <x v="90"/>
    <s v="06:33:09"/>
    <n v="-1.0462512768931704"/>
    <n v="0"/>
    <x v="5"/>
    <x v="0"/>
    <n v="0"/>
  </r>
  <r>
    <n v="1060.2290649314541"/>
    <n v="513.0544900577471"/>
    <n v="-547.17457487370655"/>
    <n v="6.3069999999999986"/>
    <m/>
    <n v="513.0544900577471"/>
    <n v="716.40359333333333"/>
    <n v="244.6390649314535"/>
    <m/>
    <n v="180.77"/>
    <n v="226.36242512629309"/>
    <n v="212.88"/>
    <n v="7"/>
    <n v="6.9600000000000364"/>
    <n v="6.5399999999999636"/>
    <n v="0"/>
    <n v="36.67"/>
    <n v="39.760000000000012"/>
    <n v="111.7"/>
    <n v="6.4131811257218382E-2"/>
    <x v="90"/>
    <s v="06:34:48"/>
    <n v="-1.0665038226487775"/>
    <n v="-5.077900086049226"/>
    <x v="5"/>
    <x v="0"/>
    <n v="0"/>
  </r>
  <r>
    <n v="1060.2290649314541"/>
    <n v="508.63468130162983"/>
    <n v="-551.59438362982382"/>
    <n v="6.3069999999999986"/>
    <m/>
    <n v="508.63468130162983"/>
    <n v="716.40359333333333"/>
    <n v="244.6390649314535"/>
    <m/>
    <n v="179.04"/>
    <n v="224.5026163701759"/>
    <n v="212.81999999999991"/>
    <n v="7"/>
    <n v="6.9600000000000364"/>
    <n v="6.5399999999999636"/>
    <n v="0"/>
    <n v="36.24"/>
    <n v="39.760000000000012"/>
    <n v="111.7"/>
    <n v="6.3579335162703726E-2"/>
    <x v="91"/>
    <s v="06:32:55"/>
    <n v="-1.0844608201278318"/>
    <n v="-4.419808756117277"/>
    <x v="5"/>
    <x v="0"/>
    <n v="0"/>
  </r>
  <r>
    <n v="1057.699064931453"/>
    <n v="1054.077571035747"/>
    <n v="-3.621493895706215"/>
    <n v="6.3069999999999986"/>
    <m/>
    <n v="1054.077571035747"/>
    <n v="716.40359333333333"/>
    <n v="244.6390649314535"/>
    <m/>
    <n v="173.69000000000011"/>
    <n v="223.28550610429349"/>
    <n v="212.93000000000009"/>
    <n v="15.190000000000049"/>
    <n v="6.9600000000000364"/>
    <n v="0"/>
    <n v="0"/>
    <n v="36.39"/>
    <n v="42.02"/>
    <n v="108.06"/>
    <n v="0.13175969637946841"/>
    <x v="92"/>
    <s v="10:19:29"/>
    <n v="-3.4356996061947315E-3"/>
    <n v="547.97288973411764"/>
    <x v="5"/>
    <x v="0"/>
    <n v="-2.5300000000011096"/>
  </r>
  <r>
    <n v="1057.699064931453"/>
    <n v="1054.077571035747"/>
    <n v="-3.621493895706215"/>
    <n v="6.3069999999999986"/>
    <m/>
    <n v="1054.077571035747"/>
    <n v="716.40359333333333"/>
    <n v="244.6390649314535"/>
    <m/>
    <n v="173.69000000000011"/>
    <n v="223.28550610429349"/>
    <n v="212.93000000000009"/>
    <n v="15.190000000000049"/>
    <n v="6.9600000000000364"/>
    <n v="0"/>
    <n v="0"/>
    <n v="36.39"/>
    <n v="42.02"/>
    <n v="108.06"/>
    <n v="0.13175969637946841"/>
    <x v="93"/>
    <s v="10:25:25"/>
    <n v="-3.4356996061947315E-3"/>
    <n v="0"/>
    <x v="5"/>
    <x v="0"/>
    <n v="0"/>
  </r>
  <r>
    <n v="1117.699064931453"/>
    <n v="1102.5487938203501"/>
    <n v="-15.15027111110326"/>
    <n v="7.968"/>
    <m/>
    <n v="1102.5487938203501"/>
    <n v="716.40359333333333"/>
    <n v="244.6390649314535"/>
    <m/>
    <n v="172.30999999999989"/>
    <n v="277.9077288888966"/>
    <n v="210.72"/>
    <n v="15.190000000000049"/>
    <n v="6.9600000000000364"/>
    <n v="0"/>
    <n v="0"/>
    <e v="#REF!"/>
    <n v="42.02"/>
    <n v="108.06"/>
    <n v="0.13781859922754369"/>
    <x v="94"/>
    <s v="21:23:15"/>
    <n v="-1.374113435706307E-2"/>
    <n v="-11.528777215397046"/>
    <x v="5"/>
    <x v="0"/>
    <n v="60"/>
  </r>
  <r>
    <n v="1117.699064931453"/>
    <n v="1102.5487938203501"/>
    <n v="-15.15027111110326"/>
    <n v="7.968"/>
    <m/>
    <n v="1102.5487938203501"/>
    <n v="716.40359333333333"/>
    <n v="244.6390649314535"/>
    <m/>
    <n v="172.30999999999989"/>
    <n v="277.9077288888966"/>
    <n v="210.72"/>
    <n v="15.190000000000049"/>
    <n v="6.9600000000000364"/>
    <n v="0"/>
    <n v="0"/>
    <e v="#REF!"/>
    <n v="42.02"/>
    <n v="108.06"/>
    <n v="0.13781859922754369"/>
    <x v="94"/>
    <s v="23:34:05"/>
    <n v="-1.374113435706307E-2"/>
    <n v="0"/>
    <x v="5"/>
    <x v="0"/>
    <n v="0"/>
  </r>
  <r>
    <n v="1129.699064931453"/>
    <n v="1114.5485099003499"/>
    <n v="-15.150555031103259"/>
    <n v="7.968"/>
    <m/>
    <n v="1114.5485099003499"/>
    <n v="716.40359333333333"/>
    <n v="244.6390649314535"/>
    <m/>
    <n v="172.30999999999989"/>
    <n v="277.9077288888966"/>
    <n v="210.72"/>
    <n v="15.190000000000049"/>
    <n v="6.9600000000000364"/>
    <n v="11.999716080000001"/>
    <n v="0"/>
    <n v="36.31"/>
    <n v="42.02"/>
    <n v="108.06"/>
    <n v="0.13931856373754381"/>
    <x v="94"/>
    <s v="23:42:30"/>
    <n v="-1.3593446042521601E-2"/>
    <n v="-2.8391999999932693E-4"/>
    <x v="5"/>
    <x v="0"/>
    <n v="12"/>
  </r>
  <r>
    <n v="1129.829064931454"/>
    <n v="1113.66626524035"/>
    <n v="-16.16279969110326"/>
    <n v="7.968"/>
    <m/>
    <n v="1113.66626524035"/>
    <n v="716.40359333333333"/>
    <n v="244.76906493145361"/>
    <m/>
    <n v="172.30999999999989"/>
    <n v="277.9077288888966"/>
    <n v="210.72"/>
    <n v="15.190000000000049"/>
    <n v="6.9600000000000364"/>
    <n v="11.99747142"/>
    <n v="0"/>
    <n v="36.31"/>
    <n v="42.02"/>
    <n v="107.11"/>
    <n v="0.13920828315504369"/>
    <x v="94"/>
    <s v="23:48:00"/>
    <n v="-1.4513144732470661E-2"/>
    <n v="-1.0122446600000004"/>
    <x v="5"/>
    <x v="0"/>
    <n v="0.13000000000101863"/>
  </r>
  <r>
    <n v="1129.959064931453"/>
    <n v="593.28997842147032"/>
    <n v="-536.66908650998312"/>
    <n v="7.968"/>
    <m/>
    <n v="593.28997842147032"/>
    <n v="232.36326658666661"/>
    <n v="244.89906493145349"/>
    <m/>
    <n v="174.38"/>
    <n v="278.68269467001682"/>
    <n v="209.92999999999989"/>
    <n v="15.190000000000049"/>
    <n v="6.9600000000000364"/>
    <n v="12.02621882"/>
    <n v="0"/>
    <n v="36.51"/>
    <n v="42.02"/>
    <n v="107.11"/>
    <n v="7.4161247302683794E-2"/>
    <x v="95"/>
    <s v="23:48:28"/>
    <n v="-0.90456455701116867"/>
    <n v="-520.50628681887986"/>
    <x v="5"/>
    <x v="0"/>
    <n v="0.12999999999897227"/>
  </r>
  <r>
    <n v="1130.0090649314529"/>
    <n v="593.35725670265083"/>
    <n v="-536.65180822880257"/>
    <n v="7.968"/>
    <m/>
    <n v="593.35725670265083"/>
    <n v="232.36326658666661"/>
    <n v="244.89906493145349"/>
    <m/>
    <n v="174.77"/>
    <n v="277.89272955119759"/>
    <n v="210.21"/>
    <n v="15.190000000000049"/>
    <n v="7.0099999999999909"/>
    <n v="12.023462220000001"/>
    <n v="0"/>
    <n v="36.56"/>
    <n v="42.02"/>
    <n v="107.11"/>
    <n v="7.4169657087831353E-2"/>
    <x v="96"/>
    <s v="10:30:50"/>
    <n v="-0.90443287271994199"/>
    <n v="1.7278281180551858E-2"/>
    <x v="5"/>
    <x v="0"/>
    <n v="4.9999999999954525E-2"/>
  </r>
  <r>
    <n v="1130.139064931454"/>
    <n v="594.40964920601482"/>
    <n v="-535.72941572543868"/>
    <n v="7.968"/>
    <m/>
    <n v="594.40964920601482"/>
    <n v="232.36326658666661"/>
    <n v="245.0290649314536"/>
    <m/>
    <n v="177.48"/>
    <n v="276.82777657456148"/>
    <n v="210.12"/>
    <n v="15.190000000000049"/>
    <n v="7.0099999999999909"/>
    <n v="11.8008077"/>
    <n v="0"/>
    <n v="36.29"/>
    <n v="42.02"/>
    <n v="106.27"/>
    <n v="7.430120615075185E-2"/>
    <x v="97"/>
    <s v="00:21:44"/>
    <n v="-0.90127981004521296"/>
    <n v="0.92239250336388068"/>
    <x v="5"/>
    <x v="0"/>
    <n v="0.13000000000101863"/>
  </r>
  <r>
    <n v="1130.139064931454"/>
    <n v="594.48961973371388"/>
    <n v="-535.64944519773962"/>
    <n v="7.968"/>
    <m/>
    <n v="594.48961973371388"/>
    <n v="232.36326658666661"/>
    <n v="245.02906493145349"/>
    <m/>
    <n v="178.75"/>
    <n v="276.84277591226049"/>
    <n v="209.74"/>
    <n v="15.190000000000049"/>
    <n v="7.0099999999999909"/>
    <n v="11.295778889999999"/>
    <n v="0"/>
    <n v="36.369999999999997"/>
    <n v="42.02"/>
    <n v="106.27"/>
    <n v="7.431120246671423E-2"/>
    <x v="97"/>
    <s v="23:56:07"/>
    <n v="-0.90102405057580282"/>
    <n v="7.9970527699060767E-2"/>
    <x v="5"/>
    <x v="0"/>
    <n v="0"/>
  </r>
  <r>
    <n v="1130.139064931454"/>
    <n v="598.51628101309416"/>
    <n v="-531.62278391835935"/>
    <n v="7.968"/>
    <m/>
    <n v="598.51628101309416"/>
    <n v="232.36326658666661"/>
    <n v="245.02906493145349"/>
    <m/>
    <n v="179.11"/>
    <n v="277.17276134164081"/>
    <n v="212.61999999999989"/>
    <n v="15.190000000000049"/>
    <n v="7.0099999999999909"/>
    <n v="11.46245474"/>
    <n v="0"/>
    <n v="36.159999999999997"/>
    <n v="42.02"/>
    <n v="106.27"/>
    <n v="7.4814535126636772E-2"/>
    <x v="98"/>
    <s v="17:40:31"/>
    <n v="-0.88823445707858473"/>
    <n v="4.0266612793802778"/>
    <x v="5"/>
    <x v="0"/>
    <n v="0"/>
  </r>
  <r>
    <n v="1131.619064931454"/>
    <n v="601.55508039309416"/>
    <n v="-530.06398453835936"/>
    <n v="7.968"/>
    <m/>
    <n v="601.55508039309416"/>
    <n v="232.36326658666661"/>
    <n v="245.02906493145349"/>
    <m/>
    <n v="179.11"/>
    <n v="277.17276134164081"/>
    <n v="212.61999999999989"/>
    <n v="15.190000000000049"/>
    <n v="8.4900000000000091"/>
    <n v="11.54125412"/>
    <n v="0"/>
    <n v="36.159999999999997"/>
    <n v="42.02"/>
    <n v="106.27"/>
    <n v="7.5194385049136767E-2"/>
    <x v="99"/>
    <s v="14:47:18"/>
    <n v="-0.88115619303220249"/>
    <n v="1.5587993799999822"/>
    <x v="5"/>
    <x v="0"/>
    <n v="1.4800000000000182"/>
  </r>
  <r>
    <n v="1131.619064931454"/>
    <n v="701.54043476465949"/>
    <n v="-430.07863016679408"/>
    <n v="7.968"/>
    <m/>
    <n v="701.54043476465949"/>
    <e v="#REF!"/>
    <n v="245.02906493145349"/>
    <m/>
    <n v="176.4200000000001"/>
    <n v="275.53283375320609"/>
    <n v="214.08999999999989"/>
    <n v="15.190000000000049"/>
    <n v="8.4900000000000091"/>
    <n v="11.566536080000001"/>
    <n v="0"/>
    <n v="36.5"/>
    <n v="42.02"/>
    <n v="106.27"/>
    <n v="8.7692554345582444E-2"/>
    <x v="100"/>
    <s v="23:53:42"/>
    <n v="-0.61304895463519415"/>
    <n v="99.985354371565279"/>
    <x v="5"/>
    <x v="0"/>
    <n v="0"/>
  </r>
  <r>
    <n v="1131.619064931454"/>
    <n v="550.76452979197961"/>
    <n v="-580.85453513947391"/>
    <n v="7.968"/>
    <m/>
    <n v="550.76452979197961"/>
    <e v="#REF!"/>
    <n v="245.02906493145349"/>
    <m/>
    <n v="182.93000000000009"/>
    <n v="271.31302008052643"/>
    <n v="214.99"/>
    <n v="15.190000000000049"/>
    <n v="8.4900000000000091"/>
    <n v="11.61044478"/>
    <n v="0"/>
    <n v="36.64"/>
    <n v="42.02"/>
    <n v="106.27"/>
    <n v="6.8845566223997456E-2"/>
    <x v="101"/>
    <s v="23:40:46"/>
    <n v="-1.0546331575834398"/>
    <n v="-150.77590497267983"/>
    <x v="6"/>
    <x v="0"/>
    <n v="0"/>
  </r>
  <r>
    <n v="1131.619064931454"/>
    <n v="851.24594027262924"/>
    <n v="-280.37312465882428"/>
    <n v="7.968"/>
    <m/>
    <n v="851.24594027262924"/>
    <n v="203.42138800000001"/>
    <n v="245.0290649314536"/>
    <m/>
    <n v="184.16000000000011"/>
    <n v="271.0480317811755"/>
    <n v="215.3900000000001"/>
    <n v="15.190000000000049"/>
    <n v="8.4900000000000091"/>
    <n v="11.536843559999999"/>
    <n v="0"/>
    <n v="36.790000000000013"/>
    <n v="42.02"/>
    <n v="106.27"/>
    <n v="0.1064057425340787"/>
    <x v="102"/>
    <s v="21:06:13"/>
    <n v="-0.32936794338076836"/>
    <n v="300.48141048064963"/>
    <x v="6"/>
    <x v="0"/>
    <n v="0"/>
  </r>
  <r>
    <n v="1131.619064931454"/>
    <n v="854.71214010262906"/>
    <n v="-276.9069248288244"/>
    <n v="7.968"/>
    <m/>
    <n v="854.71214010262906"/>
    <n v="203.42138800000001"/>
    <n v="245.0290649314536"/>
    <m/>
    <n v="184.16000000000011"/>
    <n v="271.0480317811755"/>
    <n v="215.3900000000001"/>
    <n v="15.190000000000049"/>
    <n v="8.4900000000000091"/>
    <n v="11.53304339"/>
    <n v="0"/>
    <n v="36.790000000000013"/>
    <n v="42.02"/>
    <n v="106.27"/>
    <n v="0.10683901751282859"/>
    <x v="102"/>
    <s v="21:16:49"/>
    <n v="-0.32397682428563018"/>
    <n v="3.46619982999988"/>
    <x v="6"/>
    <x v="0"/>
    <n v="0"/>
  </r>
  <r>
    <n v="1137.649064931453"/>
    <n v="593.38325395645643"/>
    <n v="-544.26581097499707"/>
    <n v="7.968"/>
    <m/>
    <n v="593.38325395645643"/>
    <n v="489.46363280000003"/>
    <n v="245.02906493145349"/>
    <m/>
    <n v="182.23"/>
    <n v="277.80273352500308"/>
    <n v="215.75"/>
    <n v="21.220000000000031"/>
    <n v="8.4900000000000091"/>
    <n v="13.3094555"/>
    <n v="0"/>
    <n v="37.659999999999997"/>
    <n v="42.02"/>
    <n v="106.27"/>
    <n v="7.4172906744557052E-2"/>
    <x v="103"/>
    <s v="10:33:01"/>
    <n v="-0.91722475709591955"/>
    <n v="-267.35888614617267"/>
    <x v="6"/>
    <x v="0"/>
    <n v="6.0299999999990632"/>
  </r>
  <r>
    <n v="1137.649064931453"/>
    <n v="591.98253918627984"/>
    <n v="-545.66652574517366"/>
    <n v="7.968"/>
    <m/>
    <n v="591.98253918627984"/>
    <e v="#REF!"/>
    <n v="245.02906493145349"/>
    <m/>
    <n v="179.06999999999991"/>
    <n v="277.41275074482638"/>
    <n v="217.24"/>
    <n v="21.220000000000031"/>
    <n v="8.4900000000000091"/>
    <n v="13.13872351"/>
    <n v="0"/>
    <n v="37.96"/>
    <n v="42.02"/>
    <n v="106.27"/>
    <n v="7.3997817398284982E-2"/>
    <x v="104"/>
    <s v="01:05:53"/>
    <n v="-0.92176118318494549"/>
    <n v="-1.4007147701765916"/>
    <x v="6"/>
    <x v="0"/>
    <n v="0"/>
  </r>
  <r>
    <n v="1137.649064931453"/>
    <n v="183.23487029629311"/>
    <n v="-954.41419463516036"/>
    <n v="7.968"/>
    <m/>
    <n v="183.23487029629311"/>
    <n v="0"/>
    <n v="245.02906493145349"/>
    <m/>
    <n v="184.67"/>
    <n v="265.54827462483962"/>
    <n v="214.93999999999991"/>
    <n v="21.22"/>
    <n v="8.4900000000000091"/>
    <n v="13.04553074"/>
    <n v="0"/>
    <n v="38.630000000000003"/>
    <n v="42.02"/>
    <n v="106.27"/>
    <n v="2.290435878703664E-2"/>
    <x v="105"/>
    <s v="21:34:52"/>
    <n v="-5.2086930456624358"/>
    <n v="-408.7476688899867"/>
    <x v="7"/>
    <x v="0"/>
    <n v="0"/>
  </r>
  <r>
    <n v="1137.649064931453"/>
    <n v="196.80517769599689"/>
    <n v="-940.84388723545658"/>
    <n v="7.968"/>
    <m/>
    <n v="196.80517769599689"/>
    <n v="0"/>
    <n v="245.02906493145349"/>
    <m/>
    <n v="198.31"/>
    <n v="266.59322848454337"/>
    <n v="215.46999999999991"/>
    <n v="21.22"/>
    <n v="8.4900000000000091"/>
    <n v="11.010884280000001"/>
    <n v="0"/>
    <n v="38.770000000000003"/>
    <n v="42.02"/>
    <n v="106.27"/>
    <n v="2.4600647211999609E-2"/>
    <x v="106"/>
    <s v="17:03:40"/>
    <n v="-4.7805850346517271"/>
    <n v="13.570307399703779"/>
    <x v="8"/>
    <x v="0"/>
    <n v="0"/>
  </r>
  <r>
    <n v="1137.649064931453"/>
    <n v="284.20036577599672"/>
    <n v="-853.44869915545678"/>
    <n v="7.968"/>
    <m/>
    <n v="284.20036577599672"/>
    <n v="0"/>
    <n v="245.02906493145349"/>
    <m/>
    <n v="198.31"/>
    <n v="266.59322848454337"/>
    <n v="215.46999999999991"/>
    <n v="21.220000000000031"/>
    <n v="8.4900000000000091"/>
    <n v="10.97607236"/>
    <n v="0"/>
    <n v="38.770000000000003"/>
    <n v="42.02"/>
    <n v="106.27"/>
    <n v="3.552504572199959E-2"/>
    <x v="106"/>
    <s v="17:20:30"/>
    <n v="-3.0029824093475472"/>
    <n v="87.395188079999798"/>
    <x v="8"/>
    <x v="0"/>
    <n v="0"/>
  </r>
  <r>
    <n v="1244.605066841197"/>
    <n v="393.86894235261508"/>
    <n v="-850.73612448858159"/>
    <n v="7.968"/>
    <m/>
    <n v="393.86894235261508"/>
    <e v="#REF!"/>
    <n v="351.98506684119661"/>
    <m/>
    <n v="202.31000000000009"/>
    <n v="264.78830818141847"/>
    <n v="214.93999999999991"/>
    <n v="21.220000000000031"/>
    <n v="8.4900000000000091"/>
    <n v="10.64356733"/>
    <n v="0"/>
    <n v="39.11"/>
    <n v="42.02"/>
    <n v="106.27"/>
    <n v="4.9233617794076888E-2"/>
    <x v="107"/>
    <s v="10:24:17"/>
    <n v="-2.1599472134234734"/>
    <n v="2.7125746668751844"/>
    <x v="8"/>
    <x v="0"/>
    <n v="106.95600190974392"/>
  </r>
  <r>
    <n v="1246.075066841197"/>
    <n v="407.69946217585198"/>
    <n v="-838.37560466534455"/>
    <n v="7.968"/>
    <m/>
    <n v="407.69946217585198"/>
    <n v="1292.5421644800001"/>
    <n v="353.45506684119658"/>
    <m/>
    <n v="201.33"/>
    <n v="271.93799248465552"/>
    <n v="213.9"/>
    <n v="21.220000000000031"/>
    <n v="8.4900000000000091"/>
    <n v="9.58440285"/>
    <n v="0"/>
    <n v="40.33"/>
    <n v="42.02"/>
    <n v="106.27"/>
    <n v="5.0962432771981488E-2"/>
    <x v="108"/>
    <s v="21:52:13"/>
    <n v="-2.0563569061166191"/>
    <n v="12.360519823237041"/>
    <x v="9"/>
    <x v="0"/>
    <n v="1.4700000000000273"/>
  </r>
  <r>
    <n v="1246.075066841197"/>
    <n v="996.49767876585213"/>
    <n v="-249.5773880753444"/>
    <n v="7.968"/>
    <m/>
    <n v="376.35706684119663"/>
    <e v="#REF!"/>
    <n v="353.45506684119653"/>
    <m/>
    <n v="201.33"/>
    <n v="271.93799248465541"/>
    <n v="213.9"/>
    <n v="21.220000000000031"/>
    <n v="8.4900000000000091"/>
    <n v="9.5846194399999991"/>
    <n v="0"/>
    <n v="40.33"/>
    <n v="42.02"/>
    <n v="106.27"/>
    <n v="0.12456220984573151"/>
    <x v="108"/>
    <s v="22:14:44"/>
    <n v="-0.25045456040042396"/>
    <n v="588.79821659000015"/>
    <x v="9"/>
    <x v="0"/>
    <n v="0"/>
  </r>
  <r>
    <n v="1246.075066841197"/>
    <n v="996.4442204158521"/>
    <n v="-249.6308464253444"/>
    <n v="7.968"/>
    <m/>
    <n v="376.35706684119663"/>
    <e v="#REF!"/>
    <n v="353.45506684119681"/>
    <m/>
    <n v="201.33"/>
    <n v="271.93799248465541"/>
    <n v="213.9"/>
    <n v="21.220000000000031"/>
    <n v="8.4900000000000091"/>
    <n v="9.5311610899999994"/>
    <n v="0"/>
    <n v="40.33"/>
    <n v="42.02"/>
    <n v="106.27"/>
    <n v="0.1245555275519815"/>
    <x v="109"/>
    <s v="10:47:51"/>
    <n v="-0.25052164618021916"/>
    <n v="-5.3458349999999655E-2"/>
    <x v="9"/>
    <x v="0"/>
    <n v="0"/>
  </r>
  <r>
    <n v="1246.075066841197"/>
    <n v="996.4442204158521"/>
    <n v="-249.6308464253444"/>
    <n v="7.968"/>
    <m/>
    <n v="376.35706684119663"/>
    <e v="#REF!"/>
    <n v="353.45506684119681"/>
    <m/>
    <n v="201.33"/>
    <n v="271.93799248465541"/>
    <n v="213.9"/>
    <n v="21.220000000000031"/>
    <n v="8.4900000000000091"/>
    <n v="9.5311610899999994"/>
    <n v="0"/>
    <n v="40.33"/>
    <n v="42.02"/>
    <n v="106.27"/>
    <n v="0.1245555275519815"/>
    <x v="109"/>
    <s v="10:49:31"/>
    <n v="-0.25052164618021916"/>
    <n v="0"/>
    <x v="9"/>
    <x v="0"/>
    <n v="0"/>
  </r>
  <r>
    <n v="1224.0832767861471"/>
    <n v="382.03527678614728"/>
    <n v="-842.04799999999955"/>
    <m/>
    <m/>
    <m/>
    <m/>
    <n v="361.17327678614703"/>
    <m/>
    <n v="201.33"/>
    <n v="271.93799248465552"/>
    <n v="213.9"/>
    <m/>
    <m/>
    <n v="9.6850975100000003"/>
    <m/>
    <n v="40.33"/>
    <n v="43.67"/>
    <n v="106.27"/>
    <n v="4.7754409598268412E-2"/>
    <x v="110"/>
    <m/>
    <n v="-2.2041105917853616"/>
    <n v="-592.41715357465512"/>
    <x v="9"/>
    <x v="0"/>
    <n v="-21.991790055049933"/>
  </r>
  <r>
    <n v="1224.0832767861471"/>
    <n v="382.03527678614728"/>
    <n v="-842.04799999999955"/>
    <m/>
    <m/>
    <m/>
    <m/>
    <n v="361.17327678614703"/>
    <m/>
    <n v="201.33"/>
    <n v="271.93799248465552"/>
    <n v="213.9"/>
    <m/>
    <m/>
    <n v="9.6850975100000003"/>
    <m/>
    <n v="40.33"/>
    <n v="43.67"/>
    <n v="106.27"/>
    <n v="4.7754409598268412E-2"/>
    <x v="110"/>
    <s v="23:09:26"/>
    <n v="-2.2041105917853616"/>
    <n v="0"/>
    <x v="9"/>
    <x v="0"/>
    <n v="0"/>
  </r>
  <r>
    <n v="1235.300779843976"/>
    <n v="393.25277984397638"/>
    <n v="-842.04799999999977"/>
    <m/>
    <m/>
    <m/>
    <m/>
    <n v="372.39077984397642"/>
    <m/>
    <n v="201.65"/>
    <n v="271.64300550990652"/>
    <n v="214.57"/>
    <m/>
    <m/>
    <n v="9.8983205200000004"/>
    <m/>
    <n v="40.229999999999997"/>
    <n v="43.67"/>
    <n v="106.27"/>
    <n v="4.9156597480497048E-2"/>
    <x v="111"/>
    <s v="21:15:54"/>
    <n v="-2.1412385192396695"/>
    <n v="0"/>
    <x v="9"/>
    <x v="0"/>
    <n v="11.217503057828935"/>
  </r>
  <r>
    <n v="1235.300779843976"/>
    <n v="393.25277984397638"/>
    <n v="-842.04799999999977"/>
    <m/>
    <m/>
    <m/>
    <m/>
    <n v="372.39077984397642"/>
    <m/>
    <n v="201.65"/>
    <n v="271.64300550990652"/>
    <n v="214.57"/>
    <m/>
    <m/>
    <n v="9.8983205200000004"/>
    <m/>
    <n v="40.229999999999997"/>
    <n v="43.67"/>
    <n v="106.27"/>
    <n v="4.9156597480497048E-2"/>
    <x v="111"/>
    <s v="21:23:35"/>
    <n v="-2.1412385192396695"/>
    <n v="0"/>
    <x v="9"/>
    <x v="0"/>
    <n v="0"/>
  </r>
  <r>
    <n v="1235.300779843976"/>
    <n v="393.25277984397638"/>
    <n v="-842.04799999999977"/>
    <s v="FII"/>
    <m/>
    <m/>
    <m/>
    <n v="372.39077984397642"/>
    <m/>
    <n v="201.65"/>
    <n v="271.64300550990652"/>
    <n v="214.57"/>
    <m/>
    <m/>
    <n v="9.8983205200000004"/>
    <m/>
    <n v="40.229999999999997"/>
    <n v="43.67"/>
    <n v="106.27"/>
    <n v="4.9156597480497048E-2"/>
    <x v="111"/>
    <s v="21:33:23"/>
    <n v="-2.1412385192396695"/>
    <n v="0"/>
    <x v="9"/>
    <x v="0"/>
    <n v="0"/>
  </r>
  <r>
    <n v="1235.300779843976"/>
    <n v="393.25277984397638"/>
    <n v="-842.04799999999977"/>
    <n v="208.07"/>
    <m/>
    <m/>
    <m/>
    <n v="372.39077984397642"/>
    <m/>
    <n v="201.65"/>
    <n v="271.64300550990652"/>
    <n v="214.57"/>
    <m/>
    <m/>
    <n v="9.8983205200000004"/>
    <m/>
    <n v="40.229999999999997"/>
    <n v="43.67"/>
    <n v="106.27"/>
    <n v="4.9156597480497048E-2"/>
    <x v="111"/>
    <s v="21:50:13"/>
    <n v="-2.1412385192396695"/>
    <n v="0"/>
    <x v="9"/>
    <x v="0"/>
    <n v="0"/>
  </r>
  <r>
    <n v="1246.6082925054809"/>
    <n v="404.97029250548121"/>
    <n v="-841.63800000000015"/>
    <n v="361.17327678614703"/>
    <m/>
    <n v="296.74"/>
    <n v="208.07"/>
    <n v="383.69829250548128"/>
    <m/>
    <n v="204.44"/>
    <n v="270.25306688312338"/>
    <n v="214.83"/>
    <s v="07/12/2025"/>
    <m/>
    <n v="9.7679136500000006"/>
    <m/>
    <n v="40.36"/>
    <n v="43.67"/>
    <n v="106.27"/>
    <n v="5.0621286563185153E-2"/>
    <x v="111"/>
    <s v="22:18:58"/>
    <n v="-2.0782709635142154"/>
    <n v="0.40999999999962711"/>
    <x v="9"/>
    <x v="0"/>
    <n v="11.307512661504916"/>
  </r>
  <r>
    <n v="1252.296027911759"/>
    <n v="411.07802791175851"/>
    <n v="-841.21800000000053"/>
    <n v="361.17327678614703"/>
    <m/>
    <n v="296.74"/>
    <n v="208.07"/>
    <n v="389.38602791175907"/>
    <m/>
    <n v="202.1"/>
    <n v="270.91803752111679"/>
    <n v="215.57"/>
    <m/>
    <m/>
    <n v="9.6389047699999999"/>
    <m/>
    <n v="40.159999999999997"/>
    <n v="43.67"/>
    <n v="106.27"/>
    <n v="5.1384753488969807E-2"/>
    <x v="112"/>
    <s v="19:30:25"/>
    <n v="-2.0463706228068586"/>
    <n v="0.41999999999961801"/>
    <x v="9"/>
    <x v="0"/>
    <n v="5.6877354062780796"/>
  </r>
  <r>
    <n v="1263.73991098788"/>
    <n v="422.76191098787922"/>
    <n v="-840.97800000000052"/>
    <n v="361.17327678614703"/>
    <m/>
    <n v="296.74"/>
    <n v="208.07"/>
    <n v="400.82991098787988"/>
    <m/>
    <n v="202.27"/>
    <n v="270.91803752111679"/>
    <n v="215.68"/>
    <m/>
    <m/>
    <n v="9.5180672400000006"/>
    <m/>
    <n v="40.159999999999997"/>
    <n v="43.67"/>
    <n v="106.27"/>
    <n v="5.2845238873484912E-2"/>
    <x v="113"/>
    <s v="08:51:54"/>
    <n v="-1.9892473237119788"/>
    <n v="0.24000000000000909"/>
    <x v="9"/>
    <x v="0"/>
    <n v="11.443883076120983"/>
  </r>
  <r>
    <n v="1269.4962413945609"/>
    <n v="428.51824139456079"/>
    <n v="-840.97800000000029"/>
    <m/>
    <m/>
    <m/>
    <m/>
    <n v="406.58624139456123"/>
    <m/>
    <n v="203.6"/>
    <n v="270.70304701409628"/>
    <n v="215.71"/>
    <n v="12"/>
    <n v="34.75"/>
    <n v="9.1592563699999996"/>
    <n v="102"/>
    <n v="40.299999999999997"/>
    <n v="43.67"/>
    <n v="106.27"/>
    <n v="5.3564780174320099E-2"/>
    <x v="114"/>
    <s v="23:13:30"/>
    <n v="-1.9625255561190094"/>
    <n v="0"/>
    <x v="9"/>
    <x v="0"/>
    <n v="5.7563304066809451"/>
  </r>
  <r>
    <n v="1723.9582993642141"/>
    <n v="882.98029936421381"/>
    <n v="-840.97800000000029"/>
    <m/>
    <m/>
    <m/>
    <m/>
    <n v="861.04829936421413"/>
    <m/>
    <n v="199.69"/>
    <n v="275.4278383893124"/>
    <n v="215.78"/>
    <m/>
    <m/>
    <n v="9.4914069799999989"/>
    <s v="18:55:09"/>
    <n v="40.380000000000003"/>
    <n v="43.67"/>
    <n v="106.27"/>
    <n v="0.1103725374205267"/>
    <x v="115"/>
    <s v="23:11:12"/>
    <n v="-0.95243121574234768"/>
    <n v="0"/>
    <x v="9"/>
    <x v="0"/>
    <n v="454.46205796965319"/>
  </r>
  <r>
    <n v="1731.5573441979541"/>
    <n v="890.99934419795363"/>
    <n v="-840.55800000000045"/>
    <m/>
    <m/>
    <m/>
    <m/>
    <n v="868.64734419795423"/>
    <m/>
    <n v="199.82"/>
    <n v="276.40279533975382"/>
    <n v="215.79"/>
    <n v="9.6850975100000003"/>
    <n v="40.33"/>
    <n v="9.5456529299999993"/>
    <n v="106.27"/>
    <n v="40.729999999999997"/>
    <n v="43.67"/>
    <n v="106.27"/>
    <n v="0.1113749180247442"/>
    <x v="116"/>
    <s v="13:09:52"/>
    <n v="-0.94338789974827786"/>
    <n v="0.41999999999984539"/>
    <x v="9"/>
    <x v="0"/>
    <n v="7.5990448337399812"/>
  </r>
  <r>
    <n v="1785.6094587725529"/>
    <n v="947.99145877255205"/>
    <n v="-837.61800000000085"/>
    <m/>
    <m/>
    <m/>
    <m/>
    <n v="922.69945877255304"/>
    <m/>
    <n v="199.82"/>
    <n v="276.40279533975382"/>
    <n v="215.79"/>
    <n v="9.6850975100000003"/>
    <n v="40.33"/>
    <n v="9.5456529299999993"/>
    <n v="106.27"/>
    <n v="40.729999999999997"/>
    <n v="43.67"/>
    <n v="106.27"/>
    <n v="0.118498932346569"/>
    <x v="117"/>
    <s v="19:29:32"/>
    <n v="-0.88357125188083296"/>
    <n v="2.9399999999995998"/>
    <x v="9"/>
    <x v="0"/>
    <n v="54.052114574598818"/>
  </r>
  <r>
    <n v="1805.2831413157"/>
    <n v="417.66514131569971"/>
    <n v="-1387.6179999999999"/>
    <m/>
    <m/>
    <m/>
    <m/>
    <n v="948.76314131569995"/>
    <m/>
    <n v="202.06"/>
    <n v="273.83790859320789"/>
    <n v="219.26"/>
    <n v="9.6850975100000003"/>
    <n v="40.33"/>
    <n v="9.4402129800000001"/>
    <n v="106.27"/>
    <n v="41.54"/>
    <n v="43.67"/>
    <n v="106.27"/>
    <n v="5.2208142664462463E-2"/>
    <x v="117"/>
    <s v="20:07:19"/>
    <n v="-3.3223217901997328"/>
    <n v="-549.99999999999909"/>
    <x v="9"/>
    <x v="0"/>
    <n v="19.673682543147152"/>
  </r>
  <r>
    <n v="1813.2097900048011"/>
    <n v="425.59179000480071"/>
    <n v="-1387.6179999999999"/>
    <m/>
    <m/>
    <m/>
    <m/>
    <n v="956.6897900048009"/>
    <m/>
    <n v="202.06"/>
    <n v="273.83790859320789"/>
    <n v="219.26"/>
    <m/>
    <m/>
    <n v="9.4512393800000005"/>
    <m/>
    <n v="41.54"/>
    <n v="43.67"/>
    <n v="106.27"/>
    <n v="5.3198973750600093E-2"/>
    <x v="118"/>
    <s v="01:03:38"/>
    <n v="-3.2604435343650486"/>
    <n v="0"/>
    <x v="0"/>
    <x v="1"/>
    <n v="7.9266486891010572"/>
  </r>
  <r>
    <n v="1831.202334399944"/>
    <n v="3442.146728224945"/>
    <n v="296.59239382500027"/>
    <m/>
    <m/>
    <n v="669.65433439994467"/>
    <m/>
    <n v="972.66233439994448"/>
    <n v="2.02"/>
    <n v="205.92"/>
    <n v="269.3781055173427"/>
    <m/>
    <m/>
    <n v="216.37"/>
    <m/>
    <n v="9.6787573299999998"/>
    <n v="40.78"/>
    <n v="43.67"/>
    <m/>
    <n v="0.43026834102811812"/>
    <x v="119"/>
    <s v="22:11:22"/>
    <n v="8.6164947993936272E-2"/>
    <n v="1684.2103938250002"/>
    <x v="0"/>
    <x v="1"/>
    <n v="17.992544395142886"/>
  </r>
  <r>
    <n v="1831.202334399944"/>
    <n v="3442.146728224945"/>
    <n v="296.59239382500027"/>
    <m/>
    <m/>
    <n v="669.65433439994467"/>
    <n v="361.17327678614703"/>
    <n v="972.66233439994448"/>
    <n v="2.02"/>
    <n v="205.92"/>
    <n v="269.3781055173427"/>
    <m/>
    <n v="40.33"/>
    <n v="216.37"/>
    <n v="106.27"/>
    <n v="9.6792495800000005"/>
    <n v="40.78"/>
    <n v="43.67"/>
    <n v="106.27"/>
    <n v="0.43026834102811812"/>
    <x v="119"/>
    <s v="22:17:19"/>
    <n v="8.6164947993936272E-2"/>
    <n v="0"/>
    <x v="0"/>
    <x v="1"/>
    <n v="0"/>
  </r>
  <r>
    <n v="1839.3329608078359"/>
    <n v="3450.2773546328358"/>
    <n v="296.59239382500027"/>
    <m/>
    <m/>
    <n v="677.78496080783589"/>
    <n v="361.17327678614703"/>
    <n v="972.66233439994448"/>
    <n v="10.15062640789141"/>
    <n v="205.4"/>
    <n v="268.5281430477271"/>
    <m/>
    <n v="40.33"/>
    <n v="217.12"/>
    <n v="106.27"/>
    <n v="9.5830442399999995"/>
    <n v="41.13"/>
    <n v="43.67"/>
    <n v="106.27"/>
    <n v="0.43128466932910448"/>
    <x v="120"/>
    <s v="23:05:27"/>
    <n v="8.5961899099721045E-2"/>
    <n v="0"/>
    <x v="0"/>
    <x v="1"/>
    <n v="8.1306264078918957"/>
  </r>
  <r>
    <n v="1863.335072117836"/>
    <n v="3474.2794659428359"/>
    <n v="296.59239382500027"/>
    <m/>
    <m/>
    <n v="701.78707211783603"/>
    <n v="361.17327678614703"/>
    <n v="972.66233439994448"/>
    <n v="10.15062640789141"/>
    <n v="205.4"/>
    <n v="268.5281430477271"/>
    <n v="9.6850975100000003"/>
    <n v="40.33"/>
    <n v="217.12"/>
    <n v="106.27"/>
    <n v="33.369721239999997"/>
    <n v="41.13"/>
    <n v="43.67"/>
    <n v="106.27"/>
    <n v="0.4342849332428545"/>
    <x v="121"/>
    <s v="21:35:12"/>
    <n v="8.5368030042601142E-2"/>
    <n v="0"/>
    <x v="0"/>
    <x v="1"/>
    <n v="24.002111310000146"/>
  </r>
  <r>
    <n v="1867.4309386912901"/>
    <n v="3478.785332516291"/>
    <n v="296.59239382500027"/>
    <m/>
    <m/>
    <n v="706.29293869129015"/>
    <n v="361.17327678614703"/>
    <n v="972.66233439994448"/>
    <n v="14.246492981345909"/>
    <n v="205.4"/>
    <n v="268.5281430477271"/>
    <n v="9.6850975100000003"/>
    <n v="40.33"/>
    <n v="217.12"/>
    <n v="106.27"/>
    <n v="33.833725520000002"/>
    <n v="41.13"/>
    <n v="43.67"/>
    <n v="106.27"/>
    <n v="0.4348481665645364"/>
    <x v="122"/>
    <s v="23:41:10"/>
    <n v="8.5257457841029727E-2"/>
    <n v="0"/>
    <x v="0"/>
    <x v="1"/>
    <n v="4.0958665734540318"/>
  </r>
  <r>
    <n v="1867.4309386912901"/>
    <n v="3415.2553325162912"/>
    <n v="296.59239382500027"/>
    <m/>
    <m/>
    <n v="642.7629386912904"/>
    <n v="361.17327678614703"/>
    <n v="972.66233439994448"/>
    <n v="14.246492981345909"/>
    <n v="205.15"/>
    <n v="268.74813333398049"/>
    <m/>
    <m/>
    <n v="216.94"/>
    <n v="40.33"/>
    <n v="33.667431000000001"/>
    <n v="41.24"/>
    <n v="43.67"/>
    <n v="106.27"/>
    <n v="0.42690691656453639"/>
    <x v="123"/>
    <s v="23:09:14"/>
    <n v="8.6843402600436603E-2"/>
    <n v="0"/>
    <x v="0"/>
    <x v="1"/>
    <n v="0"/>
  </r>
  <r>
    <n v="1871.547310196778"/>
    <n v="3419.3717040217789"/>
    <n v="296.59239382500027"/>
    <m/>
    <m/>
    <n v="646.87931019677853"/>
    <n v="361.17327678614703"/>
    <n v="972.66233439994448"/>
    <n v="18.362864486833779"/>
    <n v="206.51"/>
    <n v="268.6031397362226"/>
    <m/>
    <m/>
    <n v="216.86"/>
    <m/>
    <n v="35.058413940000001"/>
    <n v="41.13"/>
    <n v="43.67"/>
    <n v="106.27"/>
    <n v="0.42742146300272238"/>
    <x v="124"/>
    <s v="06:32:36"/>
    <n v="8.6738857163775371E-2"/>
    <n v="0"/>
    <x v="0"/>
    <x v="1"/>
    <n v="4.1163715054879049"/>
  </r>
  <r>
    <n v="1875.684289287115"/>
    <n v="3423.5086831121162"/>
    <n v="296.59239382500027"/>
    <m/>
    <m/>
    <n v="651.0162892871158"/>
    <m/>
    <n v="972.66233439994448"/>
    <n v="22.499843577170989"/>
    <n v="214.09"/>
    <n v="268.40814834613428"/>
    <m/>
    <m/>
    <n v="217.57000000000011"/>
    <m/>
    <n v="34.992431680000003"/>
    <n v="41.27"/>
    <n v="43.67"/>
    <n v="106.27"/>
    <n v="0.42793858538901453"/>
    <x v="125"/>
    <s v="16:02:05"/>
    <n v="8.663404164507188E-2"/>
    <n v="0"/>
    <x v="0"/>
    <x v="1"/>
    <n v="4.1369790903370358"/>
  </r>
  <r>
    <n v="1877.7605388960581"/>
    <n v="3425.6149327210592"/>
    <n v="296.59239382500027"/>
    <m/>
    <m/>
    <n v="653.12253889605836"/>
    <m/>
    <n v="972.66233439994448"/>
    <n v="24.576093186113908"/>
    <n v="214.93"/>
    <n v="268.4581461384646"/>
    <m/>
    <m/>
    <n v="217.23"/>
    <m/>
    <n v="35.064387359999998"/>
    <n v="41.22"/>
    <n v="43.67"/>
    <n v="106.27"/>
    <n v="0.42820186659013237"/>
    <x v="126"/>
    <s v="21:48:22"/>
    <n v="8.6580774444899117E-2"/>
    <n v="0"/>
    <x v="0"/>
    <x v="1"/>
    <n v="2.0762496089430442"/>
  </r>
  <r>
    <n v="1879.841979129023"/>
    <n v="4295.1377296890232"/>
    <n v="967.4437505599999"/>
    <m/>
    <m/>
    <n v="555.20397912902354"/>
    <m/>
    <n v="972.66233439994448"/>
    <n v="26.657533419079201"/>
    <n v="214.93"/>
    <n v="268.4581461384646"/>
    <m/>
    <m/>
    <n v="217.23"/>
    <m/>
    <n v="35.073313159999998"/>
    <n v="41.22"/>
    <n v="43.67"/>
    <n v="106.27"/>
    <n v="0.53689221621112793"/>
    <x v="127"/>
    <s v="13:58:35"/>
    <n v="0.2252416130623231"/>
    <n v="670.85135673499963"/>
    <x v="0"/>
    <x v="1"/>
    <n v="2.0814402329649511"/>
  </r>
  <r>
    <n v="1879.841979129023"/>
    <n v="4295.1377296890232"/>
    <n v="967.4437505599999"/>
    <m/>
    <m/>
    <n v="555.20397912902354"/>
    <m/>
    <n v="972.66233439994448"/>
    <n v="26.657533419079201"/>
    <n v="214.93"/>
    <n v="268.41314812536729"/>
    <m/>
    <m/>
    <n v="217.23"/>
    <m/>
    <n v="35.098580040000002"/>
    <n v="41.22"/>
    <n v="43.67"/>
    <n v="106.27"/>
    <n v="0.53689221621112793"/>
    <x v="128"/>
    <s v="15:15:39"/>
    <n v="0.2252416130623231"/>
    <n v="0"/>
    <x v="0"/>
    <x v="1"/>
    <n v="0"/>
  </r>
  <r>
    <n v="1879.841979129023"/>
    <n v="4295.1377296890232"/>
    <n v="967.4437505599999"/>
    <m/>
    <m/>
    <n v="555.20397912902354"/>
    <m/>
    <n v="972.66233439994448"/>
    <n v="26.657533419079201"/>
    <n v="214.93"/>
    <n v="268.5281430477271"/>
    <m/>
    <m/>
    <n v="217.23"/>
    <m/>
    <n v="34.330617940000003"/>
    <n v="41.22"/>
    <n v="43.67"/>
    <n v="106.27"/>
    <n v="0.53689221621112793"/>
    <x v="129"/>
    <s v="09:16:08"/>
    <n v="0.2252416130623231"/>
    <n v="0"/>
    <x v="0"/>
    <x v="1"/>
    <n v="0"/>
  </r>
  <r>
    <n v="1896.681927477932"/>
    <n v="4311.9776780379316"/>
    <n v="967.4437505599999"/>
    <m/>
    <m/>
    <n v="572.04392747793281"/>
    <m/>
    <n v="972.66233439994448"/>
    <n v="43.497481767987807"/>
    <n v="232.11"/>
    <n v="264.03834129646361"/>
    <m/>
    <m/>
    <n v="220.94"/>
    <m/>
    <n v="32.034284239999998"/>
    <n v="40.960000000000008"/>
    <n v="43.67"/>
    <n v="106.27"/>
    <n v="0.53899720975474152"/>
    <x v="130"/>
    <s v="21:15:03"/>
    <n v="0.22436195704060635"/>
    <n v="0"/>
    <x v="0"/>
    <x v="1"/>
    <n v="16.839948348909047"/>
  </r>
  <r>
    <n v="1903.0841374736231"/>
    <n v="12166.96746947362"/>
    <n v="9516.0313320000005"/>
    <m/>
    <m/>
    <n v="355.64196373896641"/>
    <m/>
    <n v="972.66233439994448"/>
    <n v="49.899691763679023"/>
    <n v="244.33"/>
    <n v="261.97843225245413"/>
    <m/>
    <m/>
    <n v="221.84"/>
    <m/>
    <n v="30.426884980000001"/>
    <n v="40.54"/>
    <n v="43.67"/>
    <n v="106.27"/>
    <n v="1.520870933684203"/>
    <x v="131"/>
    <s v="12:56:56"/>
    <n v="0.78212022477049437"/>
    <n v="8548.5875814400006"/>
    <x v="0"/>
    <x v="1"/>
    <n v="6.4022099956910097"/>
  </r>
  <r>
    <n v="1905.228886703032"/>
    <n v="12169.112218703031"/>
    <n v="9516.0313320000023"/>
    <m/>
    <m/>
    <n v="247.44340150215339"/>
    <m/>
    <n v="972.66233439994448"/>
    <n v="52.044440993088223"/>
    <n v="244.38"/>
    <n v="261.54345145918018"/>
    <m/>
    <m/>
    <n v="223.36"/>
    <m/>
    <n v="29.748730160000001"/>
    <n v="40.75"/>
    <n v="43.67"/>
    <n v="106.27"/>
    <n v="1.5211390273378791"/>
    <x v="132"/>
    <s v="12:59:36"/>
    <n v="0.78198237973141227"/>
    <n v="0"/>
    <x v="0"/>
    <x v="1"/>
    <n v="2.1447492294089443"/>
  </r>
  <r>
    <n v="1909.5184225707351"/>
    <n v="13036.30853857074"/>
    <n v="9628.9381160000012"/>
    <m/>
    <m/>
    <n v="139.24"/>
    <m/>
    <n v="972.66233439994448"/>
    <n v="56.333976860790251"/>
    <n v="239.56"/>
    <n v="262.8433940597688"/>
    <m/>
    <m/>
    <n v="223.68999999999991"/>
    <m/>
    <n v="27.71179394"/>
    <n v="40.619999999999997"/>
    <n v="43.67"/>
    <n v="106.27"/>
    <n v="1.6295385673213421"/>
    <x v="133"/>
    <s v="20:33:54"/>
    <n v="0.73862459510763367"/>
    <n v="112.90678399999888"/>
    <x v="1"/>
    <x v="1"/>
    <n v="4.2895358677030799"/>
  </r>
  <r>
    <n v="1911.6728392653399"/>
    <n v="12540.67295526534"/>
    <n v="9628.9381160000012"/>
    <m/>
    <n v="48.658944950281509"/>
    <n v="139.24483926534049"/>
    <m/>
    <n v="972.66233439994448"/>
    <n v="58.488393555395817"/>
    <n v="239.71"/>
    <n v="263.03338567062411"/>
    <m/>
    <m/>
    <n v="219.52"/>
    <m/>
    <n v="28.40931088"/>
    <n v="40.799999999999997"/>
    <n v="43.67"/>
    <n v="106.27"/>
    <n v="1.5675841194081681"/>
    <x v="134"/>
    <s v="12:59:38"/>
    <n v="0.76781669933886487"/>
    <n v="0"/>
    <x v="1"/>
    <x v="1"/>
    <n v="2.1544166946048335"/>
  </r>
  <r>
    <n v="1911.6728392653399"/>
    <n v="12540.67295526534"/>
    <n v="9628.9381160000012"/>
    <m/>
    <n v="48.658944950281509"/>
    <n v="139.24483926534049"/>
    <m/>
    <n v="972.66233439994448"/>
    <n v="58.488393555395817"/>
    <n v="240.39"/>
    <n v="263.00838677445881"/>
    <m/>
    <m/>
    <n v="218.57"/>
    <m/>
    <n v="28.350606580000001"/>
    <n v="40.75"/>
    <n v="43.67"/>
    <n v="106.27"/>
    <n v="1.5675841194081681"/>
    <x v="134"/>
    <s v="19:03:52"/>
    <n v="0.76781669933886487"/>
    <n v="0"/>
    <x v="1"/>
    <x v="1"/>
    <n v="0"/>
  </r>
  <r>
    <n v="1913.831564793335"/>
    <n v="12542.88168079334"/>
    <n v="9628.9381160000012"/>
    <m/>
    <n v="48.658944950281509"/>
    <n v="141.45356479333529"/>
    <m/>
    <n v="972.71233439994455"/>
    <n v="60.647119083390614"/>
    <n v="245.64"/>
    <n v="261.92343468089069"/>
    <m/>
    <m/>
    <n v="220.13"/>
    <m/>
    <n v="27.289260299999999"/>
    <n v="40.39"/>
    <n v="43.67"/>
    <n v="106.27"/>
    <n v="1.567860210099167"/>
    <x v="135"/>
    <s v="20:29:49"/>
    <n v="0.76768149146655817"/>
    <n v="0"/>
    <x v="1"/>
    <x v="1"/>
    <n v="2.1587255279951023"/>
  </r>
  <r>
    <n v="1913.831564793335"/>
    <n v="12542.88168079334"/>
    <n v="9628.9381160000012"/>
    <m/>
    <n v="48.008596181924638"/>
    <n v="141.45356479333529"/>
    <m/>
    <n v="972.71233439994455"/>
    <n v="60.647119083390614"/>
    <n v="245.64"/>
    <n v="261.92343468089069"/>
    <m/>
    <m/>
    <n v="220.13"/>
    <m/>
    <n v="27.278755319999998"/>
    <n v="40.39"/>
    <n v="43.67"/>
    <n v="106.27"/>
    <n v="1.567860210099167"/>
    <x v="135"/>
    <s v="21:59:47"/>
    <n v="0.76768149146655817"/>
    <n v="0"/>
    <x v="1"/>
    <x v="1"/>
    <n v="0"/>
  </r>
  <r>
    <n v="1915.994607772386"/>
    <n v="12545.044723772389"/>
    <n v="9628.9381160000012"/>
    <m/>
    <n v="48.008596181924638"/>
    <n v="143.61660777238649"/>
    <m/>
    <n v="972.71233439994455"/>
    <n v="62.810162062441378"/>
    <n v="243.18"/>
    <n v="261.93843401858982"/>
    <m/>
    <m/>
    <n v="220.12"/>
    <m/>
    <n v="26.300007019999999"/>
    <n v="40.31"/>
    <n v="43.67"/>
    <n v="106.27"/>
    <n v="1.5681305904715479"/>
    <x v="136"/>
    <s v="20:29:38"/>
    <n v="0.76754912621024973"/>
    <n v="0"/>
    <x v="1"/>
    <x v="1"/>
    <n v="2.1630429790509424"/>
  </r>
  <r>
    <n v="1915.994607772386"/>
    <n v="12545.044723772389"/>
    <n v="9628.9381160000012"/>
    <m/>
    <n v="48.008596181924638"/>
    <n v="143.61660777238649"/>
    <m/>
    <n v="972.71233439994455"/>
    <n v="62.810162062441378"/>
    <n v="243.18"/>
    <n v="261.93843401858982"/>
    <m/>
    <m/>
    <n v="220.12"/>
    <m/>
    <n v="26.300007019999999"/>
    <n v="40.31"/>
    <n v="43.67"/>
    <n v="106.27"/>
    <n v="1.5681305904715479"/>
    <x v="136"/>
    <s v="20:32:54"/>
    <n v="0.76754912621024973"/>
    <n v="0"/>
    <x v="1"/>
    <x v="1"/>
    <n v="0"/>
  </r>
  <r>
    <n v="1915.994607772386"/>
    <n v="12545.044723772389"/>
    <n v="9628.9381160000012"/>
    <m/>
    <n v="48.008596181924638"/>
    <n v="143.61660777238649"/>
    <m/>
    <n v="972.71233439994455"/>
    <n v="62.810162062441378"/>
    <n v="243.18"/>
    <n v="261.93843401858982"/>
    <m/>
    <m/>
    <n v="220.12"/>
    <m/>
    <n v="26.300007019999999"/>
    <n v="40.31"/>
    <n v="43.67"/>
    <n v="106.27"/>
    <n v="1.5681305904715479"/>
    <x v="136"/>
    <s v="20:34:11"/>
    <n v="0.76754912621024973"/>
    <n v="0"/>
    <x v="1"/>
    <x v="1"/>
    <n v="0"/>
  </r>
  <r>
    <n v="1920.333680640533"/>
    <n v="11718.149987333331"/>
    <n v="9797.8163066927973"/>
    <m/>
    <n v="48.018692367302329"/>
    <n v="409.94568064053419"/>
    <m/>
    <n v="972.73233439994453"/>
    <n v="67.149234930589145"/>
    <n v="237.61"/>
    <n v="261.23346514673221"/>
    <m/>
    <m/>
    <n v="220.88"/>
    <m/>
    <n v="24.45078724"/>
    <n v="40.299999999999997"/>
    <n v="43.67"/>
    <n v="106.27"/>
    <n v="1.4647687484166663"/>
    <x v="137"/>
    <s v="12:22:28"/>
    <n v="0.83612313524606641"/>
    <n v="168.87819069279612"/>
    <x v="1"/>
    <x v="1"/>
    <n v="4.3390728681470137"/>
  </r>
  <r>
    <n v="1920.333680640533"/>
    <n v="12178.09566797387"/>
    <n v="8945.6599873333344"/>
    <m/>
    <n v="96.410813609661091"/>
    <n v="459.94568064053419"/>
    <m/>
    <n v="972.73233439994453"/>
    <n v="67.149234930589145"/>
    <n v="237.79"/>
    <n v="260.81848347039039"/>
    <m/>
    <m/>
    <n v="220.87"/>
    <m/>
    <n v="25.34089548"/>
    <n v="40.5"/>
    <n v="43.67"/>
    <n v="106.27"/>
    <n v="1.5222619584967341"/>
    <x v="138"/>
    <s v="19:11:08"/>
    <n v="0.73456969227617075"/>
    <n v="-852.15631935946294"/>
    <x v="1"/>
    <x v="1"/>
    <n v="0"/>
  </r>
  <r>
    <n v="1924.690127156445"/>
    <n v="22105.643654515548"/>
    <n v="9926.1191400257721"/>
    <m/>
    <n v="191.30856854366749"/>
    <n v="264.772127156446"/>
    <m/>
    <n v="972.68233439994447"/>
    <n v="71.505681446500972"/>
    <n v="237.79"/>
    <n v="260.81848347039039"/>
    <m/>
    <m/>
    <n v="220.87"/>
    <m/>
    <n v="25.456518920000001"/>
    <n v="40.5"/>
    <n v="43.67"/>
    <n v="106.27"/>
    <n v="2.7632054568144442"/>
    <x v="138"/>
    <s v="20:11:27"/>
    <n v="0.44903099385654627"/>
    <n v="980.45915269243778"/>
    <x v="1"/>
    <x v="1"/>
    <n v="4.3564465159120118"/>
  </r>
  <r>
    <n v="1926.8748872602221"/>
    <n v="22107.828414619329"/>
    <n v="9926.1191400257758"/>
    <m/>
    <n v="191.32945273674321"/>
    <n v="266.95688726022308"/>
    <m/>
    <n v="972.68233439994447"/>
    <n v="73.690441550277967"/>
    <n v="237.87"/>
    <n v="259.06356095959592"/>
    <m/>
    <m/>
    <n v="220.99"/>
    <m/>
    <n v="24.68148484"/>
    <n v="40.44"/>
    <n v="43.67"/>
    <n v="106.27"/>
    <n v="2.7634785518274172"/>
    <x v="139"/>
    <s v="12:54:06"/>
    <n v="0.44898661930368033"/>
    <n v="0"/>
    <x v="1"/>
    <x v="1"/>
    <n v="2.1847601037770801"/>
  </r>
  <r>
    <n v="1929.0640168842069"/>
    <n v="22110.037544243311"/>
    <n v="9926.1191400257721"/>
    <m/>
    <n v="191.35056987885699"/>
    <n v="269.16601688420809"/>
    <m/>
    <n v="972.68233439994447"/>
    <n v="75.879571174262509"/>
    <n v="242.7"/>
    <n v="260.10351504006678"/>
    <m/>
    <m/>
    <n v="220.87"/>
    <m/>
    <n v="24.699130459999999"/>
    <n v="40.82"/>
    <n v="43.67"/>
    <n v="106.27"/>
    <n v="2.763754693030414"/>
    <x v="140"/>
    <s v="12:49:27"/>
    <n v="0.44894175869955455"/>
    <n v="0"/>
    <x v="1"/>
    <x v="1"/>
    <n v="2.1891296239848543"/>
  </r>
  <r>
    <n v="1929.0640168842069"/>
    <n v="22110.037544243311"/>
    <n v="9926.1191400257721"/>
    <m/>
    <n v="191.35056987885699"/>
    <n v="269.16601688420809"/>
    <m/>
    <n v="972.68233439994447"/>
    <n v="75.879571174262509"/>
    <n v="242.2"/>
    <n v="260.00851923463921"/>
    <m/>
    <m/>
    <n v="220.84"/>
    <m/>
    <n v="24.74382812"/>
    <n v="40.770000000000003"/>
    <n v="43.67"/>
    <n v="106.27"/>
    <n v="2.763754693030414"/>
    <x v="141"/>
    <s v="12:09:36"/>
    <n v="0.44894175869955455"/>
    <n v="0"/>
    <x v="1"/>
    <x v="1"/>
    <n v="0"/>
  </r>
  <r>
    <n v="1931.257524767439"/>
    <n v="22112.25105212655"/>
    <n v="9926.119140025774"/>
    <m/>
    <n v="191.3717288728939"/>
    <n v="271.37952476744158"/>
    <m/>
    <n v="972.68233439994447"/>
    <n v="78.073079057495022"/>
    <n v="246.38"/>
    <n v="259.28855102508243"/>
    <m/>
    <m/>
    <n v="220.58"/>
    <m/>
    <n v="23.685571540000002"/>
    <n v="40.520000000000003"/>
    <n v="43.67"/>
    <n v="106.27"/>
    <n v="2.7640313815158191"/>
    <x v="141"/>
    <s v="13:00:54"/>
    <n v="0.44889681817678045"/>
    <n v="0"/>
    <x v="1"/>
    <x v="1"/>
    <n v="2.1935078832320869"/>
  </r>
  <r>
    <n v="1931.257524767439"/>
    <n v="21992.25105212655"/>
    <n v="9926.119140025774"/>
    <m/>
    <n v="60.136340169005173"/>
    <n v="151.37952476744161"/>
    <m/>
    <n v="972.68233439994447"/>
    <n v="78.073079057495022"/>
    <n v="248.74"/>
    <n v="258.44858811393289"/>
    <m/>
    <m/>
    <n v="221.2"/>
    <m/>
    <n v="23.80050838"/>
    <n v="40.409999999999997"/>
    <n v="43.67"/>
    <n v="106.27"/>
    <n v="2.7490313815158189"/>
    <x v="142"/>
    <s v="13:07:22"/>
    <n v="0.45134620901237682"/>
    <n v="0"/>
    <x v="1"/>
    <x v="1"/>
    <n v="0"/>
  </r>
  <r>
    <n v="1931.257524767439"/>
    <n v="21992.25105212655"/>
    <n v="9926.119140025774"/>
    <m/>
    <n v="60.136340169005173"/>
    <n v="151.37952476744161"/>
    <m/>
    <n v="972.68233439994447"/>
    <n v="78.073079057495022"/>
    <n v="239.84"/>
    <n v="261.73344307003538"/>
    <m/>
    <m/>
    <n v="222.14"/>
    <m/>
    <n v="24.650313199999999"/>
    <n v="40.450000000000003"/>
    <n v="43.67"/>
    <n v="106.27"/>
    <n v="2.7490313815158189"/>
    <x v="143"/>
    <s v="12:58:32"/>
    <n v="0.45134620901237682"/>
    <n v="0"/>
    <x v="1"/>
    <x v="1"/>
    <n v="0"/>
  </r>
  <r>
    <n v="1931.257524767439"/>
    <n v="22229.53345212655"/>
    <n v="9927.9715400257737"/>
    <m/>
    <n v="111.25737566032301"/>
    <n v="386.80952476744193"/>
    <m/>
    <n v="972.68233439994447"/>
    <n v="78.073079057495022"/>
    <n v="249.32"/>
    <n v="256.85865831782849"/>
    <m/>
    <m/>
    <n v="225.25000000000011"/>
    <m/>
    <n v="23.727248159999998"/>
    <n v="40.33"/>
    <n v="43.67"/>
    <n v="106.27"/>
    <n v="2.7786916815158191"/>
    <x v="144"/>
    <s v="21:40:52"/>
    <n v="0.44661178163755078"/>
    <n v="1.8523999999997613"/>
    <x v="1"/>
    <x v="1"/>
    <n v="0"/>
  </r>
  <r>
    <n v="1931.257524767439"/>
    <n v="22229.53345212655"/>
    <n v="9927.9715400257737"/>
    <m/>
    <n v="111.25737566032301"/>
    <n v="386.80952476744193"/>
    <m/>
    <n v="972.68233439994447"/>
    <n v="78.073079057495022"/>
    <n v="249.32"/>
    <n v="256.85865831782849"/>
    <m/>
    <m/>
    <n v="225.25000000000011"/>
    <m/>
    <n v="23.727248159999998"/>
    <n v="40.33"/>
    <n v="43.67"/>
    <n v="106.27"/>
    <n v="2.7786916815158191"/>
    <x v="144"/>
    <s v="21:41:26"/>
    <n v="0.44661178163755078"/>
    <n v="0"/>
    <x v="1"/>
    <x v="1"/>
    <n v="0"/>
  </r>
  <r>
    <n v="1931.257524767439"/>
    <n v="22099.813452126549"/>
    <n v="9927.9715400257737"/>
    <m/>
    <n v="55.646256438874317"/>
    <n v="257.08952476744162"/>
    <m/>
    <n v="972.68233439994447"/>
    <n v="78.073079057495022"/>
    <n v="248.48"/>
    <n v="256.48867465458397"/>
    <m/>
    <m/>
    <n v="226.99"/>
    <m/>
    <n v="23.14865034"/>
    <n v="40.32"/>
    <n v="43.67"/>
    <n v="106.27"/>
    <n v="2.7624766815158188"/>
    <x v="145"/>
    <s v="18:37:34"/>
    <n v="0.44923327346324082"/>
    <n v="0"/>
    <x v="1"/>
    <x v="1"/>
    <n v="0"/>
  </r>
  <r>
    <n v="1931.257524767439"/>
    <n v="22099.813452126549"/>
    <n v="9927.9715400257737"/>
    <m/>
    <n v="55.646256438874317"/>
    <n v="257.08952476744162"/>
    <m/>
    <n v="972.68233439994447"/>
    <n v="78.073079057495022"/>
    <n v="248.48"/>
    <n v="256.48867465458397"/>
    <m/>
    <m/>
    <n v="226.99"/>
    <m/>
    <n v="23.577432040000001"/>
    <n v="40.18"/>
    <n v="43.67"/>
    <n v="106.27"/>
    <n v="2.7624766815158188"/>
    <x v="146"/>
    <s v="13:46:05"/>
    <n v="0.44923327346324082"/>
    <n v="0"/>
    <x v="3"/>
    <x v="1"/>
    <n v="0"/>
  </r>
  <r>
    <n v="1931.257524767439"/>
    <n v="21994.57985212655"/>
    <n v="9822.7379400257742"/>
    <m/>
    <n v="155.29878129032821"/>
    <n v="257.08952476744162"/>
    <m/>
    <n v="972.68233439994447"/>
    <n v="78.073079057495022"/>
    <n v="244.52"/>
    <n v="263.83835012714229"/>
    <m/>
    <m/>
    <n v="220.5"/>
    <m/>
    <n v="24.791066199999999"/>
    <n v="39.96"/>
    <n v="43.67"/>
    <n v="106.27"/>
    <n v="2.749322481515819"/>
    <x v="147"/>
    <s v="19:14:45"/>
    <n v="0.4465981167208366"/>
    <n v="-105.23359999999957"/>
    <x v="3"/>
    <x v="1"/>
    <n v="0"/>
  </r>
  <r>
    <n v="1931.257524767439"/>
    <n v="21900.949852126549"/>
    <n v="9822.7379400257742"/>
    <m/>
    <n v="6.3618366302528466"/>
    <n v="163.45952476744151"/>
    <m/>
    <n v="972.68233439994447"/>
    <n v="78.073079057495022"/>
    <n v="238.97"/>
    <n v="262.18842298024151"/>
    <m/>
    <m/>
    <n v="221.11"/>
    <m/>
    <n v="24.444058559999998"/>
    <n v="39.29"/>
    <n v="43.67"/>
    <n v="106.27"/>
    <n v="2.737618731515818"/>
    <x v="148"/>
    <s v="12:57:42"/>
    <n v="0.44850739380474869"/>
    <n v="0"/>
    <x v="3"/>
    <x v="1"/>
    <n v="0"/>
  </r>
  <r>
    <n v="1931.257524767439"/>
    <n v="21901.251088486591"/>
    <n v="8917.0091763858109"/>
    <m/>
    <n v="6.3619416530928277"/>
    <n v="1069.4895247674419"/>
    <m/>
    <n v="972.68233439994447"/>
    <n v="78.073079057495022"/>
    <n v="238.97"/>
    <n v="262.18842298024151"/>
    <m/>
    <m/>
    <n v="221.11"/>
    <m/>
    <n v="24.432386359999999"/>
    <n v="39.29"/>
    <n v="43.67"/>
    <n v="106.27"/>
    <n v="2.7376563860608241"/>
    <x v="148"/>
    <s v="13:06:37"/>
    <n v="0.40714610961532927"/>
    <n v="-905.72876363996329"/>
    <x v="3"/>
    <x v="1"/>
    <n v="0"/>
  </r>
  <r>
    <n v="1991.2273615662971"/>
    <n v="21320.658425285441"/>
    <n v="8917.0091763858109"/>
    <m/>
    <n v="6.1595242213035837"/>
    <n v="488.89686156629978"/>
    <m/>
    <n v="972.68233439994447"/>
    <n v="138.93291585635279"/>
    <n v="238.97"/>
    <n v="262.18842298024151"/>
    <m/>
    <m/>
    <n v="221.11"/>
    <m/>
    <n v="24.365580179999998"/>
    <n v="39.29"/>
    <n v="43.67"/>
    <n v="106.27"/>
    <n v="2.665082303160681"/>
    <x v="148"/>
    <s v="15:29:15"/>
    <n v="0.41823329273033133"/>
    <n v="0"/>
    <x v="3"/>
    <x v="1"/>
    <n v="59.9698367988580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3">
  <location ref="A1:B17" firstHeaderRow="1" firstDataRow="1" firstDataCol="1"/>
  <pivotFields count="3">
    <pivotField axis="axisRow" showAll="0">
      <items count="11">
        <item x="0"/>
        <item x="1"/>
        <item x="3"/>
        <item x="4"/>
        <item x="2"/>
        <item x="5"/>
        <item x="6"/>
        <item x="7"/>
        <item x="8"/>
        <item x="9"/>
        <item t="default"/>
      </items>
    </pivotField>
    <pivotField axis="axisRow" numFmtId="1" showAll="0">
      <items count="3">
        <item x="0"/>
        <item x="1"/>
        <item t="default"/>
      </items>
    </pivotField>
    <pivotField dataField="1" numFmtId="44" showAll="0"/>
  </pivotFields>
  <rowFields count="2">
    <field x="1"/>
    <field x="0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oma de Investido Mês" fld="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6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D6:F23" firstHeaderRow="1" firstDataRow="2" firstDataCol="1"/>
  <pivotFields count="27">
    <pivotField numFmtId="44" showAll="0"/>
    <pivotField numFmtId="44" showAll="0"/>
    <pivotField numFmtId="44" showAll="0"/>
    <pivotField showAll="0"/>
    <pivotField showAll="0"/>
    <pivotField dataField="1" showAll="0"/>
    <pivotField showAll="0"/>
    <pivotField numFmtId="44" showAll="0"/>
    <pivotField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44" showAll="0"/>
    <pivotField axis="axisRow" showAll="0">
      <items count="11">
        <item x="0"/>
        <item x="1"/>
        <item x="3"/>
        <item x="4"/>
        <item x="2"/>
        <item x="5"/>
        <item x="6"/>
        <item x="7"/>
        <item x="8"/>
        <item x="9"/>
        <item t="default"/>
      </items>
    </pivotField>
    <pivotField axis="axisRow" numFmtId="1" showAll="0">
      <items count="3">
        <item x="0"/>
        <item x="1"/>
        <item t="default"/>
      </items>
    </pivotField>
    <pivotField numFmtId="44" showAll="0"/>
  </pivotFields>
  <rowFields count="2">
    <field x="25"/>
    <field x="24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áx. de Saldo em caixa" fld="5" subtotal="max" baseField="25" baseItem="0" numFmtId="44"/>
    <dataField name="Mín. de Saldo em caixa" fld="5" subtotal="min" baseField="25" baseItem="0" numFmtId="44"/>
  </dataFields>
  <formats count="4"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1" displayName="Tabela11" ref="A4:AA213" totalsRowShown="0" headerRowDxfId="38" dataDxfId="36" headerRowBorderDxfId="37" tableBorderDxfId="35" totalsRowBorderDxfId="34" dataCellStyle="Moeda">
  <autoFilter ref="A4:AA213" xr:uid="{00000000-0009-0000-0100-000001000000}">
    <filterColumn colId="20">
      <filters>
        <filter val="01/02/2026"/>
        <filter val="01/03/2025"/>
        <filter val="01/04/2025"/>
        <filter val="02/02/2026"/>
        <filter val="02/04/2025"/>
        <filter val="02/07/2025"/>
        <filter val="03/02/2026"/>
        <filter val="03/04/2025"/>
        <filter val="03/05/2025"/>
        <filter val="04/04/2025"/>
        <filter val="04/07/2025"/>
        <filter val="05/03/2025"/>
        <filter val="06/03/2025"/>
        <filter val="06/04/2025"/>
        <filter val="06/10/2025"/>
        <filter val="06/12/2025"/>
        <filter val="07/03/2025"/>
        <filter val="07/04/2025"/>
        <filter val="07/05/2025"/>
        <filter val="07/12/2025"/>
        <filter val="08/03/2025"/>
        <filter val="08/06/2025"/>
        <filter val="09/02/2026"/>
        <filter val="09/03/2025"/>
        <filter val="09/04/2025"/>
        <filter val="09/06/2025"/>
        <filter val="09/11/2025"/>
        <filter val="09/12/2025"/>
        <filter val="10/01/2026"/>
        <filter val="10/03/2025"/>
        <filter val="10/04/2025"/>
        <filter val="10/06/2025"/>
        <filter val="11/01/2026"/>
        <filter val="11/03/2025"/>
        <filter val="11/04/2025"/>
        <filter val="11/06/2025"/>
        <filter val="11/12/2025"/>
        <filter val="12/01/2026"/>
        <filter val="12/03/2025"/>
        <filter val="12/04/2025"/>
        <filter val="12/06/2025"/>
        <filter val="13/03/2025"/>
        <filter val="14/01/2026"/>
        <filter val="14/03/2025"/>
        <filter val="14/06/2025"/>
        <filter val="14/07/2025"/>
        <filter val="15/02/2025"/>
        <filter val="15/04/2025"/>
        <filter val="15/06/2025"/>
        <filter val="16/01/2026"/>
        <filter val="16/02/2025"/>
        <filter val="16/04/2025"/>
        <filter val="16/11/2025"/>
        <filter val="17/01/2026"/>
        <filter val="17/02/2025"/>
        <filter val="18/01/2026"/>
        <filter val="18/02/2025"/>
        <filter val="18/03/2025"/>
        <filter val="18/04/2025"/>
        <filter val="18/07/2025"/>
        <filter val="19/01/2026"/>
        <filter val="19/02/2025"/>
        <filter val="20/02/2025"/>
        <filter val="20/03/2025"/>
        <filter val="20/04/2025"/>
        <filter val="21/03/2025"/>
        <filter val="22/02/2025"/>
        <filter val="23/02/2025"/>
        <filter val="24/02/2025"/>
        <filter val="24/03/2025"/>
        <filter val="24/04/2025"/>
        <filter val="24/06/2025"/>
        <filter val="25/02/2025"/>
        <filter val="25/03/2025"/>
        <filter val="26/01/2026"/>
        <filter val="26/02/2025"/>
        <filter val="26/03/2025"/>
        <filter val="27/03/2025"/>
        <filter val="27/04/2025"/>
        <filter val="28/02/2025"/>
        <filter val="28/03/2025"/>
        <filter val="28/04/2025"/>
        <filter val="29/01/2026"/>
        <filter val="29/04/2025"/>
        <filter val="31/03/2025"/>
      </filters>
    </filterColumn>
  </autoFilter>
  <tableColumns count="27">
    <tableColumn id="1" xr3:uid="{00000000-0010-0000-0000-000001000000}" name="Capital investido" dataDxfId="33" dataCellStyle="Moeda"/>
    <tableColumn id="2" xr3:uid="{00000000-0010-0000-0000-000002000000}" name="Capital total" dataDxfId="32" dataCellStyle="Moeda"/>
    <tableColumn id="3" xr3:uid="{00000000-0010-0000-0000-000003000000}" name="Lucro" dataDxfId="31" dataCellStyle="Moeda"/>
    <tableColumn id="4" xr3:uid="{00000000-0010-0000-0000-000004000000}" name="Pagamento De funcionários" dataDxfId="30" dataCellStyle="Moeda"/>
    <tableColumn id="5" xr3:uid="{00000000-0010-0000-0000-000005000000}" name="Caixinha 2026" dataDxfId="29" dataCellStyle="Moeda"/>
    <tableColumn id="6" xr3:uid="{00000000-0010-0000-0000-000006000000}" name="Saldo em caixa" dataDxfId="28" dataCellStyle="Moeda"/>
    <tableColumn id="19" xr3:uid="{00000000-0010-0000-0000-000013000000}" name="Saldo projetado" dataDxfId="27" dataCellStyle="Moeda"/>
    <tableColumn id="7" xr3:uid="{00000000-0010-0000-0000-000007000000}" name="CDB" dataDxfId="26" dataCellStyle="Moeda"/>
    <tableColumn id="27" xr3:uid="{00000000-0010-0000-0000-00001B000000}" name="CDB 2026" dataDxfId="25" dataCellStyle="Moeda"/>
    <tableColumn id="8" xr3:uid="{00000000-0010-0000-0000-000008000000}" name="Ação/BDR" dataDxfId="24" dataCellStyle="Moeda"/>
    <tableColumn id="9" xr3:uid="{00000000-0010-0000-0000-000009000000}" name="Dolar" dataDxfId="23" dataCellStyle="Moeda"/>
    <tableColumn id="10" xr3:uid="{00000000-0010-0000-0000-00000A000000}" name="FII" dataDxfId="22" dataCellStyle="Moeda"/>
    <tableColumn id="11" xr3:uid="{00000000-0010-0000-0000-00000B000000}" name="Caixa 2" dataDxfId="21" dataCellStyle="Moeda"/>
    <tableColumn id="12" xr3:uid="{00000000-0010-0000-0000-00000C000000}" name="Empréstimo" dataDxfId="20" dataCellStyle="Moeda"/>
    <tableColumn id="13" xr3:uid="{00000000-0010-0000-0000-00000D000000}" name="Crypto" dataDxfId="19" dataCellStyle="Moeda"/>
    <tableColumn id="14" xr3:uid="{00000000-0010-0000-0000-00000E000000}" name="Day trade" dataDxfId="18" dataCellStyle="Moeda"/>
    <tableColumn id="21" xr3:uid="{00000000-0010-0000-0000-000015000000}" name="ETF" dataDxfId="17" dataCellStyle="Moeda"/>
    <tableColumn id="15" xr3:uid="{00000000-0010-0000-0000-00000F000000}" name="Tesouro direto" dataDxfId="16" dataCellStyle="Moeda"/>
    <tableColumn id="23" xr3:uid="{00000000-0010-0000-0000-000017000000}" name="Fundos de investimento" dataDxfId="15" dataCellStyle="Moeda"/>
    <tableColumn id="20" xr3:uid="{00000000-0010-0000-0000-000014000000}" name="preço de mercado" dataDxfId="14" dataCellStyle="Moeda"/>
    <tableColumn id="22" xr3:uid="{00000000-0010-0000-0000-000016000000}" name="Data" dataDxfId="13" dataCellStyle="Moeda"/>
    <tableColumn id="16" xr3:uid="{00000000-0010-0000-0000-000010000000}" name="Hora" dataDxfId="12"/>
    <tableColumn id="17" xr3:uid="{00000000-0010-0000-0000-000011000000}" name="% lucro" dataDxfId="11" dataCellStyle="Porcentagem">
      <calculatedColumnFormula>IFERROR(Tabela11[[#This Row],[Lucro]]*1/Tabela11[[#This Row],[Capital total]],"")</calculatedColumnFormula>
    </tableColumn>
    <tableColumn id="18" xr3:uid="{00000000-0010-0000-0000-000012000000}" name="Variação no Período" dataDxfId="10" dataCellStyle="Moeda"/>
    <tableColumn id="24" xr3:uid="{00000000-0010-0000-0000-000018000000}" name="Mês" dataDxfId="9" dataCellStyle="Moeda">
      <calculatedColumnFormula>PROPER(TEXT(DATE(2024,MONTH(Tabela11[[#This Row],[Data]]),1),"mmmm"))</calculatedColumnFormula>
    </tableColumn>
    <tableColumn id="26" xr3:uid="{00000000-0010-0000-0000-00001A000000}" name="Ano" dataDxfId="8" dataCellStyle="Moeda">
      <calculatedColumnFormula>YEAR(Tabela11[[#This Row],[Data]])</calculatedColumnFormula>
    </tableColumn>
    <tableColumn id="25" xr3:uid="{00000000-0010-0000-0000-000019000000}" name="Investido Mês" dataDxfId="7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3" displayName="Tabela3" ref="D1:F3" totalsRowShown="0">
  <autoFilter ref="D1:F3" xr:uid="{00000000-0009-0000-0100-000002000000}"/>
  <tableColumns count="3">
    <tableColumn id="1" xr3:uid="{00000000-0010-0000-0100-000001000000}" name="Ano" dataDxfId="40"/>
    <tableColumn id="2" xr3:uid="{00000000-0010-0000-0100-000002000000}" name="Média Mês">
      <calculatedColumnFormula>GETPIVOTDATA("Investido Mês",$A$1,"Mês","Janeiro","Ano",2026)</calculatedColumnFormula>
    </tableColumn>
    <tableColumn id="3" xr3:uid="{00000000-0010-0000-0100-000003000000}" name="Média diária" dataDxfId="39">
      <calculatedColumnFormula>E2/11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12" displayName="Tabela12" ref="A4:B17" totalsRowShown="0" headerRowDxfId="6" headerRowBorderDxfId="5" tableBorderDxfId="4" totalsRowBorderDxfId="3">
  <autoFilter ref="A4:B17" xr:uid="{00000000-0009-0000-0100-000003000000}"/>
  <tableColumns count="2">
    <tableColumn id="1" xr3:uid="{00000000-0010-0000-0200-000001000000}" name="Mês" dataDxfId="2"/>
    <tableColumn id="2" xr3:uid="{00000000-0010-0000-0200-000002000000}" name="Valor" dataDxfId="1" dataCellStyle="Moeda">
      <calculatedColumnFormula array="1">SUMPRODUCT((TEXT(Tabela11[Data],"mm/aaaa")="01/2026") * (Tabela11[Variação no Período]))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3"/>
  <sheetViews>
    <sheetView topLeftCell="A177" zoomScale="80" zoomScaleNormal="80" workbookViewId="0">
      <selection activeCell="I215" sqref="I215"/>
    </sheetView>
  </sheetViews>
  <sheetFormatPr defaultRowHeight="15" x14ac:dyDescent="0.25"/>
  <cols>
    <col min="1" max="1" width="14.7109375" style="29" bestFit="1" customWidth="1"/>
    <col min="2" max="2" width="14.42578125" style="29" bestFit="1" customWidth="1"/>
    <col min="3" max="3" width="17" style="29" bestFit="1" customWidth="1"/>
    <col min="4" max="4" width="20.5703125" style="29" hidden="1" customWidth="1"/>
    <col min="5" max="5" width="24.85546875" style="29" bestFit="1" customWidth="1"/>
    <col min="6" max="6" width="21" style="30" bestFit="1" customWidth="1"/>
    <col min="7" max="7" width="21" style="29" hidden="1" customWidth="1"/>
    <col min="8" max="8" width="13.42578125" style="29" bestFit="1" customWidth="1"/>
    <col min="9" max="9" width="15.140625" style="29" bestFit="1" customWidth="1"/>
    <col min="10" max="10" width="15.42578125" style="29" bestFit="1" customWidth="1"/>
    <col min="11" max="11" width="15.7109375" style="29" bestFit="1" customWidth="1"/>
    <col min="12" max="12" width="11.85546875" style="29" hidden="1" customWidth="1"/>
    <col min="13" max="13" width="15.7109375" style="29" hidden="1" customWidth="1"/>
    <col min="14" max="14" width="16.28515625" style="29" hidden="1" customWidth="1"/>
    <col min="15" max="15" width="11.5703125" hidden="1" customWidth="1"/>
    <col min="16" max="16" width="14.7109375" hidden="1" customWidth="1"/>
    <col min="17" max="17" width="14.7109375" customWidth="1"/>
    <col min="18" max="18" width="19.28515625" bestFit="1" customWidth="1"/>
    <col min="19" max="19" width="17" bestFit="1" customWidth="1"/>
    <col min="20" max="20" width="15" bestFit="1" customWidth="1"/>
    <col min="21" max="21" width="15.42578125" bestFit="1" customWidth="1"/>
    <col min="22" max="22" width="12.140625" bestFit="1" customWidth="1"/>
    <col min="23" max="23" width="15.140625" bestFit="1" customWidth="1"/>
    <col min="24" max="24" width="17.28515625" bestFit="1" customWidth="1"/>
    <col min="25" max="25" width="12.5703125" customWidth="1"/>
    <col min="26" max="26" width="14.7109375" bestFit="1" customWidth="1"/>
    <col min="27" max="27" width="24" bestFit="1" customWidth="1"/>
    <col min="28" max="28" width="27.85546875" bestFit="1" customWidth="1"/>
  </cols>
  <sheetData>
    <row r="1" spans="1:28" ht="15" customHeight="1" x14ac:dyDescent="0.25">
      <c r="A1" s="52" t="s">
        <v>59</v>
      </c>
      <c r="B1" s="53"/>
      <c r="C1" s="53"/>
      <c r="D1" s="53"/>
      <c r="E1" s="53"/>
      <c r="F1" s="54"/>
      <c r="G1" s="53"/>
      <c r="H1" s="53"/>
      <c r="I1" s="53"/>
      <c r="J1" s="53"/>
      <c r="K1" s="53"/>
      <c r="L1" s="53"/>
      <c r="M1" s="53"/>
      <c r="N1" s="53"/>
      <c r="O1" s="55"/>
      <c r="P1" s="55"/>
      <c r="Q1" s="55"/>
      <c r="R1" s="55"/>
      <c r="S1" s="55"/>
      <c r="T1" s="55"/>
      <c r="U1" s="55"/>
    </row>
    <row r="2" spans="1:28" x14ac:dyDescent="0.25">
      <c r="A2" s="56"/>
      <c r="B2" s="53"/>
      <c r="C2" s="53"/>
      <c r="D2" s="53"/>
      <c r="E2" s="53"/>
      <c r="F2" s="54"/>
      <c r="G2" s="53"/>
      <c r="H2" s="53"/>
      <c r="I2" s="53"/>
      <c r="J2" s="53"/>
      <c r="K2" s="53"/>
      <c r="L2" s="53"/>
      <c r="M2" s="53"/>
      <c r="N2" s="53"/>
      <c r="O2" s="55"/>
      <c r="P2" s="55"/>
      <c r="Q2" s="55"/>
      <c r="R2" s="55"/>
      <c r="S2" s="55"/>
      <c r="T2" s="55"/>
      <c r="U2" s="55"/>
    </row>
    <row r="3" spans="1:28" ht="15" customHeight="1" x14ac:dyDescent="0.25"/>
    <row r="4" spans="1:28" ht="30" customHeight="1" x14ac:dyDescent="0.25">
      <c r="A4" s="31" t="s">
        <v>60</v>
      </c>
      <c r="B4" s="32" t="s">
        <v>61</v>
      </c>
      <c r="C4" s="32" t="s">
        <v>62</v>
      </c>
      <c r="D4" s="32" t="s">
        <v>63</v>
      </c>
      <c r="E4" s="32" t="s">
        <v>64</v>
      </c>
      <c r="F4" s="32" t="s">
        <v>65</v>
      </c>
      <c r="G4" s="32" t="s">
        <v>66</v>
      </c>
      <c r="H4" s="32" t="s">
        <v>67</v>
      </c>
      <c r="I4" s="32" t="s">
        <v>68</v>
      </c>
      <c r="J4" s="32" t="s">
        <v>69</v>
      </c>
      <c r="K4" s="32" t="s">
        <v>70</v>
      </c>
      <c r="L4" s="32" t="s">
        <v>71</v>
      </c>
      <c r="M4" s="32" t="s">
        <v>72</v>
      </c>
      <c r="N4" s="32" t="s">
        <v>73</v>
      </c>
      <c r="O4" s="33" t="s">
        <v>74</v>
      </c>
      <c r="P4" s="32" t="s">
        <v>75</v>
      </c>
      <c r="Q4" s="32" t="s">
        <v>76</v>
      </c>
      <c r="R4" s="32" t="s">
        <v>77</v>
      </c>
      <c r="S4" s="32" t="s">
        <v>78</v>
      </c>
      <c r="T4" s="1" t="s">
        <v>79</v>
      </c>
      <c r="U4" s="15" t="s">
        <v>80</v>
      </c>
      <c r="V4" s="1" t="s">
        <v>81</v>
      </c>
      <c r="W4" s="1" t="s">
        <v>82</v>
      </c>
      <c r="X4" s="2" t="s">
        <v>83</v>
      </c>
      <c r="Y4" s="23" t="s">
        <v>84</v>
      </c>
      <c r="Z4" s="23" t="s">
        <v>2</v>
      </c>
      <c r="AA4" s="23" t="s">
        <v>85</v>
      </c>
    </row>
    <row r="5" spans="1:28" hidden="1" x14ac:dyDescent="0.25">
      <c r="A5" s="34">
        <v>82.702501013569645</v>
      </c>
      <c r="B5" s="35">
        <v>82.24852274910684</v>
      </c>
      <c r="C5" s="35">
        <v>-0.45397826446280481</v>
      </c>
      <c r="D5" s="35">
        <v>1.04</v>
      </c>
      <c r="E5" s="35"/>
      <c r="F5" s="35">
        <v>82.24852274910684</v>
      </c>
      <c r="G5" s="35" t="s">
        <v>86</v>
      </c>
      <c r="H5" s="35">
        <v>20.412501013569649</v>
      </c>
      <c r="I5" s="35"/>
      <c r="J5" s="35">
        <v>1.769999999999996</v>
      </c>
      <c r="K5" s="35">
        <v>19.246021735537202</v>
      </c>
      <c r="L5" s="35">
        <v>27.58</v>
      </c>
      <c r="M5" s="35">
        <v>1.1899999999999979</v>
      </c>
      <c r="N5" s="35">
        <v>2.159999999999997</v>
      </c>
      <c r="O5" s="35">
        <v>0</v>
      </c>
      <c r="P5" s="35">
        <v>9.1599999999999966</v>
      </c>
      <c r="Q5" s="36" t="s">
        <v>86</v>
      </c>
      <c r="R5" s="36" t="s">
        <v>86</v>
      </c>
      <c r="S5" s="36" t="s">
        <v>86</v>
      </c>
      <c r="T5" s="37">
        <v>1.0281065343638349E-2</v>
      </c>
      <c r="U5" s="16">
        <v>45682</v>
      </c>
      <c r="V5" s="4" t="s">
        <v>87</v>
      </c>
      <c r="W5" s="38">
        <f>IFERROR(Tabela11[[#This Row],[Lucro]]*1/Tabela11[[#This Row],[Capital total]],"")</f>
        <v>-5.5195917116667567E-3</v>
      </c>
      <c r="X5" s="39">
        <v>0</v>
      </c>
      <c r="Y5" s="21" t="str">
        <f>PROPER(TEXT(DATE(2024,MONTH(Tabela11[[#This Row],[Data]]),1),"mmmm"))</f>
        <v>Janeiro</v>
      </c>
      <c r="Z5" s="21">
        <f>YEAR(Tabela11[[#This Row],[Data]])</f>
        <v>2025</v>
      </c>
      <c r="AA5" s="35">
        <v>0</v>
      </c>
      <c r="AB5" s="19" t="s">
        <v>88</v>
      </c>
    </row>
    <row r="6" spans="1:28" hidden="1" x14ac:dyDescent="0.25">
      <c r="A6" s="34">
        <v>89.969309767323494</v>
      </c>
      <c r="B6" s="35">
        <v>87.745331502860694</v>
      </c>
      <c r="C6" s="35">
        <v>-2.2239782644628039</v>
      </c>
      <c r="D6" s="35">
        <v>1.04</v>
      </c>
      <c r="E6" s="35"/>
      <c r="F6" s="35">
        <v>87.745331502860694</v>
      </c>
      <c r="G6" s="35" t="s">
        <v>86</v>
      </c>
      <c r="H6" s="35">
        <v>22.679309767323488</v>
      </c>
      <c r="I6" s="35"/>
      <c r="J6" s="35">
        <v>1.769999999999996</v>
      </c>
      <c r="K6" s="35">
        <v>19.246021735537202</v>
      </c>
      <c r="L6" s="35">
        <v>27.68000000000001</v>
      </c>
      <c r="M6" s="35">
        <v>1.1899999999999979</v>
      </c>
      <c r="N6" s="35">
        <v>2.159999999999997</v>
      </c>
      <c r="O6" s="35">
        <v>5</v>
      </c>
      <c r="P6" s="35">
        <v>9.1599999999999966</v>
      </c>
      <c r="Q6" s="36" t="s">
        <v>86</v>
      </c>
      <c r="R6" s="36" t="s">
        <v>86</v>
      </c>
      <c r="S6" s="36" t="s">
        <v>86</v>
      </c>
      <c r="T6" s="37">
        <v>1.096816643785759E-2</v>
      </c>
      <c r="U6" s="16">
        <v>45683</v>
      </c>
      <c r="V6" s="4" t="s">
        <v>89</v>
      </c>
      <c r="W6" s="38">
        <f>IFERROR(Tabela11[[#This Row],[Lucro]]*1/Tabela11[[#This Row],[Capital total]],"")</f>
        <v>-2.5345830101403143E-2</v>
      </c>
      <c r="X6" s="39">
        <f>Tabela11[[#This Row],[Lucro]]-C5</f>
        <v>-1.7699999999999991</v>
      </c>
      <c r="Y6" s="21" t="str">
        <f>PROPER(TEXT(DATE(2024,MONTH(Tabela11[[#This Row],[Data]]),1),"mmmm"))</f>
        <v>Janeiro</v>
      </c>
      <c r="Z6" s="21">
        <f>YEAR(Tabela11[[#This Row],[Data]])</f>
        <v>2025</v>
      </c>
      <c r="AA6" s="35">
        <f>Tabela11[[#This Row],[Capital investido]]-A5</f>
        <v>7.2668087537538497</v>
      </c>
      <c r="AB6" s="20">
        <f>COUNTA(Tabela11[Capital investido])</f>
        <v>209</v>
      </c>
    </row>
    <row r="7" spans="1:28" ht="15.75" hidden="1" customHeight="1" x14ac:dyDescent="0.25">
      <c r="A7" s="34">
        <v>91.110540616351528</v>
      </c>
      <c r="B7" s="35">
        <v>88.886562351888728</v>
      </c>
      <c r="C7" s="35">
        <v>-2.2239782644628039</v>
      </c>
      <c r="D7" s="35">
        <v>1.04</v>
      </c>
      <c r="E7" s="35"/>
      <c r="F7" s="35">
        <v>88.886562351888728</v>
      </c>
      <c r="G7" s="35" t="s">
        <v>86</v>
      </c>
      <c r="H7" s="35">
        <v>23.820540616351519</v>
      </c>
      <c r="I7" s="35"/>
      <c r="J7" s="35">
        <v>1.769999999999996</v>
      </c>
      <c r="K7" s="35">
        <v>19.246021735537202</v>
      </c>
      <c r="L7" s="35">
        <v>27.48</v>
      </c>
      <c r="M7" s="35">
        <v>1.1899999999999979</v>
      </c>
      <c r="N7" s="35">
        <v>2.159999999999997</v>
      </c>
      <c r="O7" s="35">
        <v>5</v>
      </c>
      <c r="P7" s="35">
        <v>9.1599999999999966</v>
      </c>
      <c r="Q7" s="36" t="s">
        <v>86</v>
      </c>
      <c r="R7" s="36" t="s">
        <v>86</v>
      </c>
      <c r="S7" s="36" t="s">
        <v>86</v>
      </c>
      <c r="T7" s="37">
        <v>1.1110820293986089E-2</v>
      </c>
      <c r="U7" s="16">
        <v>45684</v>
      </c>
      <c r="V7" s="4" t="s">
        <v>90</v>
      </c>
      <c r="W7" s="38">
        <f>IFERROR(Tabela11[[#This Row],[Lucro]]*1/Tabela11[[#This Row],[Capital total]],"")</f>
        <v>-2.5020410347948923E-2</v>
      </c>
      <c r="X7" s="39">
        <f>Tabela11[[#This Row],[Lucro]]-C6</f>
        <v>0</v>
      </c>
      <c r="Y7" s="21" t="str">
        <f>PROPER(TEXT(DATE(2024,MONTH(Tabela11[[#This Row],[Data]]),1),"mmmm"))</f>
        <v>Janeiro</v>
      </c>
      <c r="Z7" s="21">
        <f>YEAR(Tabela11[[#This Row],[Data]])</f>
        <v>2025</v>
      </c>
      <c r="AA7" s="35">
        <f>Tabela11[[#This Row],[Capital investido]]-A6</f>
        <v>1.1412308490280338</v>
      </c>
    </row>
    <row r="8" spans="1:28" hidden="1" x14ac:dyDescent="0.25">
      <c r="A8" s="34">
        <v>102.2570211272851</v>
      </c>
      <c r="B8" s="35">
        <v>99.463383982945189</v>
      </c>
      <c r="C8" s="35">
        <v>-2.7936371443399071</v>
      </c>
      <c r="D8" s="35">
        <v>1.04</v>
      </c>
      <c r="E8" s="35"/>
      <c r="F8" s="35">
        <v>99.463383982945189</v>
      </c>
      <c r="G8" s="35" t="s">
        <v>86</v>
      </c>
      <c r="H8" s="35">
        <v>24.96702112728509</v>
      </c>
      <c r="I8" s="35"/>
      <c r="J8" s="35">
        <v>1.609999999999999</v>
      </c>
      <c r="K8" s="35">
        <v>29.07636285566009</v>
      </c>
      <c r="L8" s="35">
        <v>27.3</v>
      </c>
      <c r="M8" s="35">
        <v>1.1899999999999979</v>
      </c>
      <c r="N8" s="35">
        <v>2.159999999999997</v>
      </c>
      <c r="O8" s="35">
        <v>5</v>
      </c>
      <c r="P8" s="35">
        <v>9.0999999999999943</v>
      </c>
      <c r="Q8" s="36" t="s">
        <v>86</v>
      </c>
      <c r="R8" s="36" t="s">
        <v>86</v>
      </c>
      <c r="S8" s="36" t="s">
        <v>86</v>
      </c>
      <c r="T8" s="37">
        <v>1.243292299786815E-2</v>
      </c>
      <c r="U8" s="16">
        <v>45685</v>
      </c>
      <c r="V8" s="4" t="s">
        <v>91</v>
      </c>
      <c r="W8" s="38">
        <f>IFERROR(Tabela11[[#This Row],[Lucro]]*1/Tabela11[[#This Row],[Capital total]],"")</f>
        <v>-2.808709127389962E-2</v>
      </c>
      <c r="X8" s="39">
        <f>Tabela11[[#This Row],[Lucro]]-C7</f>
        <v>-0.56965887987710317</v>
      </c>
      <c r="Y8" s="21" t="str">
        <f>PROPER(TEXT(DATE(2024,MONTH(Tabela11[[#This Row],[Data]]),1),"mmmm"))</f>
        <v>Janeiro</v>
      </c>
      <c r="Z8" s="21">
        <f>YEAR(Tabela11[[#This Row],[Data]])</f>
        <v>2025</v>
      </c>
      <c r="AA8" s="35">
        <f>Tabela11[[#This Row],[Capital investido]]-A7</f>
        <v>11.146480510933571</v>
      </c>
    </row>
    <row r="9" spans="1:28" hidden="1" x14ac:dyDescent="0.25">
      <c r="A9" s="34">
        <v>102.2570211272851</v>
      </c>
      <c r="B9" s="35">
        <v>99.095956833530408</v>
      </c>
      <c r="C9" s="35">
        <v>-3.1610642937546878</v>
      </c>
      <c r="D9" s="35">
        <v>1.04</v>
      </c>
      <c r="E9" s="35"/>
      <c r="F9" s="35">
        <v>99.095956833530408</v>
      </c>
      <c r="G9" s="35" t="s">
        <v>86</v>
      </c>
      <c r="H9" s="35">
        <v>24.96702112728509</v>
      </c>
      <c r="I9" s="35"/>
      <c r="J9" s="35">
        <v>1.5499999999999969</v>
      </c>
      <c r="K9" s="35">
        <v>28.888935706245309</v>
      </c>
      <c r="L9" s="35">
        <v>27.20999999999999</v>
      </c>
      <c r="M9" s="35">
        <v>1.1899999999999979</v>
      </c>
      <c r="N9" s="35">
        <v>2.159999999999997</v>
      </c>
      <c r="O9" s="35">
        <v>5</v>
      </c>
      <c r="P9" s="35">
        <v>9.0699999999999932</v>
      </c>
      <c r="Q9" s="36" t="s">
        <v>86</v>
      </c>
      <c r="R9" s="36" t="s">
        <v>86</v>
      </c>
      <c r="S9" s="36" t="s">
        <v>86</v>
      </c>
      <c r="T9" s="37">
        <v>1.23869946041913E-2</v>
      </c>
      <c r="U9" s="16">
        <v>45686</v>
      </c>
      <c r="V9" s="4" t="s">
        <v>92</v>
      </c>
      <c r="W9" s="38">
        <f>IFERROR(Tabela11[[#This Row],[Lucro]]*1/Tabela11[[#This Row],[Capital total]],"")</f>
        <v>-3.1899023883132843E-2</v>
      </c>
      <c r="X9" s="39">
        <f>Tabela11[[#This Row],[Lucro]]-C8</f>
        <v>-0.36742714941478072</v>
      </c>
      <c r="Y9" s="21" t="str">
        <f>PROPER(TEXT(DATE(2024,MONTH(Tabela11[[#This Row],[Data]]),1),"mmmm"))</f>
        <v>Janeiro</v>
      </c>
      <c r="Z9" s="21">
        <f>YEAR(Tabela11[[#This Row],[Data]])</f>
        <v>2025</v>
      </c>
      <c r="AA9" s="35">
        <f>Tabela11[[#This Row],[Capital investido]]-A8</f>
        <v>0</v>
      </c>
    </row>
    <row r="10" spans="1:28" hidden="1" x14ac:dyDescent="0.25">
      <c r="A10" s="34">
        <v>104.5537669220797</v>
      </c>
      <c r="B10" s="35">
        <v>81.860497450945644</v>
      </c>
      <c r="C10" s="35">
        <v>-22.69326947113408</v>
      </c>
      <c r="D10" s="35">
        <v>1.04</v>
      </c>
      <c r="E10" s="35"/>
      <c r="F10" s="35">
        <v>81.860497450945644</v>
      </c>
      <c r="G10" s="35" t="s">
        <v>86</v>
      </c>
      <c r="H10" s="35">
        <v>27.263766922079721</v>
      </c>
      <c r="I10" s="35"/>
      <c r="J10" s="35">
        <v>1.5300000000000009</v>
      </c>
      <c r="K10" s="35">
        <v>28.976730528865911</v>
      </c>
      <c r="L10" s="35">
        <v>27.509999999999991</v>
      </c>
      <c r="M10" s="35">
        <v>1.1899999999999979</v>
      </c>
      <c r="N10" s="35">
        <v>2.159999999999997</v>
      </c>
      <c r="O10" s="35">
        <v>5</v>
      </c>
      <c r="P10" s="35">
        <v>9.1700000000000017</v>
      </c>
      <c r="Q10" s="36" t="s">
        <v>86</v>
      </c>
      <c r="R10" s="36" t="s">
        <v>86</v>
      </c>
      <c r="S10" s="36" t="s">
        <v>86</v>
      </c>
      <c r="T10" s="37">
        <v>1.0232562181368209E-2</v>
      </c>
      <c r="U10" s="16">
        <v>45687</v>
      </c>
      <c r="V10" s="4" t="s">
        <v>93</v>
      </c>
      <c r="W10" s="40">
        <f>IFERROR(Tabela11[[#This Row],[Lucro]]*1/Tabela11[[#This Row],[Capital total]],"")</f>
        <v>-0.27721880733418303</v>
      </c>
      <c r="X10" s="39">
        <f>Tabela11[[#This Row],[Lucro]]-C9</f>
        <v>-19.532205177379392</v>
      </c>
      <c r="Y10" s="21" t="str">
        <f>PROPER(TEXT(DATE(2024,MONTH(Tabela11[[#This Row],[Data]]),1),"mmmm"))</f>
        <v>Janeiro</v>
      </c>
      <c r="Z10" s="21">
        <f>YEAR(Tabela11[[#This Row],[Data]])</f>
        <v>2025</v>
      </c>
      <c r="AA10" s="35">
        <f>Tabela11[[#This Row],[Capital investido]]-A9</f>
        <v>2.2967457947946031</v>
      </c>
    </row>
    <row r="11" spans="1:28" hidden="1" x14ac:dyDescent="0.25">
      <c r="A11" s="34">
        <v>96.534034981949588</v>
      </c>
      <c r="B11" s="35">
        <v>69.062932121834649</v>
      </c>
      <c r="C11" s="35">
        <v>-27.47110286011495</v>
      </c>
      <c r="D11" s="35">
        <v>1.04</v>
      </c>
      <c r="E11" s="35"/>
      <c r="F11" s="35">
        <v>69.062932121834649</v>
      </c>
      <c r="G11" s="35" t="s">
        <v>86</v>
      </c>
      <c r="H11" s="35">
        <v>28.41403498194958</v>
      </c>
      <c r="I11" s="35"/>
      <c r="J11" s="35">
        <v>1.5799999999999981</v>
      </c>
      <c r="K11" s="35">
        <v>28.818897139885049</v>
      </c>
      <c r="L11" s="35">
        <v>27.66</v>
      </c>
      <c r="M11" s="35">
        <v>1.1899999999999979</v>
      </c>
      <c r="N11" s="35">
        <v>2.159999999999997</v>
      </c>
      <c r="O11" s="35">
        <v>5.0100000000000051</v>
      </c>
      <c r="P11" s="35">
        <v>0</v>
      </c>
      <c r="Q11" s="36" t="s">
        <v>86</v>
      </c>
      <c r="R11" s="36" t="s">
        <v>86</v>
      </c>
      <c r="S11" s="36" t="s">
        <v>86</v>
      </c>
      <c r="T11" s="37">
        <v>8.6328665152293309E-3</v>
      </c>
      <c r="U11" s="16">
        <v>45688</v>
      </c>
      <c r="V11" s="4" t="s">
        <v>94</v>
      </c>
      <c r="W11" s="38">
        <f>IFERROR(Tabela11[[#This Row],[Lucro]]*1/Tabela11[[#This Row],[Capital total]],"")</f>
        <v>-0.39776913629518201</v>
      </c>
      <c r="X11" s="39">
        <f>Tabela11[[#This Row],[Lucro]]-C10</f>
        <v>-4.77783338898087</v>
      </c>
      <c r="Y11" s="21" t="str">
        <f>PROPER(TEXT(DATE(2024,MONTH(Tabela11[[#This Row],[Data]]),1),"mmmm"))</f>
        <v>Janeiro</v>
      </c>
      <c r="Z11" s="21">
        <f>YEAR(Tabela11[[#This Row],[Data]])</f>
        <v>2025</v>
      </c>
      <c r="AA11" s="35">
        <f>Tabela11[[#This Row],[Capital investido]]-A10</f>
        <v>-8.0197319401301144</v>
      </c>
    </row>
    <row r="12" spans="1:28" hidden="1" x14ac:dyDescent="0.25">
      <c r="A12" s="34">
        <v>97.685568336685321</v>
      </c>
      <c r="B12" s="35">
        <v>70.15509411909963</v>
      </c>
      <c r="C12" s="35">
        <v>-27.530474217585681</v>
      </c>
      <c r="D12" s="35">
        <v>1.04</v>
      </c>
      <c r="E12" s="35"/>
      <c r="F12" s="35">
        <v>70.15509411909963</v>
      </c>
      <c r="G12" s="35" t="s">
        <v>86</v>
      </c>
      <c r="H12" s="35">
        <v>29.56556833668532</v>
      </c>
      <c r="I12" s="35"/>
      <c r="J12" s="35">
        <v>1.5600000000000021</v>
      </c>
      <c r="K12" s="35">
        <v>28.809525782414308</v>
      </c>
      <c r="L12" s="35">
        <v>27.63</v>
      </c>
      <c r="M12" s="35">
        <v>1.1899999999999979</v>
      </c>
      <c r="N12" s="35">
        <v>2.159999999999997</v>
      </c>
      <c r="O12" s="35">
        <v>5.0100000000000051</v>
      </c>
      <c r="P12" s="35">
        <v>0</v>
      </c>
      <c r="Q12" s="36" t="s">
        <v>86</v>
      </c>
      <c r="R12" s="36" t="s">
        <v>86</v>
      </c>
      <c r="S12" s="36" t="s">
        <v>86</v>
      </c>
      <c r="T12" s="37">
        <v>8.7693867648874543E-3</v>
      </c>
      <c r="U12" s="16">
        <v>45689</v>
      </c>
      <c r="V12" s="4" t="s">
        <v>95</v>
      </c>
      <c r="W12" s="38">
        <f>IFERROR(Tabela11[[#This Row],[Lucro]]*1/Tabela11[[#This Row],[Capital total]],"")</f>
        <v>-0.39242302448982885</v>
      </c>
      <c r="X12" s="39">
        <f>Tabela11[[#This Row],[Lucro]]-C11</f>
        <v>-5.9371357470730857E-2</v>
      </c>
      <c r="Y12" s="21" t="str">
        <f>PROPER(TEXT(DATE(2024,MONTH(Tabela11[[#This Row],[Data]]),1),"mmmm"))</f>
        <v>Fevereiro</v>
      </c>
      <c r="Z12" s="21">
        <f>YEAR(Tabela11[[#This Row],[Data]])</f>
        <v>2025</v>
      </c>
      <c r="AA12" s="35">
        <f>Tabela11[[#This Row],[Capital investido]]-A11</f>
        <v>1.1515333547357329</v>
      </c>
    </row>
    <row r="13" spans="1:28" hidden="1" x14ac:dyDescent="0.25">
      <c r="A13" s="34">
        <v>99.085568336685327</v>
      </c>
      <c r="B13" s="35">
        <v>71.567424852613769</v>
      </c>
      <c r="C13" s="35">
        <v>-27.518143484071562</v>
      </c>
      <c r="D13" s="35">
        <v>1.04</v>
      </c>
      <c r="E13" s="35"/>
      <c r="F13" s="35">
        <v>71.567424852613769</v>
      </c>
      <c r="G13" s="35">
        <v>39.472189166666674</v>
      </c>
      <c r="H13" s="35">
        <v>29.56556833668532</v>
      </c>
      <c r="I13" s="35"/>
      <c r="J13" s="35">
        <v>1.5600000000000021</v>
      </c>
      <c r="K13" s="35">
        <v>28.821856515928449</v>
      </c>
      <c r="L13" s="35">
        <v>27.63000000000001</v>
      </c>
      <c r="M13" s="35">
        <v>1.1899999999999979</v>
      </c>
      <c r="N13" s="35">
        <v>2.159999999999997</v>
      </c>
      <c r="O13" s="35">
        <v>6.4099999999999966</v>
      </c>
      <c r="P13" s="35">
        <v>0</v>
      </c>
      <c r="Q13" s="36" t="s">
        <v>86</v>
      </c>
      <c r="R13" s="36" t="s">
        <v>86</v>
      </c>
      <c r="S13" s="36" t="s">
        <v>86</v>
      </c>
      <c r="T13" s="37">
        <v>8.945928106576722E-3</v>
      </c>
      <c r="U13" s="16">
        <v>45690</v>
      </c>
      <c r="V13" s="4" t="s">
        <v>96</v>
      </c>
      <c r="W13" s="38">
        <f>IFERROR(Tabela11[[#This Row],[Lucro]]*1/Tabela11[[#This Row],[Capital total]],"")</f>
        <v>-0.38450654806628198</v>
      </c>
      <c r="X13" s="39">
        <f>Tabela11[[#This Row],[Lucro]]-C12</f>
        <v>1.2330733514119174E-2</v>
      </c>
      <c r="Y13" s="21" t="str">
        <f>PROPER(TEXT(DATE(2024,MONTH(Tabela11[[#This Row],[Data]]),1),"mmmm"))</f>
        <v>Fevereiro</v>
      </c>
      <c r="Z13" s="21">
        <f>YEAR(Tabela11[[#This Row],[Data]])</f>
        <v>2025</v>
      </c>
      <c r="AA13" s="35">
        <f>Tabela11[[#This Row],[Capital investido]]-A12</f>
        <v>1.4000000000000057</v>
      </c>
    </row>
    <row r="14" spans="1:28" hidden="1" x14ac:dyDescent="0.25">
      <c r="A14" s="34">
        <v>99.085568336685327</v>
      </c>
      <c r="B14" s="35">
        <v>71.567424852613769</v>
      </c>
      <c r="C14" s="35">
        <v>-27.518143484071562</v>
      </c>
      <c r="D14" s="35">
        <v>1.04</v>
      </c>
      <c r="E14" s="35"/>
      <c r="F14" s="35">
        <v>71.567424852613769</v>
      </c>
      <c r="G14" s="35" t="s">
        <v>86</v>
      </c>
      <c r="H14" s="35">
        <v>29.56556833668532</v>
      </c>
      <c r="I14" s="35"/>
      <c r="J14" s="35">
        <v>1.5600000000000021</v>
      </c>
      <c r="K14" s="35">
        <v>28.821856515928449</v>
      </c>
      <c r="L14" s="35">
        <v>27.63000000000001</v>
      </c>
      <c r="M14" s="35">
        <v>1.1899999999999979</v>
      </c>
      <c r="N14" s="35">
        <v>2.159999999999997</v>
      </c>
      <c r="O14" s="35">
        <v>6.4099999999999966</v>
      </c>
      <c r="P14" s="35">
        <v>0</v>
      </c>
      <c r="Q14" s="36" t="s">
        <v>86</v>
      </c>
      <c r="R14" s="36" t="s">
        <v>86</v>
      </c>
      <c r="S14" s="36" t="s">
        <v>86</v>
      </c>
      <c r="T14" s="37">
        <v>8.945928106576722E-3</v>
      </c>
      <c r="U14" s="16">
        <v>45691</v>
      </c>
      <c r="V14" s="4" t="s">
        <v>97</v>
      </c>
      <c r="W14" s="38">
        <f>IFERROR(Tabela11[[#This Row],[Lucro]]*1/Tabela11[[#This Row],[Capital total]],"")</f>
        <v>-0.38450654806628198</v>
      </c>
      <c r="X14" s="39">
        <f>Tabela11[[#This Row],[Lucro]]-C13</f>
        <v>0</v>
      </c>
      <c r="Y14" s="21" t="str">
        <f>PROPER(TEXT(DATE(2024,MONTH(Tabela11[[#This Row],[Data]]),1),"mmmm"))</f>
        <v>Fevereiro</v>
      </c>
      <c r="Z14" s="21">
        <f>YEAR(Tabela11[[#This Row],[Data]])</f>
        <v>2025</v>
      </c>
      <c r="AA14" s="35">
        <f>Tabela11[[#This Row],[Capital investido]]-A13</f>
        <v>0</v>
      </c>
    </row>
    <row r="15" spans="1:28" hidden="1" x14ac:dyDescent="0.25">
      <c r="A15" s="34">
        <v>99.085568336685327</v>
      </c>
      <c r="B15" s="35">
        <v>70.438315326322027</v>
      </c>
      <c r="C15" s="35">
        <v>-28.64725301036329</v>
      </c>
      <c r="D15" s="35">
        <v>1.04</v>
      </c>
      <c r="E15" s="35"/>
      <c r="F15" s="35">
        <v>70.438315326322027</v>
      </c>
      <c r="G15" s="35" t="s">
        <v>86</v>
      </c>
      <c r="H15" s="35">
        <v>29.56556833668532</v>
      </c>
      <c r="I15" s="35"/>
      <c r="J15" s="35">
        <v>1.519999999999996</v>
      </c>
      <c r="K15" s="35">
        <v>28.392746989636709</v>
      </c>
      <c r="L15" s="35">
        <v>26.97</v>
      </c>
      <c r="M15" s="35">
        <v>1.1899999999999979</v>
      </c>
      <c r="N15" s="35">
        <v>2.159999999999997</v>
      </c>
      <c r="O15" s="35">
        <v>6.4099999999999966</v>
      </c>
      <c r="P15" s="35">
        <v>0</v>
      </c>
      <c r="Q15" s="36" t="s">
        <v>86</v>
      </c>
      <c r="R15" s="36" t="s">
        <v>86</v>
      </c>
      <c r="S15" s="36" t="s">
        <v>86</v>
      </c>
      <c r="T15" s="37">
        <v>8.8047894157902533E-3</v>
      </c>
      <c r="U15" s="16">
        <v>45692</v>
      </c>
      <c r="V15" s="4" t="s">
        <v>98</v>
      </c>
      <c r="W15" s="38">
        <f>IFERROR(Tabela11[[#This Row],[Lucro]]*1/Tabela11[[#This Row],[Capital total]],"")</f>
        <v>-0.40669986040478351</v>
      </c>
      <c r="X15" s="39">
        <f>Tabela11[[#This Row],[Lucro]]-C14</f>
        <v>-1.1291095262917281</v>
      </c>
      <c r="Y15" s="21" t="str">
        <f>PROPER(TEXT(DATE(2024,MONTH(Tabela11[[#This Row],[Data]]),1),"mmmm"))</f>
        <v>Fevereiro</v>
      </c>
      <c r="Z15" s="21">
        <f>YEAR(Tabela11[[#This Row],[Data]])</f>
        <v>2025</v>
      </c>
      <c r="AA15" s="35">
        <f>Tabela11[[#This Row],[Capital investido]]-A14</f>
        <v>0</v>
      </c>
    </row>
    <row r="16" spans="1:28" hidden="1" x14ac:dyDescent="0.25">
      <c r="A16" s="34">
        <v>108.0655683366853</v>
      </c>
      <c r="B16" s="35">
        <v>79.465984592807899</v>
      </c>
      <c r="C16" s="35">
        <v>-28.599583743877432</v>
      </c>
      <c r="D16" s="35">
        <v>1.04</v>
      </c>
      <c r="E16" s="35"/>
      <c r="F16" s="35">
        <v>79.465984592807899</v>
      </c>
      <c r="G16" s="35">
        <v>54.850964166666657</v>
      </c>
      <c r="H16" s="35">
        <v>29.56556833668532</v>
      </c>
      <c r="I16" s="35"/>
      <c r="J16" s="35">
        <v>1.5300000000000009</v>
      </c>
      <c r="K16" s="35">
        <v>28.380416256122569</v>
      </c>
      <c r="L16" s="35">
        <v>27</v>
      </c>
      <c r="M16" s="35">
        <v>1.1899999999999979</v>
      </c>
      <c r="N16" s="35">
        <v>2.159999999999997</v>
      </c>
      <c r="O16" s="35">
        <v>6.4099999999999966</v>
      </c>
      <c r="P16" s="35">
        <v>9</v>
      </c>
      <c r="Q16" s="36" t="s">
        <v>86</v>
      </c>
      <c r="R16" s="36" t="s">
        <v>86</v>
      </c>
      <c r="S16" s="36" t="s">
        <v>86</v>
      </c>
      <c r="T16" s="37">
        <v>9.9332480741009879E-3</v>
      </c>
      <c r="U16" s="16">
        <v>45692</v>
      </c>
      <c r="V16" s="4" t="s">
        <v>99</v>
      </c>
      <c r="W16" s="38">
        <f>IFERROR(Tabela11[[#This Row],[Lucro]]*1/Tabela11[[#This Row],[Capital total]],"")</f>
        <v>-0.35989717978610247</v>
      </c>
      <c r="X16" s="39">
        <f>Tabela11[[#This Row],[Lucro]]-C15</f>
        <v>4.766926648585823E-2</v>
      </c>
      <c r="Y16" s="21" t="str">
        <f>PROPER(TEXT(DATE(2024,MONTH(Tabela11[[#This Row],[Data]]),1),"mmmm"))</f>
        <v>Fevereiro</v>
      </c>
      <c r="Z16" s="21">
        <f>YEAR(Tabela11[[#This Row],[Data]])</f>
        <v>2025</v>
      </c>
      <c r="AA16" s="35">
        <f>Tabela11[[#This Row],[Capital investido]]-A15</f>
        <v>8.9799999999999756</v>
      </c>
    </row>
    <row r="17" spans="1:27" hidden="1" x14ac:dyDescent="0.25">
      <c r="A17" s="34">
        <v>108.0655683366853</v>
      </c>
      <c r="B17" s="35">
        <v>79.535200822982034</v>
      </c>
      <c r="C17" s="35">
        <v>-28.53036751370329</v>
      </c>
      <c r="D17" s="35">
        <v>1.04</v>
      </c>
      <c r="E17" s="35"/>
      <c r="F17" s="35">
        <v>79.535200822982034</v>
      </c>
      <c r="G17" s="35" t="s">
        <v>86</v>
      </c>
      <c r="H17" s="35">
        <v>29.56556833668532</v>
      </c>
      <c r="I17" s="35"/>
      <c r="J17" s="35">
        <v>1.480000000000004</v>
      </c>
      <c r="K17" s="35">
        <v>28.619632486296709</v>
      </c>
      <c r="L17" s="35">
        <v>26.910000000000011</v>
      </c>
      <c r="M17" s="35">
        <v>1.1899999999999979</v>
      </c>
      <c r="N17" s="35">
        <v>2.159999999999997</v>
      </c>
      <c r="O17" s="35">
        <v>6.4099999999999966</v>
      </c>
      <c r="P17" s="35">
        <v>8.9699999999999989</v>
      </c>
      <c r="Q17" s="36" t="s">
        <v>86</v>
      </c>
      <c r="R17" s="36" t="s">
        <v>86</v>
      </c>
      <c r="S17" s="36" t="s">
        <v>86</v>
      </c>
      <c r="T17" s="37">
        <v>9.9419001028727538E-3</v>
      </c>
      <c r="U17" s="16">
        <v>45778</v>
      </c>
      <c r="V17" s="4" t="s">
        <v>100</v>
      </c>
      <c r="W17" s="38">
        <f>IFERROR(Tabela11[[#This Row],[Lucro]]*1/Tabela11[[#This Row],[Capital total]],"")</f>
        <v>-0.35871371692644699</v>
      </c>
      <c r="X17" s="39">
        <f>Tabela11[[#This Row],[Lucro]]-C16</f>
        <v>6.9216230174141913E-2</v>
      </c>
      <c r="Y17" s="21" t="str">
        <f>PROPER(TEXT(DATE(2024,MONTH(Tabela11[[#This Row],[Data]]),1),"mmmm"))</f>
        <v>Maio</v>
      </c>
      <c r="Z17" s="21">
        <f>YEAR(Tabela11[[#This Row],[Data]])</f>
        <v>2025</v>
      </c>
      <c r="AA17" s="35">
        <f>Tabela11[[#This Row],[Capital investido]]-A16</f>
        <v>0</v>
      </c>
    </row>
    <row r="18" spans="1:27" hidden="1" x14ac:dyDescent="0.25">
      <c r="A18" s="34">
        <v>108.0655683366853</v>
      </c>
      <c r="B18" s="35">
        <v>79.512106033749944</v>
      </c>
      <c r="C18" s="35">
        <v>-28.55346230293538</v>
      </c>
      <c r="D18" s="35">
        <v>1.04</v>
      </c>
      <c r="E18" s="35"/>
      <c r="F18" s="35">
        <v>79.512106033749944</v>
      </c>
      <c r="G18" s="35">
        <v>54.850964166666657</v>
      </c>
      <c r="H18" s="35">
        <v>29.56556833668532</v>
      </c>
      <c r="I18" s="35"/>
      <c r="J18" s="35">
        <v>1.4500000000000031</v>
      </c>
      <c r="K18" s="35">
        <v>28.626537697064609</v>
      </c>
      <c r="L18" s="35">
        <v>26.91</v>
      </c>
      <c r="M18" s="35">
        <v>1.1899999999999979</v>
      </c>
      <c r="N18" s="35">
        <v>2.159999999999997</v>
      </c>
      <c r="O18" s="35">
        <v>6.4099999999999966</v>
      </c>
      <c r="P18" s="35">
        <v>8.9699999999999989</v>
      </c>
      <c r="Q18" s="36" t="s">
        <v>86</v>
      </c>
      <c r="R18" s="36" t="s">
        <v>86</v>
      </c>
      <c r="S18" s="36" t="s">
        <v>86</v>
      </c>
      <c r="T18" s="37">
        <v>9.9390132542187433E-3</v>
      </c>
      <c r="U18" s="16">
        <v>45694</v>
      </c>
      <c r="V18" s="4" t="s">
        <v>101</v>
      </c>
      <c r="W18" s="38">
        <f>IFERROR(Tabela11[[#This Row],[Lucro]]*1/Tabela11[[#This Row],[Capital total]],"")</f>
        <v>-0.35910836383601125</v>
      </c>
      <c r="X18" s="39">
        <f>Tabela11[[#This Row],[Lucro]]-C17</f>
        <v>-2.3094789232089852E-2</v>
      </c>
      <c r="Y18" s="21" t="str">
        <f>PROPER(TEXT(DATE(2024,MONTH(Tabela11[[#This Row],[Data]]),1),"mmmm"))</f>
        <v>Fevereiro</v>
      </c>
      <c r="Z18" s="21">
        <f>YEAR(Tabela11[[#This Row],[Data]])</f>
        <v>2025</v>
      </c>
      <c r="AA18" s="35">
        <f>Tabela11[[#This Row],[Capital investido]]-A17</f>
        <v>0</v>
      </c>
    </row>
    <row r="19" spans="1:27" hidden="1" x14ac:dyDescent="0.25">
      <c r="A19" s="34">
        <v>108.0655683366853</v>
      </c>
      <c r="B19" s="35">
        <v>79.512106033749944</v>
      </c>
      <c r="C19" s="35">
        <v>-28.55346230293538</v>
      </c>
      <c r="D19" s="35">
        <v>1.04</v>
      </c>
      <c r="E19" s="35"/>
      <c r="F19" s="35">
        <v>79.512106033749944</v>
      </c>
      <c r="G19" s="35">
        <v>54.850964166666657</v>
      </c>
      <c r="H19" s="35">
        <v>29.56556833668532</v>
      </c>
      <c r="I19" s="35"/>
      <c r="J19" s="35">
        <v>1.4500000000000031</v>
      </c>
      <c r="K19" s="35">
        <v>28.626537697064609</v>
      </c>
      <c r="L19" s="35">
        <v>26.91</v>
      </c>
      <c r="M19" s="35">
        <v>1.1899999999999979</v>
      </c>
      <c r="N19" s="35">
        <v>2.159999999999997</v>
      </c>
      <c r="O19" s="35">
        <v>6.4099999999999966</v>
      </c>
      <c r="P19" s="35">
        <v>8.9699999999999989</v>
      </c>
      <c r="Q19" s="36" t="s">
        <v>86</v>
      </c>
      <c r="R19" s="36" t="s">
        <v>86</v>
      </c>
      <c r="S19" s="36" t="s">
        <v>86</v>
      </c>
      <c r="T19" s="37">
        <v>9.9390132542187433E-3</v>
      </c>
      <c r="U19" s="16">
        <v>45695</v>
      </c>
      <c r="V19" s="4" t="s">
        <v>102</v>
      </c>
      <c r="W19" s="38">
        <f>IFERROR(Tabela11[[#This Row],[Lucro]]*1/Tabela11[[#This Row],[Capital total]],"")</f>
        <v>-0.35910836383601125</v>
      </c>
      <c r="X19" s="39">
        <f>Tabela11[[#This Row],[Lucro]]-C18</f>
        <v>0</v>
      </c>
      <c r="Y19" s="21" t="str">
        <f>PROPER(TEXT(DATE(2024,MONTH(Tabela11[[#This Row],[Data]]),1),"mmmm"))</f>
        <v>Fevereiro</v>
      </c>
      <c r="Z19" s="21">
        <f>YEAR(Tabela11[[#This Row],[Data]])</f>
        <v>2025</v>
      </c>
      <c r="AA19" s="35">
        <f>Tabela11[[#This Row],[Capital investido]]-A18</f>
        <v>0</v>
      </c>
    </row>
    <row r="20" spans="1:27" hidden="1" x14ac:dyDescent="0.25">
      <c r="A20" s="34">
        <v>108.0655683366853</v>
      </c>
      <c r="B20" s="35">
        <v>135.5414773912207</v>
      </c>
      <c r="C20" s="35">
        <v>27.475909054535361</v>
      </c>
      <c r="D20" s="35">
        <v>1.04</v>
      </c>
      <c r="E20" s="35"/>
      <c r="F20" s="35">
        <v>135.5414773912207</v>
      </c>
      <c r="G20" s="35">
        <v>0</v>
      </c>
      <c r="H20" s="35">
        <v>29.56556833668532</v>
      </c>
      <c r="I20" s="35"/>
      <c r="J20" s="35">
        <v>1.4699999999999991</v>
      </c>
      <c r="K20" s="35">
        <v>28.63590905453535</v>
      </c>
      <c r="L20" s="35">
        <v>26.97</v>
      </c>
      <c r="M20" s="35">
        <v>1.1899999999999979</v>
      </c>
      <c r="N20" s="35">
        <v>2.159999999999997</v>
      </c>
      <c r="O20" s="35">
        <v>6.4099999999999966</v>
      </c>
      <c r="P20" s="35">
        <v>8.9900000000000091</v>
      </c>
      <c r="Q20" s="36" t="s">
        <v>86</v>
      </c>
      <c r="R20" s="36" t="s">
        <v>86</v>
      </c>
      <c r="S20" s="36" t="s">
        <v>86</v>
      </c>
      <c r="T20" s="37">
        <v>1.694268467390259E-2</v>
      </c>
      <c r="U20" s="16">
        <v>45696</v>
      </c>
      <c r="V20" s="4" t="s">
        <v>103</v>
      </c>
      <c r="W20" s="38">
        <f>IFERROR(Tabela11[[#This Row],[Lucro]]*1/Tabela11[[#This Row],[Capital total]],"")</f>
        <v>0.20271218510648337</v>
      </c>
      <c r="X20" s="39">
        <f>Tabela11[[#This Row],[Lucro]]-C19</f>
        <v>56.029371357470737</v>
      </c>
      <c r="Y20" s="21" t="str">
        <f>PROPER(TEXT(DATE(2024,MONTH(Tabela11[[#This Row],[Data]]),1),"mmmm"))</f>
        <v>Fevereiro</v>
      </c>
      <c r="Z20" s="21">
        <f>YEAR(Tabela11[[#This Row],[Data]])</f>
        <v>2025</v>
      </c>
      <c r="AA20" s="35">
        <f>Tabela11[[#This Row],[Capital investido]]-A19</f>
        <v>0</v>
      </c>
    </row>
    <row r="21" spans="1:27" hidden="1" x14ac:dyDescent="0.25">
      <c r="A21" s="34">
        <v>108.0655683366853</v>
      </c>
      <c r="B21" s="35">
        <v>51.121477391220687</v>
      </c>
      <c r="C21" s="35">
        <v>-56.944090945464637</v>
      </c>
      <c r="D21" s="35">
        <v>2.1800000000000002</v>
      </c>
      <c r="E21" s="35"/>
      <c r="F21" s="35">
        <v>51.121477391220687</v>
      </c>
      <c r="G21" s="35">
        <v>56.194730020000002</v>
      </c>
      <c r="H21" s="35">
        <v>29.56556833668532</v>
      </c>
      <c r="I21" s="35"/>
      <c r="J21" s="35">
        <v>1.4699999999999991</v>
      </c>
      <c r="K21" s="35">
        <v>28.63590905453535</v>
      </c>
      <c r="L21" s="35">
        <v>26.97</v>
      </c>
      <c r="M21" s="35">
        <v>1.1899999999999979</v>
      </c>
      <c r="N21" s="35">
        <v>2.159999999999997</v>
      </c>
      <c r="O21" s="35">
        <v>6.4099999999999966</v>
      </c>
      <c r="P21" s="35">
        <v>8.990000000000002</v>
      </c>
      <c r="Q21" s="36" t="s">
        <v>86</v>
      </c>
      <c r="R21" s="36" t="s">
        <v>86</v>
      </c>
      <c r="S21" s="36" t="s">
        <v>86</v>
      </c>
      <c r="T21" s="37">
        <v>6.3901846739025858E-3</v>
      </c>
      <c r="U21" s="16">
        <v>45697</v>
      </c>
      <c r="V21" s="4" t="s">
        <v>104</v>
      </c>
      <c r="W21" s="38">
        <f>IFERROR(Tabela11[[#This Row],[Lucro]]*1/Tabela11[[#This Row],[Capital total]],"")</f>
        <v>-1.1138975994313476</v>
      </c>
      <c r="X21" s="39">
        <f>Tabela11[[#This Row],[Lucro]]-C20</f>
        <v>-84.42</v>
      </c>
      <c r="Y21" s="21" t="str">
        <f>PROPER(TEXT(DATE(2024,MONTH(Tabela11[[#This Row],[Data]]),1),"mmmm"))</f>
        <v>Fevereiro</v>
      </c>
      <c r="Z21" s="21">
        <f>YEAR(Tabela11[[#This Row],[Data]])</f>
        <v>2025</v>
      </c>
      <c r="AA21" s="35">
        <f>Tabela11[[#This Row],[Capital investido]]-A20</f>
        <v>0</v>
      </c>
    </row>
    <row r="22" spans="1:27" hidden="1" x14ac:dyDescent="0.25">
      <c r="A22" s="34">
        <v>112.6843825637491</v>
      </c>
      <c r="B22" s="35">
        <v>55.754102039820253</v>
      </c>
      <c r="C22" s="35">
        <v>-56.930280523928808</v>
      </c>
      <c r="D22" s="35">
        <v>2.1800000000000002</v>
      </c>
      <c r="E22" s="35"/>
      <c r="F22" s="35">
        <v>55.754102039820253</v>
      </c>
      <c r="G22" s="35" t="s">
        <v>86</v>
      </c>
      <c r="H22" s="35">
        <v>34.184382563749047</v>
      </c>
      <c r="I22" s="35"/>
      <c r="J22" s="35">
        <v>1.4699999999999991</v>
      </c>
      <c r="K22" s="35">
        <v>28.64971947607118</v>
      </c>
      <c r="L22" s="35">
        <v>26.97000000000001</v>
      </c>
      <c r="M22" s="35">
        <v>1.1899999999999979</v>
      </c>
      <c r="N22" s="35">
        <v>2.1600000000000041</v>
      </c>
      <c r="O22" s="35">
        <v>6.4100000000000037</v>
      </c>
      <c r="P22" s="35">
        <v>8.990000000000002</v>
      </c>
      <c r="Q22" s="36" t="s">
        <v>86</v>
      </c>
      <c r="R22" s="36" t="s">
        <v>86</v>
      </c>
      <c r="S22" s="36" t="s">
        <v>86</v>
      </c>
      <c r="T22" s="37">
        <v>6.9692627549775314E-3</v>
      </c>
      <c r="U22" s="16">
        <v>45697</v>
      </c>
      <c r="V22" s="4" t="s">
        <v>105</v>
      </c>
      <c r="W22" s="38">
        <f>IFERROR(Tabela11[[#This Row],[Lucro]]*1/Tabela11[[#This Row],[Capital total]],"")</f>
        <v>-1.0210958196989437</v>
      </c>
      <c r="X22" s="39">
        <f>Tabela11[[#This Row],[Lucro]]-C21</f>
        <v>1.3810421535829676E-2</v>
      </c>
      <c r="Y22" s="21" t="str">
        <f>PROPER(TEXT(DATE(2024,MONTH(Tabela11[[#This Row],[Data]]),1),"mmmm"))</f>
        <v>Fevereiro</v>
      </c>
      <c r="Z22" s="21">
        <f>YEAR(Tabela11[[#This Row],[Data]])</f>
        <v>2025</v>
      </c>
      <c r="AA22" s="35">
        <f>Tabela11[[#This Row],[Capital investido]]-A21</f>
        <v>4.618814227063794</v>
      </c>
    </row>
    <row r="23" spans="1:27" hidden="1" x14ac:dyDescent="0.25">
      <c r="A23" s="34">
        <v>112.6843825637491</v>
      </c>
      <c r="B23" s="35">
        <v>55.754102039820253</v>
      </c>
      <c r="C23" s="35">
        <v>-56.930280523928808</v>
      </c>
      <c r="D23" s="35">
        <v>2.1800000000000002</v>
      </c>
      <c r="E23" s="35"/>
      <c r="F23" s="35">
        <v>55.754102039820253</v>
      </c>
      <c r="G23" s="35" t="s">
        <v>86</v>
      </c>
      <c r="H23" s="35">
        <v>34.184382563749047</v>
      </c>
      <c r="I23" s="35"/>
      <c r="J23" s="35">
        <v>1.4699999999999991</v>
      </c>
      <c r="K23" s="35">
        <v>28.64971947607118</v>
      </c>
      <c r="L23" s="35">
        <v>26.97000000000001</v>
      </c>
      <c r="M23" s="35">
        <v>1.1899999999999979</v>
      </c>
      <c r="N23" s="35">
        <v>2.1600000000000041</v>
      </c>
      <c r="O23" s="35">
        <v>6.4100000000000037</v>
      </c>
      <c r="P23" s="35">
        <v>8.990000000000002</v>
      </c>
      <c r="Q23" s="36" t="s">
        <v>86</v>
      </c>
      <c r="R23" s="36" t="s">
        <v>86</v>
      </c>
      <c r="S23" s="36" t="s">
        <v>86</v>
      </c>
      <c r="T23" s="37">
        <v>6.9692627549775314E-3</v>
      </c>
      <c r="U23" s="16">
        <v>45698</v>
      </c>
      <c r="V23" s="4" t="s">
        <v>106</v>
      </c>
      <c r="W23" s="38">
        <f>IFERROR(Tabela11[[#This Row],[Lucro]]*1/Tabela11[[#This Row],[Capital total]],"")</f>
        <v>-1.0210958196989437</v>
      </c>
      <c r="X23" s="39">
        <f>Tabela11[[#This Row],[Lucro]]-C22</f>
        <v>0</v>
      </c>
      <c r="Y23" s="21" t="str">
        <f>PROPER(TEXT(DATE(2024,MONTH(Tabela11[[#This Row],[Data]]),1),"mmmm"))</f>
        <v>Fevereiro</v>
      </c>
      <c r="Z23" s="21">
        <f>YEAR(Tabela11[[#This Row],[Data]])</f>
        <v>2025</v>
      </c>
      <c r="AA23" s="35">
        <f>Tabela11[[#This Row],[Capital investido]]-A22</f>
        <v>0</v>
      </c>
    </row>
    <row r="24" spans="1:27" hidden="1" x14ac:dyDescent="0.25">
      <c r="A24" s="34">
        <v>112.6843825637491</v>
      </c>
      <c r="B24" s="35">
        <v>55.629537419620419</v>
      </c>
      <c r="C24" s="35">
        <v>-57.054845144128628</v>
      </c>
      <c r="D24" s="35">
        <v>2.1800000000000002</v>
      </c>
      <c r="E24" s="35"/>
      <c r="F24" s="35">
        <v>55.629537419620419</v>
      </c>
      <c r="G24" s="35" t="s">
        <v>86</v>
      </c>
      <c r="H24" s="35">
        <v>34.18438256374904</v>
      </c>
      <c r="I24" s="35"/>
      <c r="J24" s="35">
        <v>1.4500000000000031</v>
      </c>
      <c r="K24" s="35">
        <v>28.545154855871349</v>
      </c>
      <c r="L24" s="35">
        <v>26.97</v>
      </c>
      <c r="M24" s="35">
        <v>1.1899999999999979</v>
      </c>
      <c r="N24" s="35">
        <v>2.159999999999997</v>
      </c>
      <c r="O24" s="35">
        <v>6.4099999999999966</v>
      </c>
      <c r="P24" s="35">
        <v>8.9899999999999949</v>
      </c>
      <c r="Q24" s="36" t="s">
        <v>86</v>
      </c>
      <c r="R24" s="36" t="s">
        <v>86</v>
      </c>
      <c r="S24" s="36" t="s">
        <v>86</v>
      </c>
      <c r="T24" s="37">
        <v>6.9536921774525527E-3</v>
      </c>
      <c r="U24" s="16">
        <v>45699</v>
      </c>
      <c r="V24" s="4" t="s">
        <v>107</v>
      </c>
      <c r="W24" s="38">
        <f>IFERROR(Tabela11[[#This Row],[Lucro]]*1/Tabela11[[#This Row],[Capital total]],"")</f>
        <v>-1.0256214196741731</v>
      </c>
      <c r="X24" s="39">
        <f>Tabela11[[#This Row],[Lucro]]-C23</f>
        <v>-0.12456462019981984</v>
      </c>
      <c r="Y24" s="21" t="str">
        <f>PROPER(TEXT(DATE(2024,MONTH(Tabela11[[#This Row],[Data]]),1),"mmmm"))</f>
        <v>Fevereiro</v>
      </c>
      <c r="Z24" s="21">
        <f>YEAR(Tabela11[[#This Row],[Data]])</f>
        <v>2025</v>
      </c>
      <c r="AA24" s="35">
        <f>Tabela11[[#This Row],[Capital investido]]-A23</f>
        <v>0</v>
      </c>
    </row>
    <row r="25" spans="1:27" hidden="1" x14ac:dyDescent="0.25">
      <c r="A25" s="34">
        <v>112.6843825637491</v>
      </c>
      <c r="B25" s="35">
        <v>55.381026964696069</v>
      </c>
      <c r="C25" s="35">
        <v>-57.303355599052978</v>
      </c>
      <c r="D25" s="35">
        <v>2.1800000000000002</v>
      </c>
      <c r="E25" s="35"/>
      <c r="F25" s="35">
        <v>55.381026964696069</v>
      </c>
      <c r="G25" s="35">
        <v>56.194730020000002</v>
      </c>
      <c r="H25" s="35">
        <v>34.184382563749047</v>
      </c>
      <c r="I25" s="35"/>
      <c r="J25" s="35">
        <v>1.43</v>
      </c>
      <c r="K25" s="35">
        <v>28.436644400946999</v>
      </c>
      <c r="L25" s="35">
        <v>26.88</v>
      </c>
      <c r="M25" s="35">
        <v>1.1899999999999979</v>
      </c>
      <c r="N25" s="35">
        <v>2.1600000000000041</v>
      </c>
      <c r="O25" s="35">
        <v>6.4100000000000037</v>
      </c>
      <c r="P25" s="35">
        <v>8.9600000000000009</v>
      </c>
      <c r="Q25" s="36" t="s">
        <v>86</v>
      </c>
      <c r="R25" s="36" t="s">
        <v>86</v>
      </c>
      <c r="S25" s="36" t="s">
        <v>86</v>
      </c>
      <c r="T25" s="37">
        <v>6.9226283705870082E-3</v>
      </c>
      <c r="U25" s="16">
        <v>45700</v>
      </c>
      <c r="V25" s="4" t="s">
        <v>108</v>
      </c>
      <c r="W25" s="38">
        <f>IFERROR(Tabela11[[#This Row],[Lucro]]*1/Tabela11[[#This Row],[Capital total]],"")</f>
        <v>-1.0347109604085591</v>
      </c>
      <c r="X25" s="39">
        <f>Tabela11[[#This Row],[Lucro]]-C24</f>
        <v>-0.2485104549243502</v>
      </c>
      <c r="Y25" s="21" t="str">
        <f>PROPER(TEXT(DATE(2024,MONTH(Tabela11[[#This Row],[Data]]),1),"mmmm"))</f>
        <v>Fevereiro</v>
      </c>
      <c r="Z25" s="21">
        <f>YEAR(Tabela11[[#This Row],[Data]])</f>
        <v>2025</v>
      </c>
      <c r="AA25" s="35">
        <f>Tabela11[[#This Row],[Capital investido]]-A24</f>
        <v>0</v>
      </c>
    </row>
    <row r="26" spans="1:27" hidden="1" x14ac:dyDescent="0.25">
      <c r="A26" s="34">
        <v>112.6843825637491</v>
      </c>
      <c r="B26" s="35">
        <v>55.381026964696069</v>
      </c>
      <c r="C26" s="35">
        <v>-57.303355599052978</v>
      </c>
      <c r="D26" s="35">
        <v>2.1800000000000002</v>
      </c>
      <c r="E26" s="35"/>
      <c r="F26" s="35">
        <v>55.381026964696069</v>
      </c>
      <c r="G26" s="35" t="s">
        <v>86</v>
      </c>
      <c r="H26" s="35">
        <v>34.184382563749047</v>
      </c>
      <c r="I26" s="35"/>
      <c r="J26" s="35">
        <v>1.43</v>
      </c>
      <c r="K26" s="35">
        <v>28.436644400946999</v>
      </c>
      <c r="L26" s="35">
        <v>26.88</v>
      </c>
      <c r="M26" s="35">
        <v>1.1899999999999979</v>
      </c>
      <c r="N26" s="35">
        <v>2.1600000000000041</v>
      </c>
      <c r="O26" s="35">
        <v>6.4100000000000037</v>
      </c>
      <c r="P26" s="35">
        <v>8.9600000000000009</v>
      </c>
      <c r="Q26" s="36" t="s">
        <v>86</v>
      </c>
      <c r="R26" s="36" t="s">
        <v>86</v>
      </c>
      <c r="S26" s="36" t="s">
        <v>86</v>
      </c>
      <c r="T26" s="37">
        <v>6.9226283705870082E-3</v>
      </c>
      <c r="U26" s="16">
        <v>45701</v>
      </c>
      <c r="V26" s="4" t="s">
        <v>109</v>
      </c>
      <c r="W26" s="38">
        <f>IFERROR(Tabela11[[#This Row],[Lucro]]*1/Tabela11[[#This Row],[Capital total]],"")</f>
        <v>-1.0347109604085591</v>
      </c>
      <c r="X26" s="39">
        <f>Tabela11[[#This Row],[Lucro]]-C25</f>
        <v>0</v>
      </c>
      <c r="Y26" s="21" t="str">
        <f>PROPER(TEXT(DATE(2024,MONTH(Tabela11[[#This Row],[Data]]),1),"mmmm"))</f>
        <v>Fevereiro</v>
      </c>
      <c r="Z26" s="21">
        <f>YEAR(Tabela11[[#This Row],[Data]])</f>
        <v>2025</v>
      </c>
      <c r="AA26" s="35">
        <f>Tabela11[[#This Row],[Capital investido]]-A25</f>
        <v>0</v>
      </c>
    </row>
    <row r="27" spans="1:27" hidden="1" x14ac:dyDescent="0.25">
      <c r="A27" s="34">
        <v>112.6843825637491</v>
      </c>
      <c r="B27" s="35">
        <v>55.228425404804547</v>
      </c>
      <c r="C27" s="35">
        <v>-57.455957158944507</v>
      </c>
      <c r="D27" s="35">
        <v>2.1800000000000002</v>
      </c>
      <c r="E27" s="35"/>
      <c r="F27" s="35">
        <v>55.228425404804547</v>
      </c>
      <c r="G27" s="35" t="s">
        <v>86</v>
      </c>
      <c r="H27" s="35">
        <v>34.184382563749033</v>
      </c>
      <c r="I27" s="35"/>
      <c r="J27" s="35">
        <v>1.43</v>
      </c>
      <c r="K27" s="35">
        <v>28.444042841055481</v>
      </c>
      <c r="L27" s="35">
        <v>26.76</v>
      </c>
      <c r="M27" s="35">
        <v>1.1899999999999979</v>
      </c>
      <c r="N27" s="35">
        <v>2.1600000000000041</v>
      </c>
      <c r="O27" s="35">
        <v>6.4100000000000037</v>
      </c>
      <c r="P27" s="35">
        <v>8.9199999999999946</v>
      </c>
      <c r="Q27" s="36" t="s">
        <v>86</v>
      </c>
      <c r="R27" s="36" t="s">
        <v>86</v>
      </c>
      <c r="S27" s="36" t="s">
        <v>86</v>
      </c>
      <c r="T27" s="37">
        <v>6.9035531756005686E-3</v>
      </c>
      <c r="U27" s="16">
        <v>45702</v>
      </c>
      <c r="V27" s="4" t="s">
        <v>110</v>
      </c>
      <c r="W27" s="38">
        <f>IFERROR(Tabela11[[#This Row],[Lucro]]*1/Tabela11[[#This Row],[Capital total]],"")</f>
        <v>-1.0403330664927155</v>
      </c>
      <c r="X27" s="39">
        <f>Tabela11[[#This Row],[Lucro]]-C26</f>
        <v>-0.15260155989152935</v>
      </c>
      <c r="Y27" s="21" t="str">
        <f>PROPER(TEXT(DATE(2024,MONTH(Tabela11[[#This Row],[Data]]),1),"mmmm"))</f>
        <v>Fevereiro</v>
      </c>
      <c r="Z27" s="21">
        <f>YEAR(Tabela11[[#This Row],[Data]])</f>
        <v>2025</v>
      </c>
      <c r="AA27" s="35">
        <f>Tabela11[[#This Row],[Capital investido]]-A26</f>
        <v>0</v>
      </c>
    </row>
    <row r="28" spans="1:27" x14ac:dyDescent="0.25">
      <c r="A28" s="34">
        <v>112.6843825637491</v>
      </c>
      <c r="B28" s="35">
        <v>55.249170608270163</v>
      </c>
      <c r="C28" s="35">
        <v>-57.435211955478898</v>
      </c>
      <c r="D28" s="35">
        <v>2.1800000000000002</v>
      </c>
      <c r="E28" s="35"/>
      <c r="F28" s="35">
        <v>55.249170608270163</v>
      </c>
      <c r="G28" s="35" t="s">
        <v>86</v>
      </c>
      <c r="H28" s="35">
        <v>34.184382563749047</v>
      </c>
      <c r="I28" s="35"/>
      <c r="J28" s="35">
        <v>1.4399999999999979</v>
      </c>
      <c r="K28" s="35">
        <v>28.134788044521091</v>
      </c>
      <c r="L28" s="35">
        <v>27.000000000000011</v>
      </c>
      <c r="M28" s="35">
        <v>1.1899999999999979</v>
      </c>
      <c r="N28" s="35">
        <v>2.1600000000000041</v>
      </c>
      <c r="O28" s="35">
        <v>6.4100000000000037</v>
      </c>
      <c r="P28" s="35">
        <v>9.0000000000000071</v>
      </c>
      <c r="Q28" s="36" t="s">
        <v>86</v>
      </c>
      <c r="R28" s="36" t="s">
        <v>86</v>
      </c>
      <c r="S28" s="36" t="s">
        <v>86</v>
      </c>
      <c r="T28" s="37">
        <v>6.9061463260337696E-3</v>
      </c>
      <c r="U28" s="16" t="s">
        <v>19</v>
      </c>
      <c r="V28" s="4" t="s">
        <v>111</v>
      </c>
      <c r="W28" s="38">
        <f>IFERROR(Tabela11[[#This Row],[Lucro]]*1/Tabela11[[#This Row],[Capital total]],"")</f>
        <v>-1.0395669531893663</v>
      </c>
      <c r="X28" s="39">
        <f>Tabela11[[#This Row],[Lucro]]-C27</f>
        <v>2.0745203465608597E-2</v>
      </c>
      <c r="Y28" s="21" t="str">
        <f>PROPER(TEXT(DATE(2024,MONTH(Tabela11[[#This Row],[Data]]),1),"mmmm"))</f>
        <v>Fevereiro</v>
      </c>
      <c r="Z28" s="21">
        <f>YEAR(Tabela11[[#This Row],[Data]])</f>
        <v>2025</v>
      </c>
      <c r="AA28" s="35">
        <f>Tabela11[[#This Row],[Capital investido]]-A27</f>
        <v>0</v>
      </c>
    </row>
    <row r="29" spans="1:27" x14ac:dyDescent="0.25">
      <c r="A29" s="34">
        <v>112.6843825637491</v>
      </c>
      <c r="B29" s="35">
        <v>55.249170608270163</v>
      </c>
      <c r="C29" s="35">
        <v>-57.435211955478898</v>
      </c>
      <c r="D29" s="35">
        <v>2.1800000000000002</v>
      </c>
      <c r="E29" s="35"/>
      <c r="F29" s="35">
        <v>55.249170608270163</v>
      </c>
      <c r="G29" s="35" t="s">
        <v>86</v>
      </c>
      <c r="H29" s="35">
        <v>34.184382563749047</v>
      </c>
      <c r="I29" s="35"/>
      <c r="J29" s="35">
        <v>1.4399999999999979</v>
      </c>
      <c r="K29" s="35">
        <v>28.134788044521091</v>
      </c>
      <c r="L29" s="35">
        <v>27.000000000000011</v>
      </c>
      <c r="M29" s="35">
        <v>1.1899999999999979</v>
      </c>
      <c r="N29" s="35">
        <v>2.1600000000000041</v>
      </c>
      <c r="O29" s="35">
        <v>6.4100000000000037</v>
      </c>
      <c r="P29" s="35">
        <v>9.0000000000000071</v>
      </c>
      <c r="Q29" s="36" t="s">
        <v>86</v>
      </c>
      <c r="R29" s="36" t="s">
        <v>86</v>
      </c>
      <c r="S29" s="36" t="s">
        <v>86</v>
      </c>
      <c r="T29" s="37">
        <v>6.9061463260337696E-3</v>
      </c>
      <c r="U29" s="16" t="s">
        <v>20</v>
      </c>
      <c r="V29" s="4" t="s">
        <v>112</v>
      </c>
      <c r="W29" s="38">
        <f>IFERROR(Tabela11[[#This Row],[Lucro]]*1/Tabela11[[#This Row],[Capital total]],"")</f>
        <v>-1.0395669531893663</v>
      </c>
      <c r="X29" s="39">
        <f>Tabela11[[#This Row],[Lucro]]-C28</f>
        <v>0</v>
      </c>
      <c r="Y29" s="21" t="str">
        <f>PROPER(TEXT(DATE(2024,MONTH(Tabela11[[#This Row],[Data]]),1),"mmmm"))</f>
        <v>Fevereiro</v>
      </c>
      <c r="Z29" s="21">
        <f>YEAR(Tabela11[[#This Row],[Data]])</f>
        <v>2025</v>
      </c>
      <c r="AA29" s="35">
        <f>Tabela11[[#This Row],[Capital investido]]-A28</f>
        <v>0</v>
      </c>
    </row>
    <row r="30" spans="1:27" x14ac:dyDescent="0.25">
      <c r="A30" s="34">
        <v>112.6843825637491</v>
      </c>
      <c r="B30" s="35">
        <v>55.249170608270163</v>
      </c>
      <c r="C30" s="35">
        <v>-57.435211955478898</v>
      </c>
      <c r="D30" s="35">
        <v>2.1800000000000002</v>
      </c>
      <c r="E30" s="35"/>
      <c r="F30" s="35">
        <v>55.249170608270163</v>
      </c>
      <c r="G30" s="35" t="s">
        <v>86</v>
      </c>
      <c r="H30" s="35">
        <v>34.184382563749047</v>
      </c>
      <c r="I30" s="35"/>
      <c r="J30" s="35">
        <v>1.4399999999999979</v>
      </c>
      <c r="K30" s="35">
        <v>28.134788044521091</v>
      </c>
      <c r="L30" s="35">
        <v>27.000000000000011</v>
      </c>
      <c r="M30" s="35">
        <v>1.1899999999999979</v>
      </c>
      <c r="N30" s="35">
        <v>2.1600000000000041</v>
      </c>
      <c r="O30" s="35">
        <v>6.4100000000000037</v>
      </c>
      <c r="P30" s="35">
        <v>9.0000000000000071</v>
      </c>
      <c r="Q30" s="36" t="s">
        <v>86</v>
      </c>
      <c r="R30" s="36" t="s">
        <v>86</v>
      </c>
      <c r="S30" s="36" t="s">
        <v>86</v>
      </c>
      <c r="T30" s="37">
        <v>6.9061463260337696E-3</v>
      </c>
      <c r="U30" s="16" t="s">
        <v>20</v>
      </c>
      <c r="V30" s="4" t="s">
        <v>113</v>
      </c>
      <c r="W30" s="38">
        <f>IFERROR(Tabela11[[#This Row],[Lucro]]*1/Tabela11[[#This Row],[Capital total]],"")</f>
        <v>-1.0395669531893663</v>
      </c>
      <c r="X30" s="39">
        <f>Tabela11[[#This Row],[Lucro]]-C29</f>
        <v>0</v>
      </c>
      <c r="Y30" s="21" t="str">
        <f>PROPER(TEXT(DATE(2024,MONTH(Tabela11[[#This Row],[Data]]),1),"mmmm"))</f>
        <v>Fevereiro</v>
      </c>
      <c r="Z30" s="21">
        <f>YEAR(Tabela11[[#This Row],[Data]])</f>
        <v>2025</v>
      </c>
      <c r="AA30" s="35">
        <f>Tabela11[[#This Row],[Capital investido]]-A29</f>
        <v>0</v>
      </c>
    </row>
    <row r="31" spans="1:27" x14ac:dyDescent="0.25">
      <c r="A31" s="34">
        <v>112.6843825637491</v>
      </c>
      <c r="B31" s="35">
        <v>55.249170608270163</v>
      </c>
      <c r="C31" s="35">
        <v>-57.435211955478898</v>
      </c>
      <c r="D31" s="35">
        <v>2.1800000000000002</v>
      </c>
      <c r="E31" s="35"/>
      <c r="F31" s="35">
        <v>55.249170608270163</v>
      </c>
      <c r="G31" s="35" t="s">
        <v>86</v>
      </c>
      <c r="H31" s="35">
        <v>34.184382563749047</v>
      </c>
      <c r="I31" s="35"/>
      <c r="J31" s="35">
        <v>1.4399999999999979</v>
      </c>
      <c r="K31" s="35">
        <v>28.134788044521091</v>
      </c>
      <c r="L31" s="35">
        <v>27.000000000000011</v>
      </c>
      <c r="M31" s="35">
        <v>1.1899999999999979</v>
      </c>
      <c r="N31" s="35">
        <v>2.1600000000000041</v>
      </c>
      <c r="O31" s="35">
        <v>6.4100000000000037</v>
      </c>
      <c r="P31" s="35">
        <v>9.0000000000000071</v>
      </c>
      <c r="Q31" s="36" t="s">
        <v>86</v>
      </c>
      <c r="R31" s="36" t="s">
        <v>86</v>
      </c>
      <c r="S31" s="36" t="s">
        <v>86</v>
      </c>
      <c r="T31" s="37">
        <v>6.9061463260337696E-3</v>
      </c>
      <c r="U31" s="16" t="s">
        <v>21</v>
      </c>
      <c r="V31" s="4" t="s">
        <v>114</v>
      </c>
      <c r="W31" s="38">
        <f>IFERROR(Tabela11[[#This Row],[Lucro]]*1/Tabela11[[#This Row],[Capital total]],"")</f>
        <v>-1.0395669531893663</v>
      </c>
      <c r="X31" s="39">
        <f>Tabela11[[#This Row],[Lucro]]-C30</f>
        <v>0</v>
      </c>
      <c r="Y31" s="21" t="str">
        <f>PROPER(TEXT(DATE(2024,MONTH(Tabela11[[#This Row],[Data]]),1),"mmmm"))</f>
        <v>Fevereiro</v>
      </c>
      <c r="Z31" s="21">
        <f>YEAR(Tabela11[[#This Row],[Data]])</f>
        <v>2025</v>
      </c>
      <c r="AA31" s="35">
        <f>Tabela11[[#This Row],[Capital investido]]-A30</f>
        <v>0</v>
      </c>
    </row>
    <row r="32" spans="1:27" x14ac:dyDescent="0.25">
      <c r="A32" s="34">
        <v>112.6843825637491</v>
      </c>
      <c r="B32" s="35">
        <v>55.249170608270163</v>
      </c>
      <c r="C32" s="35">
        <v>-57.435211955478898</v>
      </c>
      <c r="D32" s="35">
        <v>2.1800000000000002</v>
      </c>
      <c r="E32" s="35"/>
      <c r="F32" s="35">
        <v>55.249170608270163</v>
      </c>
      <c r="G32" s="35" t="s">
        <v>86</v>
      </c>
      <c r="H32" s="35">
        <v>34.184382563749047</v>
      </c>
      <c r="I32" s="35"/>
      <c r="J32" s="35">
        <v>1.4399999999999979</v>
      </c>
      <c r="K32" s="35">
        <v>28.134788044521091</v>
      </c>
      <c r="L32" s="35">
        <v>27.000000000000011</v>
      </c>
      <c r="M32" s="35">
        <v>1.1899999999999979</v>
      </c>
      <c r="N32" s="35">
        <v>2.1600000000000041</v>
      </c>
      <c r="O32" s="35">
        <v>6.4100000000000037</v>
      </c>
      <c r="P32" s="35">
        <v>9.0000000000000071</v>
      </c>
      <c r="Q32" s="36" t="s">
        <v>86</v>
      </c>
      <c r="R32" s="36" t="s">
        <v>86</v>
      </c>
      <c r="S32" s="36" t="s">
        <v>86</v>
      </c>
      <c r="T32" s="37">
        <v>6.9061463260337696E-3</v>
      </c>
      <c r="U32" s="16" t="s">
        <v>21</v>
      </c>
      <c r="V32" s="4" t="s">
        <v>115</v>
      </c>
      <c r="W32" s="38">
        <f>IFERROR(Tabela11[[#This Row],[Lucro]]*1/Tabela11[[#This Row],[Capital total]],"")</f>
        <v>-1.0395669531893663</v>
      </c>
      <c r="X32" s="39">
        <f>Tabela11[[#This Row],[Lucro]]-C31</f>
        <v>0</v>
      </c>
      <c r="Y32" s="21" t="str">
        <f>PROPER(TEXT(DATE(2024,MONTH(Tabela11[[#This Row],[Data]]),1),"mmmm"))</f>
        <v>Fevereiro</v>
      </c>
      <c r="Z32" s="21">
        <f>YEAR(Tabela11[[#This Row],[Data]])</f>
        <v>2025</v>
      </c>
      <c r="AA32" s="35">
        <f>Tabela11[[#This Row],[Capital investido]]-A31</f>
        <v>0</v>
      </c>
    </row>
    <row r="33" spans="1:49" x14ac:dyDescent="0.25">
      <c r="A33" s="34">
        <v>112.6843825637491</v>
      </c>
      <c r="B33" s="35">
        <v>55.249170608270163</v>
      </c>
      <c r="C33" s="35">
        <v>-57.435211955478898</v>
      </c>
      <c r="D33" s="35">
        <v>2.1800000000000002</v>
      </c>
      <c r="E33" s="35"/>
      <c r="F33" s="35">
        <v>55.249170608270163</v>
      </c>
      <c r="G33" s="35" t="s">
        <v>86</v>
      </c>
      <c r="H33" s="35">
        <v>34.184382563749047</v>
      </c>
      <c r="I33" s="35"/>
      <c r="J33" s="35">
        <v>1.4399999999999979</v>
      </c>
      <c r="K33" s="35">
        <v>28.134788044521091</v>
      </c>
      <c r="L33" s="35">
        <v>27.000000000000011</v>
      </c>
      <c r="M33" s="35">
        <v>1.1899999999999979</v>
      </c>
      <c r="N33" s="35">
        <v>2.1600000000000041</v>
      </c>
      <c r="O33" s="35">
        <v>6.4100000000000037</v>
      </c>
      <c r="P33" s="35">
        <v>9.0000000000000071</v>
      </c>
      <c r="Q33" s="36" t="s">
        <v>86</v>
      </c>
      <c r="R33" s="36" t="s">
        <v>86</v>
      </c>
      <c r="S33" s="36" t="s">
        <v>86</v>
      </c>
      <c r="T33" s="37">
        <v>6.9061463260337696E-3</v>
      </c>
      <c r="U33" s="16" t="s">
        <v>21</v>
      </c>
      <c r="V33" s="4" t="s">
        <v>116</v>
      </c>
      <c r="W33" s="38">
        <f>IFERROR(Tabela11[[#This Row],[Lucro]]*1/Tabela11[[#This Row],[Capital total]],"")</f>
        <v>-1.0395669531893663</v>
      </c>
      <c r="X33" s="39">
        <f>Tabela11[[#This Row],[Lucro]]-C32</f>
        <v>0</v>
      </c>
      <c r="Y33" s="21" t="str">
        <f>PROPER(TEXT(DATE(2024,MONTH(Tabela11[[#This Row],[Data]]),1),"mmmm"))</f>
        <v>Fevereiro</v>
      </c>
      <c r="Z33" s="21">
        <f>YEAR(Tabela11[[#This Row],[Data]])</f>
        <v>2025</v>
      </c>
      <c r="AA33" s="35">
        <f>Tabela11[[#This Row],[Capital investido]]-A32</f>
        <v>0</v>
      </c>
    </row>
    <row r="34" spans="1:49" x14ac:dyDescent="0.25">
      <c r="A34" s="34">
        <v>112.6843825637491</v>
      </c>
      <c r="B34" s="35">
        <v>55.249170608270163</v>
      </c>
      <c r="C34" s="35">
        <v>-57.435211955478898</v>
      </c>
      <c r="D34" s="35">
        <v>2.1800000000000002</v>
      </c>
      <c r="E34" s="35"/>
      <c r="F34" s="35">
        <v>55.249170608270163</v>
      </c>
      <c r="G34" s="35" t="s">
        <v>86</v>
      </c>
      <c r="H34" s="35">
        <v>34.184382563749047</v>
      </c>
      <c r="I34" s="35"/>
      <c r="J34" s="35">
        <v>1.4399999999999979</v>
      </c>
      <c r="K34" s="35">
        <v>28.134788044521091</v>
      </c>
      <c r="L34" s="35">
        <v>27.000000000000011</v>
      </c>
      <c r="M34" s="35">
        <v>1.1899999999999979</v>
      </c>
      <c r="N34" s="35">
        <v>2.1600000000000041</v>
      </c>
      <c r="O34" s="35">
        <v>6.4100000000000037</v>
      </c>
      <c r="P34" s="35">
        <v>9.0000000000000071</v>
      </c>
      <c r="Q34" s="36" t="s">
        <v>86</v>
      </c>
      <c r="R34" s="36" t="s">
        <v>86</v>
      </c>
      <c r="S34" s="36" t="s">
        <v>86</v>
      </c>
      <c r="T34" s="37">
        <v>6.9061463260337696E-3</v>
      </c>
      <c r="U34" s="16" t="s">
        <v>21</v>
      </c>
      <c r="V34" s="4" t="s">
        <v>117</v>
      </c>
      <c r="W34" s="38">
        <f>IFERROR(Tabela11[[#This Row],[Lucro]]*1/Tabela11[[#This Row],[Capital total]],"")</f>
        <v>-1.0395669531893663</v>
      </c>
      <c r="X34" s="39">
        <f>Tabela11[[#This Row],[Lucro]]-C33</f>
        <v>0</v>
      </c>
      <c r="Y34" s="21" t="str">
        <f>PROPER(TEXT(DATE(2024,MONTH(Tabela11[[#This Row],[Data]]),1),"mmmm"))</f>
        <v>Fevereiro</v>
      </c>
      <c r="Z34" s="21">
        <f>YEAR(Tabela11[[#This Row],[Data]])</f>
        <v>2025</v>
      </c>
      <c r="AA34" s="35">
        <f>Tabela11[[#This Row],[Capital investido]]-A33</f>
        <v>0</v>
      </c>
    </row>
    <row r="35" spans="1:49" x14ac:dyDescent="0.25">
      <c r="A35" s="34">
        <v>103.70438256374899</v>
      </c>
      <c r="B35" s="35">
        <v>46.462574790239891</v>
      </c>
      <c r="C35" s="35">
        <v>-57.241807773509159</v>
      </c>
      <c r="D35" s="35">
        <v>2.1800000000000002</v>
      </c>
      <c r="E35" s="35"/>
      <c r="F35" s="35">
        <v>46.462574790239891</v>
      </c>
      <c r="G35" s="35" t="s">
        <v>86</v>
      </c>
      <c r="H35" s="35">
        <v>34.184382563749047</v>
      </c>
      <c r="I35" s="35"/>
      <c r="J35" s="35">
        <v>1.4399999999999979</v>
      </c>
      <c r="K35" s="35">
        <v>28.178192226490829</v>
      </c>
      <c r="L35" s="35">
        <v>27.09</v>
      </c>
      <c r="M35" s="35">
        <v>1.1899999999999979</v>
      </c>
      <c r="N35" s="35">
        <v>2.1600000000000041</v>
      </c>
      <c r="O35" s="35">
        <v>6.4100000000000037</v>
      </c>
      <c r="P35" s="35">
        <v>0</v>
      </c>
      <c r="Q35" s="36" t="s">
        <v>86</v>
      </c>
      <c r="R35" s="36" t="s">
        <v>86</v>
      </c>
      <c r="S35" s="36" t="s">
        <v>86</v>
      </c>
      <c r="T35" s="37">
        <v>5.8078218487799867E-3</v>
      </c>
      <c r="U35" s="16" t="s">
        <v>21</v>
      </c>
      <c r="V35" s="4" t="s">
        <v>118</v>
      </c>
      <c r="W35" s="38">
        <f>IFERROR(Tabela11[[#This Row],[Lucro]]*1/Tabela11[[#This Row],[Capital total]],"")</f>
        <v>-1.2319981841715237</v>
      </c>
      <c r="X35" s="39">
        <f>Tabela11[[#This Row],[Lucro]]-C34</f>
        <v>0.19340418196973985</v>
      </c>
      <c r="Y35" s="21" t="str">
        <f>PROPER(TEXT(DATE(2024,MONTH(Tabela11[[#This Row],[Data]]),1),"mmmm"))</f>
        <v>Fevereiro</v>
      </c>
      <c r="Z35" s="21">
        <f>YEAR(Tabela11[[#This Row],[Data]])</f>
        <v>2025</v>
      </c>
      <c r="AA35" s="35">
        <f>Tabela11[[#This Row],[Capital investido]]-A34</f>
        <v>-8.9800000000001035</v>
      </c>
    </row>
    <row r="36" spans="1:49" x14ac:dyDescent="0.25">
      <c r="A36" s="34">
        <v>103.70438256374899</v>
      </c>
      <c r="B36" s="35">
        <v>46.732574790239887</v>
      </c>
      <c r="C36" s="35">
        <v>-56.971807773509163</v>
      </c>
      <c r="D36" s="35">
        <v>2.1800000000000002</v>
      </c>
      <c r="E36" s="35"/>
      <c r="F36" s="35">
        <v>46.732574790239887</v>
      </c>
      <c r="G36" s="35" t="s">
        <v>86</v>
      </c>
      <c r="H36" s="35">
        <v>34.18438256374904</v>
      </c>
      <c r="I36" s="35"/>
      <c r="J36" s="35">
        <v>1.4399999999999979</v>
      </c>
      <c r="K36" s="35">
        <v>28.17819222649084</v>
      </c>
      <c r="L36" s="35">
        <v>27.089999999999989</v>
      </c>
      <c r="M36" s="35">
        <v>1.1899999999999979</v>
      </c>
      <c r="N36" s="35">
        <v>2.159999999999997</v>
      </c>
      <c r="O36" s="35">
        <v>6.4099999999999966</v>
      </c>
      <c r="P36" s="35">
        <v>0</v>
      </c>
      <c r="Q36" s="36" t="s">
        <v>86</v>
      </c>
      <c r="R36" s="36" t="s">
        <v>86</v>
      </c>
      <c r="S36" s="36" t="s">
        <v>86</v>
      </c>
      <c r="T36" s="37">
        <v>5.8415718487799858E-3</v>
      </c>
      <c r="U36" s="16" t="s">
        <v>22</v>
      </c>
      <c r="V36" s="4" t="s">
        <v>119</v>
      </c>
      <c r="W36" s="38">
        <f>IFERROR(Tabela11[[#This Row],[Lucro]]*1/Tabela11[[#This Row],[Capital total]],"")</f>
        <v>-1.2191026929123483</v>
      </c>
      <c r="X36" s="39">
        <f>Tabela11[[#This Row],[Lucro]]-C35</f>
        <v>0.26999999999999602</v>
      </c>
      <c r="Y36" s="21" t="str">
        <f>PROPER(TEXT(DATE(2024,MONTH(Tabela11[[#This Row],[Data]]),1),"mmmm"))</f>
        <v>Fevereiro</v>
      </c>
      <c r="Z36" s="21">
        <f>YEAR(Tabela11[[#This Row],[Data]])</f>
        <v>2025</v>
      </c>
      <c r="AA36" s="35">
        <f>Tabela11[[#This Row],[Capital investido]]-A35</f>
        <v>0</v>
      </c>
    </row>
    <row r="37" spans="1:49" x14ac:dyDescent="0.25">
      <c r="A37" s="34">
        <v>103.70438256374899</v>
      </c>
      <c r="B37" s="35">
        <v>34.625186207185372</v>
      </c>
      <c r="C37" s="35">
        <v>-69.079196356563685</v>
      </c>
      <c r="D37" s="35">
        <v>2.1800000000000002</v>
      </c>
      <c r="E37" s="35"/>
      <c r="F37" s="35">
        <v>34.625186207185372</v>
      </c>
      <c r="G37" s="35" t="s">
        <v>86</v>
      </c>
      <c r="H37" s="35">
        <v>34.184382563749047</v>
      </c>
      <c r="I37" s="35"/>
      <c r="J37" s="35">
        <v>1.4200000000000019</v>
      </c>
      <c r="K37" s="35">
        <v>28.060803643436309</v>
      </c>
      <c r="L37" s="35">
        <v>27.12</v>
      </c>
      <c r="M37" s="35">
        <v>1.1899999999999979</v>
      </c>
      <c r="N37" s="35">
        <v>2.159999999999997</v>
      </c>
      <c r="O37" s="35">
        <v>6.4099999999999966</v>
      </c>
      <c r="P37" s="35">
        <v>0</v>
      </c>
      <c r="Q37" s="36" t="s">
        <v>86</v>
      </c>
      <c r="R37" s="36" t="s">
        <v>86</v>
      </c>
      <c r="S37" s="36" t="s">
        <v>86</v>
      </c>
      <c r="T37" s="37">
        <v>4.3281482758981719E-3</v>
      </c>
      <c r="U37" s="16" t="s">
        <v>22</v>
      </c>
      <c r="V37" s="4" t="s">
        <v>120</v>
      </c>
      <c r="W37" s="38">
        <f>IFERROR(Tabela11[[#This Row],[Lucro]]*1/Tabela11[[#This Row],[Capital total]],"")</f>
        <v>-1.9950563137254251</v>
      </c>
      <c r="X37" s="39">
        <f>Tabela11[[#This Row],[Lucro]]-C36</f>
        <v>-12.107388583054522</v>
      </c>
      <c r="Y37" s="21" t="str">
        <f>PROPER(TEXT(DATE(2024,MONTH(Tabela11[[#This Row],[Data]]),1),"mmmm"))</f>
        <v>Fevereiro</v>
      </c>
      <c r="Z37" s="21">
        <f>YEAR(Tabela11[[#This Row],[Data]])</f>
        <v>2025</v>
      </c>
      <c r="AA37" s="35">
        <f>Tabela11[[#This Row],[Capital investido]]-A36</f>
        <v>0</v>
      </c>
    </row>
    <row r="38" spans="1:49" x14ac:dyDescent="0.25">
      <c r="A38" s="34">
        <v>103.70438256374899</v>
      </c>
      <c r="B38" s="35">
        <v>46.605186207185369</v>
      </c>
      <c r="C38" s="35">
        <v>-57.099196356563681</v>
      </c>
      <c r="D38" s="35">
        <v>2.1800000000000002</v>
      </c>
      <c r="E38" s="35"/>
      <c r="F38" s="35">
        <v>46.605186207185369</v>
      </c>
      <c r="G38" s="35" t="s">
        <v>86</v>
      </c>
      <c r="H38" s="35">
        <v>34.18438256374904</v>
      </c>
      <c r="I38" s="35"/>
      <c r="J38" s="35">
        <v>1.4200000000000019</v>
      </c>
      <c r="K38" s="35">
        <v>28.060803643436319</v>
      </c>
      <c r="L38" s="35">
        <v>27.12</v>
      </c>
      <c r="M38" s="35">
        <v>1.1899999999999979</v>
      </c>
      <c r="N38" s="35">
        <v>2.1600000000000041</v>
      </c>
      <c r="O38" s="35">
        <v>6.4099999999999966</v>
      </c>
      <c r="P38" s="35">
        <v>0</v>
      </c>
      <c r="Q38" s="36" t="s">
        <v>86</v>
      </c>
      <c r="R38" s="36" t="s">
        <v>86</v>
      </c>
      <c r="S38" s="36" t="s">
        <v>86</v>
      </c>
      <c r="T38" s="37">
        <v>5.8256482758981707E-3</v>
      </c>
      <c r="U38" s="16" t="s">
        <v>22</v>
      </c>
      <c r="V38" s="4" t="s">
        <v>121</v>
      </c>
      <c r="W38" s="38">
        <f>IFERROR(Tabela11[[#This Row],[Lucro]]*1/Tabela11[[#This Row],[Capital total]],"")</f>
        <v>-1.2251682914156106</v>
      </c>
      <c r="X38" s="39">
        <f>Tabela11[[#This Row],[Lucro]]-C37</f>
        <v>11.980000000000004</v>
      </c>
      <c r="Y38" s="21" t="str">
        <f>PROPER(TEXT(DATE(2024,MONTH(Tabela11[[#This Row],[Data]]),1),"mmmm"))</f>
        <v>Fevereiro</v>
      </c>
      <c r="Z38" s="21">
        <f>YEAR(Tabela11[[#This Row],[Data]])</f>
        <v>2025</v>
      </c>
      <c r="AA38" s="35">
        <f>Tabela11[[#This Row],[Capital investido]]-A37</f>
        <v>0</v>
      </c>
    </row>
    <row r="39" spans="1:49" x14ac:dyDescent="0.25">
      <c r="A39" s="34">
        <v>103.70438256374899</v>
      </c>
      <c r="B39" s="35">
        <v>46.605186207185369</v>
      </c>
      <c r="C39" s="35">
        <v>-57.099196356563681</v>
      </c>
      <c r="D39" s="35">
        <v>2.1800000000000002</v>
      </c>
      <c r="E39" s="35"/>
      <c r="F39" s="35">
        <v>46.605186207185369</v>
      </c>
      <c r="G39" s="35" t="s">
        <v>86</v>
      </c>
      <c r="H39" s="35">
        <v>34.18438256374904</v>
      </c>
      <c r="I39" s="35"/>
      <c r="J39" s="35">
        <v>1.4200000000000019</v>
      </c>
      <c r="K39" s="35">
        <v>28.060803643436319</v>
      </c>
      <c r="L39" s="35">
        <v>27.12</v>
      </c>
      <c r="M39" s="35">
        <v>1.1899999999999979</v>
      </c>
      <c r="N39" s="35">
        <v>2.1600000000000041</v>
      </c>
      <c r="O39" s="35">
        <v>6.4099999999999966</v>
      </c>
      <c r="P39" s="35">
        <v>0</v>
      </c>
      <c r="Q39" s="36" t="s">
        <v>86</v>
      </c>
      <c r="R39" s="36" t="s">
        <v>86</v>
      </c>
      <c r="S39" s="36" t="s">
        <v>86</v>
      </c>
      <c r="T39" s="37">
        <v>5.8256482758981707E-3</v>
      </c>
      <c r="U39" s="16" t="s">
        <v>23</v>
      </c>
      <c r="V39" s="4" t="s">
        <v>122</v>
      </c>
      <c r="W39" s="38">
        <f>IFERROR(Tabela11[[#This Row],[Lucro]]*1/Tabela11[[#This Row],[Capital total]],"")</f>
        <v>-1.2251682914156106</v>
      </c>
      <c r="X39" s="39">
        <f>Tabela11[[#This Row],[Lucro]]-C38</f>
        <v>0</v>
      </c>
      <c r="Y39" s="21" t="str">
        <f>PROPER(TEXT(DATE(2024,MONTH(Tabela11[[#This Row],[Data]]),1),"mmmm"))</f>
        <v>Fevereiro</v>
      </c>
      <c r="Z39" s="21">
        <f>YEAR(Tabela11[[#This Row],[Data]])</f>
        <v>2025</v>
      </c>
      <c r="AA39" s="35">
        <f>Tabela11[[#This Row],[Capital investido]]-A38</f>
        <v>0</v>
      </c>
    </row>
    <row r="40" spans="1:49" x14ac:dyDescent="0.25">
      <c r="A40" s="34">
        <v>103.70438256374899</v>
      </c>
      <c r="B40" s="35">
        <v>46.924006054847368</v>
      </c>
      <c r="C40" s="35">
        <v>-56.780376508901682</v>
      </c>
      <c r="D40" s="35">
        <v>2.1800000000000002</v>
      </c>
      <c r="E40" s="35"/>
      <c r="F40" s="35">
        <v>46.924006054847368</v>
      </c>
      <c r="G40" s="35" t="s">
        <v>86</v>
      </c>
      <c r="H40" s="35">
        <v>34.18438256374904</v>
      </c>
      <c r="I40" s="35"/>
      <c r="J40" s="35">
        <v>1.399999999999999</v>
      </c>
      <c r="K40" s="35">
        <v>28.219623491098321</v>
      </c>
      <c r="L40" s="35">
        <v>27.3</v>
      </c>
      <c r="M40" s="35">
        <v>1.1899999999999979</v>
      </c>
      <c r="N40" s="35">
        <v>2.159999999999997</v>
      </c>
      <c r="O40" s="35">
        <v>6.4099999999999966</v>
      </c>
      <c r="P40" s="35">
        <v>0</v>
      </c>
      <c r="Q40" s="36" t="s">
        <v>86</v>
      </c>
      <c r="R40" s="36" t="s">
        <v>86</v>
      </c>
      <c r="S40" s="36" t="s">
        <v>86</v>
      </c>
      <c r="T40" s="37">
        <v>5.8655007568559209E-3</v>
      </c>
      <c r="U40" s="16" t="s">
        <v>23</v>
      </c>
      <c r="V40" s="4" t="s">
        <v>123</v>
      </c>
      <c r="W40" s="38">
        <f>IFERROR(Tabela11[[#This Row],[Lucro]]*1/Tabela11[[#This Row],[Capital total]],"")</f>
        <v>-1.2100496373334715</v>
      </c>
      <c r="X40" s="39">
        <f>Tabela11[[#This Row],[Lucro]]-C39</f>
        <v>0.31881984766199878</v>
      </c>
      <c r="Y40" s="21" t="str">
        <f>PROPER(TEXT(DATE(2024,MONTH(Tabela11[[#This Row],[Data]]),1),"mmmm"))</f>
        <v>Fevereiro</v>
      </c>
      <c r="Z40" s="21">
        <f>YEAR(Tabela11[[#This Row],[Data]])</f>
        <v>2025</v>
      </c>
      <c r="AA40" s="35">
        <f>Tabela11[[#This Row],[Capital investido]]-A39</f>
        <v>0</v>
      </c>
    </row>
    <row r="41" spans="1:49" x14ac:dyDescent="0.25">
      <c r="A41" s="34">
        <v>115.724382563749</v>
      </c>
      <c r="B41" s="35">
        <v>59.09400605484737</v>
      </c>
      <c r="C41" s="35">
        <v>-56.630376508901684</v>
      </c>
      <c r="D41" s="35">
        <v>2.1800000000000002</v>
      </c>
      <c r="E41" s="35"/>
      <c r="F41" s="35">
        <v>59.09400605484737</v>
      </c>
      <c r="G41" s="35" t="s">
        <v>86</v>
      </c>
      <c r="H41" s="35">
        <v>34.18438256374904</v>
      </c>
      <c r="I41" s="35"/>
      <c r="J41" s="35">
        <v>12.77</v>
      </c>
      <c r="K41" s="35">
        <v>28.2196234910983</v>
      </c>
      <c r="L41" s="35">
        <v>27.3</v>
      </c>
      <c r="M41" s="35">
        <v>1.9600000000000011</v>
      </c>
      <c r="N41" s="35">
        <v>2.159999999999997</v>
      </c>
      <c r="O41" s="35">
        <v>6.4099999999999966</v>
      </c>
      <c r="P41" s="35">
        <v>0</v>
      </c>
      <c r="Q41" s="36" t="s">
        <v>86</v>
      </c>
      <c r="R41" s="36" t="s">
        <v>86</v>
      </c>
      <c r="S41" s="36" t="s">
        <v>86</v>
      </c>
      <c r="T41" s="37">
        <v>7.3867507568559209E-3</v>
      </c>
      <c r="U41" s="16" t="s">
        <v>24</v>
      </c>
      <c r="V41" s="4" t="s">
        <v>124</v>
      </c>
      <c r="W41" s="38">
        <f>IFERROR(Tabela11[[#This Row],[Lucro]]*1/Tabela11[[#This Row],[Capital total]],"")</f>
        <v>-0.95830999266390737</v>
      </c>
      <c r="X41" s="39">
        <f>Tabela11[[#This Row],[Lucro]]-C40</f>
        <v>0.14999999999999858</v>
      </c>
      <c r="Y41" s="21" t="str">
        <f>PROPER(TEXT(DATE(2024,MONTH(Tabela11[[#This Row],[Data]]),1),"mmmm"))</f>
        <v>Fevereiro</v>
      </c>
      <c r="Z41" s="21">
        <f>YEAR(Tabela11[[#This Row],[Data]])</f>
        <v>2025</v>
      </c>
      <c r="AA41" s="35">
        <f>Tabela11[[#This Row],[Capital investido]]-A40</f>
        <v>12.02000000000001</v>
      </c>
    </row>
    <row r="42" spans="1:49" x14ac:dyDescent="0.25">
      <c r="A42" s="34">
        <v>143.9208000622061</v>
      </c>
      <c r="B42" s="35">
        <v>142.4495407128984</v>
      </c>
      <c r="C42" s="35">
        <v>-1.4712593493077619</v>
      </c>
      <c r="D42" s="35">
        <v>2.1800000000000002</v>
      </c>
      <c r="E42" s="35"/>
      <c r="F42" s="35">
        <v>142.4495407128984</v>
      </c>
      <c r="G42" s="35" t="s">
        <v>86</v>
      </c>
      <c r="H42" s="35">
        <v>41.150800062206123</v>
      </c>
      <c r="I42" s="35"/>
      <c r="J42" s="35">
        <v>12.72</v>
      </c>
      <c r="K42" s="35">
        <v>38.018740650692251</v>
      </c>
      <c r="L42" s="35">
        <v>27.56999999999999</v>
      </c>
      <c r="M42" s="35">
        <v>1.960000000000008</v>
      </c>
      <c r="N42" s="35">
        <v>2.159999999999997</v>
      </c>
      <c r="O42" s="35">
        <v>6.4099999999999966</v>
      </c>
      <c r="P42" s="35">
        <v>11.28999999999999</v>
      </c>
      <c r="Q42" s="36" t="s">
        <v>86</v>
      </c>
      <c r="R42" s="36" t="s">
        <v>86</v>
      </c>
      <c r="S42" s="36" t="s">
        <v>86</v>
      </c>
      <c r="T42" s="37">
        <v>1.7806192589112299E-2</v>
      </c>
      <c r="U42" s="16" t="s">
        <v>25</v>
      </c>
      <c r="V42" s="4" t="s">
        <v>125</v>
      </c>
      <c r="W42" s="38">
        <f>IFERROR(Tabela11[[#This Row],[Lucro]]*1/Tabela11[[#This Row],[Capital total]],"")</f>
        <v>-1.0328284260831903E-2</v>
      </c>
      <c r="X42" s="39">
        <f>Tabela11[[#This Row],[Lucro]]-C41</f>
        <v>55.159117159593919</v>
      </c>
      <c r="Y42" s="21" t="str">
        <f>PROPER(TEXT(DATE(2024,MONTH(Tabela11[[#This Row],[Data]]),1),"mmmm"))</f>
        <v>Fevereiro</v>
      </c>
      <c r="Z42" s="21">
        <f>YEAR(Tabela11[[#This Row],[Data]])</f>
        <v>2025</v>
      </c>
      <c r="AA42" s="35">
        <f>Tabela11[[#This Row],[Capital investido]]-A41</f>
        <v>28.196417498457095</v>
      </c>
      <c r="AW42" s="41"/>
    </row>
    <row r="43" spans="1:49" x14ac:dyDescent="0.25">
      <c r="A43" s="34">
        <v>143.9208000622061</v>
      </c>
      <c r="B43" s="35">
        <v>142.2782286704219</v>
      </c>
      <c r="C43" s="35">
        <v>-1.6425713917842419</v>
      </c>
      <c r="D43" s="35">
        <v>2.1800000000000002</v>
      </c>
      <c r="E43" s="35"/>
      <c r="F43" s="35">
        <v>142.2782286704219</v>
      </c>
      <c r="G43" s="35" t="s">
        <v>86</v>
      </c>
      <c r="H43" s="35">
        <v>41.150800062206123</v>
      </c>
      <c r="I43" s="35"/>
      <c r="J43" s="35">
        <v>12.63</v>
      </c>
      <c r="K43" s="35">
        <v>38.217428608215783</v>
      </c>
      <c r="L43" s="35">
        <v>27.359999999999989</v>
      </c>
      <c r="M43" s="35">
        <v>1.960000000000008</v>
      </c>
      <c r="N43" s="35">
        <v>2.159999999999997</v>
      </c>
      <c r="O43" s="35">
        <v>6.4099999999999966</v>
      </c>
      <c r="P43" s="35">
        <v>11.22</v>
      </c>
      <c r="Q43" s="36" t="s">
        <v>86</v>
      </c>
      <c r="R43" s="36" t="s">
        <v>86</v>
      </c>
      <c r="S43" s="36" t="s">
        <v>86</v>
      </c>
      <c r="T43" s="37">
        <v>1.778477858380274E-2</v>
      </c>
      <c r="U43" s="16" t="s">
        <v>26</v>
      </c>
      <c r="V43" s="4" t="s">
        <v>126</v>
      </c>
      <c r="W43" s="38">
        <f>IFERROR(Tabela11[[#This Row],[Lucro]]*1/Tabela11[[#This Row],[Capital total]],"")</f>
        <v>-1.1544783816427389E-2</v>
      </c>
      <c r="X43" s="39">
        <f>Tabela11[[#This Row],[Lucro]]-C42</f>
        <v>-0.17131204247648002</v>
      </c>
      <c r="Y43" s="21" t="str">
        <f>PROPER(TEXT(DATE(2024,MONTH(Tabela11[[#This Row],[Data]]),1),"mmmm"))</f>
        <v>Fevereiro</v>
      </c>
      <c r="Z43" s="21">
        <f>YEAR(Tabela11[[#This Row],[Data]])</f>
        <v>2025</v>
      </c>
      <c r="AA43" s="35">
        <f>Tabela11[[#This Row],[Capital investido]]-A42</f>
        <v>0</v>
      </c>
    </row>
    <row r="44" spans="1:49" x14ac:dyDescent="0.25">
      <c r="A44" s="34">
        <v>143.9208000622061</v>
      </c>
      <c r="B44" s="35">
        <v>142.2782286704219</v>
      </c>
      <c r="C44" s="35">
        <v>-1.6425713917842419</v>
      </c>
      <c r="D44" s="35">
        <v>2.1800000000000002</v>
      </c>
      <c r="E44" s="35"/>
      <c r="F44" s="35">
        <v>142.2782286704219</v>
      </c>
      <c r="G44" s="35" t="s">
        <v>86</v>
      </c>
      <c r="H44" s="35">
        <v>41.150800062206123</v>
      </c>
      <c r="I44" s="35"/>
      <c r="J44" s="35">
        <v>12.63</v>
      </c>
      <c r="K44" s="35">
        <v>38.217428608215783</v>
      </c>
      <c r="L44" s="35">
        <v>27.359999999999989</v>
      </c>
      <c r="M44" s="35">
        <v>1.960000000000008</v>
      </c>
      <c r="N44" s="35">
        <v>2.159999999999997</v>
      </c>
      <c r="O44" s="35">
        <v>6.4099999999999966</v>
      </c>
      <c r="P44" s="35">
        <v>11.22</v>
      </c>
      <c r="Q44" s="36" t="s">
        <v>86</v>
      </c>
      <c r="R44" s="36" t="s">
        <v>86</v>
      </c>
      <c r="S44" s="36" t="s">
        <v>86</v>
      </c>
      <c r="T44" s="37">
        <v>1.778477858380274E-2</v>
      </c>
      <c r="U44" s="16" t="s">
        <v>27</v>
      </c>
      <c r="V44" s="4" t="s">
        <v>127</v>
      </c>
      <c r="W44" s="38">
        <f>IFERROR(Tabela11[[#This Row],[Lucro]]*1/Tabela11[[#This Row],[Capital total]],"")</f>
        <v>-1.1544783816427389E-2</v>
      </c>
      <c r="X44" s="39">
        <f>Tabela11[[#This Row],[Lucro]]-C43</f>
        <v>0</v>
      </c>
      <c r="Y44" s="21" t="str">
        <f>PROPER(TEXT(DATE(2024,MONTH(Tabela11[[#This Row],[Data]]),1),"mmmm"))</f>
        <v>Fevereiro</v>
      </c>
      <c r="Z44" s="21">
        <f>YEAR(Tabela11[[#This Row],[Data]])</f>
        <v>2025</v>
      </c>
      <c r="AA44" s="35">
        <f>Tabela11[[#This Row],[Capital investido]]-A43</f>
        <v>0</v>
      </c>
    </row>
    <row r="45" spans="1:49" x14ac:dyDescent="0.25">
      <c r="A45" s="34">
        <v>143.9208000622061</v>
      </c>
      <c r="B45" s="35">
        <v>141.69826189273209</v>
      </c>
      <c r="C45" s="35">
        <v>-2.222538169474046</v>
      </c>
      <c r="D45" s="35">
        <v>2.1800000000000002</v>
      </c>
      <c r="E45" s="35"/>
      <c r="F45" s="35">
        <v>141.69826189273209</v>
      </c>
      <c r="G45" s="35" t="s">
        <v>86</v>
      </c>
      <c r="H45" s="35">
        <v>41.150800062206088</v>
      </c>
      <c r="I45" s="35"/>
      <c r="J45" s="35">
        <v>12.240000000000011</v>
      </c>
      <c r="K45" s="35">
        <v>38.527461830525972</v>
      </c>
      <c r="L45" s="35">
        <v>27.240000000000009</v>
      </c>
      <c r="M45" s="35">
        <v>1.960000000000008</v>
      </c>
      <c r="N45" s="35">
        <v>2.159999999999997</v>
      </c>
      <c r="O45" s="35">
        <v>6.4099999999999966</v>
      </c>
      <c r="P45" s="35">
        <v>10.84</v>
      </c>
      <c r="Q45" s="36" t="s">
        <v>86</v>
      </c>
      <c r="R45" s="36" t="s">
        <v>86</v>
      </c>
      <c r="S45" s="36" t="s">
        <v>86</v>
      </c>
      <c r="T45" s="37">
        <v>1.7712282736591509E-2</v>
      </c>
      <c r="U45" s="16" t="s">
        <v>27</v>
      </c>
      <c r="V45" s="4" t="s">
        <v>128</v>
      </c>
      <c r="W45" s="38">
        <f>IFERROR(Tabela11[[#This Row],[Lucro]]*1/Tabela11[[#This Row],[Capital total]],"")</f>
        <v>-1.5685006575144472E-2</v>
      </c>
      <c r="X45" s="39">
        <f>Tabela11[[#This Row],[Lucro]]-C44</f>
        <v>-0.57996677768980409</v>
      </c>
      <c r="Y45" s="21" t="str">
        <f>PROPER(TEXT(DATE(2024,MONTH(Tabela11[[#This Row],[Data]]),1),"mmmm"))</f>
        <v>Fevereiro</v>
      </c>
      <c r="Z45" s="21">
        <f>YEAR(Tabela11[[#This Row],[Data]])</f>
        <v>2025</v>
      </c>
      <c r="AA45" s="35">
        <f>Tabela11[[#This Row],[Capital investido]]-A44</f>
        <v>0</v>
      </c>
    </row>
    <row r="46" spans="1:49" x14ac:dyDescent="0.25">
      <c r="A46" s="34">
        <v>143.96080006220609</v>
      </c>
      <c r="B46" s="35">
        <v>141.70890076697151</v>
      </c>
      <c r="C46" s="35">
        <v>-2.2518992952346149</v>
      </c>
      <c r="D46" s="35">
        <v>2.1800000000000002</v>
      </c>
      <c r="E46" s="35"/>
      <c r="F46" s="35">
        <v>141.70890076697151</v>
      </c>
      <c r="G46" s="35" t="s">
        <v>86</v>
      </c>
      <c r="H46" s="35">
        <v>41.150800062206123</v>
      </c>
      <c r="I46" s="35"/>
      <c r="J46" s="35">
        <v>12.21000000000001</v>
      </c>
      <c r="K46" s="35">
        <v>38.268100704765402</v>
      </c>
      <c r="L46" s="35">
        <v>27.539999999999988</v>
      </c>
      <c r="M46" s="35">
        <v>1.9699999999999991</v>
      </c>
      <c r="N46" s="35">
        <v>2.1800000000000068</v>
      </c>
      <c r="O46" s="35">
        <v>6.4199999999999866</v>
      </c>
      <c r="P46" s="35">
        <v>10.80000000000001</v>
      </c>
      <c r="Q46" s="36" t="s">
        <v>86</v>
      </c>
      <c r="R46" s="36" t="s">
        <v>86</v>
      </c>
      <c r="S46" s="36" t="s">
        <v>86</v>
      </c>
      <c r="T46" s="37">
        <v>1.7713612595871439E-2</v>
      </c>
      <c r="U46" s="16" t="s">
        <v>28</v>
      </c>
      <c r="V46" s="4" t="s">
        <v>129</v>
      </c>
      <c r="W46" s="38">
        <f>IFERROR(Tabela11[[#This Row],[Lucro]]*1/Tabela11[[#This Row],[Capital total]],"")</f>
        <v>-1.5891022250872411E-2</v>
      </c>
      <c r="X46" s="39">
        <f>Tabela11[[#This Row],[Lucro]]-C45</f>
        <v>-2.9361125760568818E-2</v>
      </c>
      <c r="Y46" s="21" t="str">
        <f>PROPER(TEXT(DATE(2024,MONTH(Tabela11[[#This Row],[Data]]),1),"mmmm"))</f>
        <v>Fevereiro</v>
      </c>
      <c r="Z46" s="21">
        <f>YEAR(Tabela11[[#This Row],[Data]])</f>
        <v>2025</v>
      </c>
      <c r="AA46" s="35">
        <f>Tabela11[[#This Row],[Capital investido]]-A45</f>
        <v>3.9999999999992042E-2</v>
      </c>
    </row>
    <row r="47" spans="1:49" x14ac:dyDescent="0.25">
      <c r="A47" s="34">
        <v>143.96080006220609</v>
      </c>
      <c r="B47" s="35">
        <v>141.6449464208558</v>
      </c>
      <c r="C47" s="35">
        <v>-2.3158536413502819</v>
      </c>
      <c r="D47" s="35">
        <v>2.1800000000000002</v>
      </c>
      <c r="E47" s="35"/>
      <c r="F47" s="35">
        <v>141.6449464208558</v>
      </c>
      <c r="G47" s="35" t="s">
        <v>86</v>
      </c>
      <c r="H47" s="35">
        <v>41.150800062206123</v>
      </c>
      <c r="I47" s="35"/>
      <c r="J47" s="35">
        <v>12.03</v>
      </c>
      <c r="K47" s="35">
        <v>38.694146358649732</v>
      </c>
      <c r="L47" s="35">
        <v>27.38999999999999</v>
      </c>
      <c r="M47" s="35">
        <v>1.9699999999999991</v>
      </c>
      <c r="N47" s="35">
        <v>2.1800000000000068</v>
      </c>
      <c r="O47" s="35">
        <v>6.4199999999999866</v>
      </c>
      <c r="P47" s="35">
        <v>10.63999999999999</v>
      </c>
      <c r="Q47" s="36" t="s">
        <v>86</v>
      </c>
      <c r="R47" s="36" t="s">
        <v>86</v>
      </c>
      <c r="S47" s="36" t="s">
        <v>86</v>
      </c>
      <c r="T47" s="37">
        <v>1.770561830260698E-2</v>
      </c>
      <c r="U47" s="16" t="s">
        <v>29</v>
      </c>
      <c r="V47" s="4" t="s">
        <v>130</v>
      </c>
      <c r="W47" s="38">
        <f>IFERROR(Tabela11[[#This Row],[Lucro]]*1/Tabela11[[#This Row],[Capital total]],"")</f>
        <v>-1.6349708901505122E-2</v>
      </c>
      <c r="X47" s="39">
        <f>Tabela11[[#This Row],[Lucro]]-C46</f>
        <v>-6.3954346115667082E-2</v>
      </c>
      <c r="Y47" s="21" t="str">
        <f>PROPER(TEXT(DATE(2024,MONTH(Tabela11[[#This Row],[Data]]),1),"mmmm"))</f>
        <v>Fevereiro</v>
      </c>
      <c r="Z47" s="21">
        <f>YEAR(Tabela11[[#This Row],[Data]])</f>
        <v>2025</v>
      </c>
      <c r="AA47" s="35">
        <f>Tabela11[[#This Row],[Capital investido]]-A46</f>
        <v>0</v>
      </c>
    </row>
    <row r="48" spans="1:49" x14ac:dyDescent="0.25">
      <c r="A48" s="34">
        <v>143.96080006220609</v>
      </c>
      <c r="B48" s="35">
        <v>141.6096714587643</v>
      </c>
      <c r="C48" s="35">
        <v>-2.3511286034418348</v>
      </c>
      <c r="D48" s="35">
        <v>2.1800000000000002</v>
      </c>
      <c r="E48" s="35"/>
      <c r="F48" s="35">
        <v>141.6096714587643</v>
      </c>
      <c r="G48" s="35" t="s">
        <v>86</v>
      </c>
      <c r="H48" s="35">
        <v>41.150800062206123</v>
      </c>
      <c r="I48" s="35"/>
      <c r="J48" s="35">
        <v>11.84</v>
      </c>
      <c r="K48" s="35">
        <v>39.238871396558181</v>
      </c>
      <c r="L48" s="35">
        <v>27.240000000000009</v>
      </c>
      <c r="M48" s="35">
        <v>1.9699999999999991</v>
      </c>
      <c r="N48" s="35">
        <v>2.1800000000000068</v>
      </c>
      <c r="O48" s="35">
        <v>6.4199999999999866</v>
      </c>
      <c r="P48" s="35">
        <v>10.400000000000009</v>
      </c>
      <c r="Q48" s="36" t="s">
        <v>86</v>
      </c>
      <c r="R48" s="36" t="s">
        <v>86</v>
      </c>
      <c r="S48" s="36" t="s">
        <v>86</v>
      </c>
      <c r="T48" s="37">
        <v>1.7701208932345541E-2</v>
      </c>
      <c r="U48" s="16" t="s">
        <v>30</v>
      </c>
      <c r="V48" s="4" t="s">
        <v>131</v>
      </c>
      <c r="W48" s="38">
        <f>IFERROR(Tabela11[[#This Row],[Lucro]]*1/Tabela11[[#This Row],[Capital total]],"")</f>
        <v>-1.6602881563258669E-2</v>
      </c>
      <c r="X48" s="39">
        <f>Tabela11[[#This Row],[Lucro]]-C47</f>
        <v>-3.5274962091552897E-2</v>
      </c>
      <c r="Y48" s="21" t="str">
        <f>PROPER(TEXT(DATE(2024,MONTH(Tabela11[[#This Row],[Data]]),1),"mmmm"))</f>
        <v>Fevereiro</v>
      </c>
      <c r="Z48" s="21">
        <f>YEAR(Tabela11[[#This Row],[Data]])</f>
        <v>2025</v>
      </c>
      <c r="AA48" s="35">
        <f>Tabela11[[#This Row],[Capital investido]]-A47</f>
        <v>0</v>
      </c>
    </row>
    <row r="49" spans="1:27" x14ac:dyDescent="0.25">
      <c r="A49" s="34">
        <v>144.12080006220609</v>
      </c>
      <c r="B49" s="35">
        <v>140.4196714587643</v>
      </c>
      <c r="C49" s="35">
        <v>-3.7011286034418438</v>
      </c>
      <c r="D49" s="35">
        <v>2.1800000000000002</v>
      </c>
      <c r="E49" s="35"/>
      <c r="F49" s="35">
        <v>140.4196714587643</v>
      </c>
      <c r="G49" s="35">
        <v>1.5276249833333331</v>
      </c>
      <c r="H49" s="35">
        <v>41.300800062206093</v>
      </c>
      <c r="I49" s="35"/>
      <c r="J49" s="35">
        <v>11.84</v>
      </c>
      <c r="K49" s="35">
        <v>39.238871396558181</v>
      </c>
      <c r="L49" s="35">
        <v>27.240000000000009</v>
      </c>
      <c r="M49" s="35">
        <v>1.9699999999999991</v>
      </c>
      <c r="N49" s="35">
        <v>2.1800000000000068</v>
      </c>
      <c r="O49" s="35">
        <v>6.4300000000000068</v>
      </c>
      <c r="P49" s="35">
        <v>10.400000000000009</v>
      </c>
      <c r="Q49" s="36" t="s">
        <v>86</v>
      </c>
      <c r="R49" s="36" t="s">
        <v>86</v>
      </c>
      <c r="S49" s="36" t="s">
        <v>86</v>
      </c>
      <c r="T49" s="37">
        <v>1.7552458932345541E-2</v>
      </c>
      <c r="U49" s="16" t="s">
        <v>132</v>
      </c>
      <c r="V49" s="4" t="s">
        <v>133</v>
      </c>
      <c r="W49" s="38">
        <f>IFERROR(Tabela11[[#This Row],[Lucro]]*1/Tabela11[[#This Row],[Capital total]],"")</f>
        <v>-2.6357621870157409E-2</v>
      </c>
      <c r="X49" s="39">
        <f>Tabela11[[#This Row],[Lucro]]-C48</f>
        <v>-1.350000000000009</v>
      </c>
      <c r="Y49" s="21" t="str">
        <f>PROPER(TEXT(DATE(2024,MONTH(Tabela11[[#This Row],[Data]]),1),"mmmm"))</f>
        <v>Março</v>
      </c>
      <c r="Z49" s="21">
        <f>YEAR(Tabela11[[#This Row],[Data]])</f>
        <v>2025</v>
      </c>
      <c r="AA49" s="35">
        <f>Tabela11[[#This Row],[Capital investido]]-A48</f>
        <v>0.15999999999999659</v>
      </c>
    </row>
    <row r="50" spans="1:27" x14ac:dyDescent="0.25">
      <c r="A50" s="34">
        <v>144.12080006220609</v>
      </c>
      <c r="B50" s="35">
        <v>49.956276682018533</v>
      </c>
      <c r="C50" s="35">
        <v>-94.164523380187589</v>
      </c>
      <c r="D50" s="35">
        <v>2.1800000000000002</v>
      </c>
      <c r="E50" s="35"/>
      <c r="F50" s="35">
        <v>49.956276682018533</v>
      </c>
      <c r="G50" s="35">
        <v>89.699268316666675</v>
      </c>
      <c r="H50" s="35">
        <v>41.300800062206108</v>
      </c>
      <c r="I50" s="35"/>
      <c r="J50" s="35">
        <v>11.73</v>
      </c>
      <c r="K50" s="35">
        <v>38.665476619812438</v>
      </c>
      <c r="L50" s="35">
        <v>27</v>
      </c>
      <c r="M50" s="35">
        <v>1.9699999999999991</v>
      </c>
      <c r="N50" s="35">
        <v>2.1800000000000002</v>
      </c>
      <c r="O50" s="35">
        <v>6.43</v>
      </c>
      <c r="P50" s="35">
        <v>10.32</v>
      </c>
      <c r="Q50" s="36" t="s">
        <v>86</v>
      </c>
      <c r="R50" s="36" t="s">
        <v>86</v>
      </c>
      <c r="S50" s="36" t="s">
        <v>86</v>
      </c>
      <c r="T50" s="37">
        <v>6.2445345852523166E-3</v>
      </c>
      <c r="U50" s="16" t="s">
        <v>134</v>
      </c>
      <c r="V50" s="4" t="s">
        <v>135</v>
      </c>
      <c r="W50" s="38">
        <f>IFERROR(Tabela11[[#This Row],[Lucro]]*1/Tabela11[[#This Row],[Capital total]],"")</f>
        <v>-1.8849387831595854</v>
      </c>
      <c r="X50" s="39">
        <f>Tabela11[[#This Row],[Lucro]]-C49</f>
        <v>-90.463394776745744</v>
      </c>
      <c r="Y50" s="21" t="str">
        <f>PROPER(TEXT(DATE(2024,MONTH(Tabela11[[#This Row],[Data]]),1),"mmmm"))</f>
        <v>Março</v>
      </c>
      <c r="Z50" s="21">
        <f>YEAR(Tabela11[[#This Row],[Data]])</f>
        <v>2025</v>
      </c>
      <c r="AA50" s="35">
        <f>Tabela11[[#This Row],[Capital investido]]-A49</f>
        <v>0</v>
      </c>
    </row>
    <row r="51" spans="1:27" x14ac:dyDescent="0.25">
      <c r="A51" s="34">
        <v>144.12080006220609</v>
      </c>
      <c r="B51" s="35">
        <v>50.342948349893177</v>
      </c>
      <c r="C51" s="35">
        <v>-93.777851712312938</v>
      </c>
      <c r="D51" s="35">
        <v>2.1800000000000002</v>
      </c>
      <c r="E51" s="35"/>
      <c r="F51" s="35">
        <v>50.342948349893177</v>
      </c>
      <c r="G51" s="35">
        <v>89.699268316666675</v>
      </c>
      <c r="H51" s="35">
        <v>41.300800062206108</v>
      </c>
      <c r="I51" s="35"/>
      <c r="J51" s="35">
        <v>11.92</v>
      </c>
      <c r="K51" s="35">
        <v>38.712148287687093</v>
      </c>
      <c r="L51" s="35">
        <v>26.97</v>
      </c>
      <c r="M51" s="35">
        <v>1.9699999999999991</v>
      </c>
      <c r="N51" s="35">
        <v>2.1800000000000002</v>
      </c>
      <c r="O51" s="35">
        <v>6.43</v>
      </c>
      <c r="P51" s="35">
        <v>10.5</v>
      </c>
      <c r="Q51" s="36" t="s">
        <v>86</v>
      </c>
      <c r="R51" s="36" t="s">
        <v>86</v>
      </c>
      <c r="S51" s="36" t="s">
        <v>86</v>
      </c>
      <c r="T51" s="37">
        <v>6.2928685437366469E-3</v>
      </c>
      <c r="U51" s="16" t="s">
        <v>134</v>
      </c>
      <c r="V51" s="4" t="s">
        <v>136</v>
      </c>
      <c r="W51" s="38">
        <f>IFERROR(Tabela11[[#This Row],[Lucro]]*1/Tabela11[[#This Row],[Capital total]],"")</f>
        <v>-1.862780285742083</v>
      </c>
      <c r="X51" s="39">
        <f>Tabela11[[#This Row],[Lucro]]-C50</f>
        <v>0.38667166787465135</v>
      </c>
      <c r="Y51" s="21" t="str">
        <f>PROPER(TEXT(DATE(2024,MONTH(Tabela11[[#This Row],[Data]]),1),"mmmm"))</f>
        <v>Março</v>
      </c>
      <c r="Z51" s="21">
        <f>YEAR(Tabela11[[#This Row],[Data]])</f>
        <v>2025</v>
      </c>
      <c r="AA51" s="35">
        <f>Tabela11[[#This Row],[Capital investido]]-A50</f>
        <v>0</v>
      </c>
    </row>
    <row r="52" spans="1:27" x14ac:dyDescent="0.25">
      <c r="A52" s="34">
        <v>144.12080006220609</v>
      </c>
      <c r="B52" s="35">
        <v>221.26091812830779</v>
      </c>
      <c r="C52" s="35">
        <v>77.140118066101707</v>
      </c>
      <c r="D52" s="35">
        <v>2.1800000000000002</v>
      </c>
      <c r="E52" s="35"/>
      <c r="F52" s="35">
        <v>221.26091812830779</v>
      </c>
      <c r="G52" s="35">
        <v>0</v>
      </c>
      <c r="H52" s="35">
        <v>41.300800062206122</v>
      </c>
      <c r="I52" s="35"/>
      <c r="J52" s="35">
        <v>12.03999999999999</v>
      </c>
      <c r="K52" s="35">
        <v>38.43011806610167</v>
      </c>
      <c r="L52" s="35">
        <v>27.06</v>
      </c>
      <c r="M52" s="35">
        <v>1.9699999999999991</v>
      </c>
      <c r="N52" s="35">
        <v>2.1800000000000068</v>
      </c>
      <c r="O52" s="35">
        <v>6.4300000000000068</v>
      </c>
      <c r="P52" s="35">
        <v>10.63999999999999</v>
      </c>
      <c r="Q52" s="36" t="s">
        <v>86</v>
      </c>
      <c r="R52" s="36" t="s">
        <v>86</v>
      </c>
      <c r="S52" s="36" t="s">
        <v>86</v>
      </c>
      <c r="T52" s="37">
        <v>2.7657614766038469E-2</v>
      </c>
      <c r="U52" s="16" t="s">
        <v>137</v>
      </c>
      <c r="V52" s="4" t="s">
        <v>138</v>
      </c>
      <c r="W52" s="38">
        <f>IFERROR(Tabela11[[#This Row],[Lucro]]*1/Tabela11[[#This Row],[Capital total]],"")</f>
        <v>0.34863869642522521</v>
      </c>
      <c r="X52" s="39">
        <f>Tabela11[[#This Row],[Lucro]]-C51</f>
        <v>170.91796977841466</v>
      </c>
      <c r="Y52" s="21" t="str">
        <f>PROPER(TEXT(DATE(2024,MONTH(Tabela11[[#This Row],[Data]]),1),"mmmm"))</f>
        <v>Março</v>
      </c>
      <c r="Z52" s="21">
        <f>YEAR(Tabela11[[#This Row],[Data]])</f>
        <v>2025</v>
      </c>
      <c r="AA52" s="35">
        <f>Tabela11[[#This Row],[Capital investido]]-A51</f>
        <v>0</v>
      </c>
    </row>
    <row r="53" spans="1:27" x14ac:dyDescent="0.25">
      <c r="A53" s="34">
        <v>261.70818016554722</v>
      </c>
      <c r="B53" s="35">
        <v>259.24962701680488</v>
      </c>
      <c r="C53" s="35">
        <v>-2.4585531487422321</v>
      </c>
      <c r="D53" s="35">
        <v>2.1800000000000002</v>
      </c>
      <c r="E53" s="35"/>
      <c r="F53" s="35">
        <v>259.24962701680488</v>
      </c>
      <c r="G53" s="35">
        <v>0</v>
      </c>
      <c r="H53" s="35">
        <v>65.678180165547133</v>
      </c>
      <c r="I53" s="35"/>
      <c r="J53" s="35">
        <v>46.79000000000002</v>
      </c>
      <c r="K53" s="35">
        <v>57.861446851257767</v>
      </c>
      <c r="L53" s="35">
        <v>45.25</v>
      </c>
      <c r="M53" s="35">
        <v>1.9700000000000271</v>
      </c>
      <c r="N53" s="35">
        <v>2.1800000000000068</v>
      </c>
      <c r="O53" s="35">
        <v>6.4300000000000068</v>
      </c>
      <c r="P53" s="35">
        <v>10.69999999999999</v>
      </c>
      <c r="Q53" s="36" t="s">
        <v>86</v>
      </c>
      <c r="R53" s="36" t="s">
        <v>86</v>
      </c>
      <c r="S53" s="36" t="s">
        <v>86</v>
      </c>
      <c r="T53" s="37">
        <v>3.2406203377100609E-2</v>
      </c>
      <c r="U53" s="16" t="s">
        <v>139</v>
      </c>
      <c r="V53" s="4" t="s">
        <v>140</v>
      </c>
      <c r="W53" s="38">
        <f>IFERROR(Tabela11[[#This Row],[Lucro]]*1/Tabela11[[#This Row],[Capital total]],"")</f>
        <v>-9.4833430506068416E-3</v>
      </c>
      <c r="X53" s="39">
        <f>Tabela11[[#This Row],[Lucro]]-C52</f>
        <v>-79.598671214843932</v>
      </c>
      <c r="Y53" s="21" t="str">
        <f>PROPER(TEXT(DATE(2024,MONTH(Tabela11[[#This Row],[Data]]),1),"mmmm"))</f>
        <v>Março</v>
      </c>
      <c r="Z53" s="21">
        <f>YEAR(Tabela11[[#This Row],[Data]])</f>
        <v>2025</v>
      </c>
      <c r="AA53" s="35">
        <f>Tabela11[[#This Row],[Capital investido]]-A52</f>
        <v>117.58738010334113</v>
      </c>
    </row>
    <row r="54" spans="1:27" x14ac:dyDescent="0.25">
      <c r="A54" s="34">
        <v>261.70818016554722</v>
      </c>
      <c r="B54" s="35">
        <v>248.24962701680491</v>
      </c>
      <c r="C54" s="35">
        <v>-13.458553148742229</v>
      </c>
      <c r="D54" s="35">
        <v>2.1800000000000002</v>
      </c>
      <c r="E54" s="35"/>
      <c r="F54" s="35">
        <v>248.24962701680491</v>
      </c>
      <c r="G54" s="35">
        <v>11.28408233333333</v>
      </c>
      <c r="H54" s="35">
        <v>65.678180165547133</v>
      </c>
      <c r="I54" s="35"/>
      <c r="J54" s="35">
        <v>46.79000000000002</v>
      </c>
      <c r="K54" s="35">
        <v>57.861446851257767</v>
      </c>
      <c r="L54" s="35">
        <v>45.25</v>
      </c>
      <c r="M54" s="35">
        <v>1.9699999999999991</v>
      </c>
      <c r="N54" s="35">
        <v>2.1800000000000068</v>
      </c>
      <c r="O54" s="35">
        <v>6.4300000000000068</v>
      </c>
      <c r="P54" s="35">
        <v>10.69999999999999</v>
      </c>
      <c r="Q54" s="36" t="s">
        <v>86</v>
      </c>
      <c r="R54" s="36" t="s">
        <v>86</v>
      </c>
      <c r="S54" s="36" t="s">
        <v>86</v>
      </c>
      <c r="T54" s="37">
        <v>3.1031203377100611E-2</v>
      </c>
      <c r="U54" s="16" t="s">
        <v>141</v>
      </c>
      <c r="V54" s="4" t="s">
        <v>142</v>
      </c>
      <c r="W54" s="38">
        <f>IFERROR(Tabela11[[#This Row],[Lucro]]*1/Tabela11[[#This Row],[Capital total]],"")</f>
        <v>-5.4213790008357882E-2</v>
      </c>
      <c r="X54" s="39">
        <f>Tabela11[[#This Row],[Lucro]]-C53</f>
        <v>-10.999999999999996</v>
      </c>
      <c r="Y54" s="21" t="str">
        <f>PROPER(TEXT(DATE(2024,MONTH(Tabela11[[#This Row],[Data]]),1),"mmmm"))</f>
        <v>Março</v>
      </c>
      <c r="Z54" s="21">
        <f>YEAR(Tabela11[[#This Row],[Data]])</f>
        <v>2025</v>
      </c>
      <c r="AA54" s="35">
        <f>Tabela11[[#This Row],[Capital investido]]-A53</f>
        <v>0</v>
      </c>
    </row>
    <row r="55" spans="1:27" x14ac:dyDescent="0.25">
      <c r="A55" s="42">
        <v>261.70818016554722</v>
      </c>
      <c r="B55" s="43">
        <v>248.28062029275591</v>
      </c>
      <c r="C55" s="43">
        <v>-13.427559872791219</v>
      </c>
      <c r="D55" s="43">
        <v>3.43</v>
      </c>
      <c r="E55" s="43"/>
      <c r="F55" s="43">
        <v>248.28062029275591</v>
      </c>
      <c r="G55" s="44" t="s">
        <v>86</v>
      </c>
      <c r="H55" s="43">
        <v>65.678180165547133</v>
      </c>
      <c r="I55" s="43"/>
      <c r="J55" s="43">
        <v>46.79000000000002</v>
      </c>
      <c r="K55" s="43">
        <v>57.892440127208772</v>
      </c>
      <c r="L55" s="43">
        <v>45.25</v>
      </c>
      <c r="M55" s="43">
        <v>1.9699999999999991</v>
      </c>
      <c r="N55" s="43">
        <v>2.1800000000000068</v>
      </c>
      <c r="O55" s="43">
        <v>6.4300000000000068</v>
      </c>
      <c r="P55" s="43">
        <v>10.69999999999999</v>
      </c>
      <c r="Q55" s="43">
        <v>21</v>
      </c>
      <c r="R55" s="36" t="s">
        <v>86</v>
      </c>
      <c r="S55" s="36" t="s">
        <v>86</v>
      </c>
      <c r="T55" s="37">
        <v>3.1035077536594489E-2</v>
      </c>
      <c r="U55" s="17" t="s">
        <v>143</v>
      </c>
      <c r="V55" s="5" t="s">
        <v>144</v>
      </c>
      <c r="W55" s="45">
        <f>IFERROR(Tabela11[[#This Row],[Lucro]]*1/Tabela11[[#This Row],[Capital total]],"")</f>
        <v>-5.4082190776542839E-2</v>
      </c>
      <c r="X55" s="39">
        <f>Tabela11[[#This Row],[Lucro]]-C54</f>
        <v>3.0993275951010091E-2</v>
      </c>
      <c r="Y55" s="21" t="str">
        <f>PROPER(TEXT(DATE(2024,MONTH(Tabela11[[#This Row],[Data]]),1),"mmmm"))</f>
        <v>Março</v>
      </c>
      <c r="Z55" s="21">
        <f>YEAR(Tabela11[[#This Row],[Data]])</f>
        <v>2025</v>
      </c>
      <c r="AA55" s="35">
        <f>Tabela11[[#This Row],[Capital investido]]-A54</f>
        <v>0</v>
      </c>
    </row>
    <row r="56" spans="1:27" x14ac:dyDescent="0.25">
      <c r="A56" s="42">
        <v>261.70818016554722</v>
      </c>
      <c r="B56" s="43">
        <v>248.08347865391761</v>
      </c>
      <c r="C56" s="43">
        <v>-13.62470151162954</v>
      </c>
      <c r="D56" s="43">
        <v>3.43</v>
      </c>
      <c r="E56" s="43"/>
      <c r="F56" s="43">
        <v>248.08347865391761</v>
      </c>
      <c r="G56" s="44" t="s">
        <v>86</v>
      </c>
      <c r="H56" s="43">
        <v>65.678180165547133</v>
      </c>
      <c r="I56" s="43"/>
      <c r="J56" s="43">
        <v>46.480000000000018</v>
      </c>
      <c r="K56" s="43">
        <v>58.545298488370463</v>
      </c>
      <c r="L56" s="43">
        <v>45.199999999999989</v>
      </c>
      <c r="M56" s="43">
        <v>1.9699999999999991</v>
      </c>
      <c r="N56" s="43">
        <v>2.1800000000000068</v>
      </c>
      <c r="O56" s="43">
        <v>6.4300000000000068</v>
      </c>
      <c r="P56" s="43">
        <v>10.470000000000031</v>
      </c>
      <c r="Q56" s="43">
        <v>20.74</v>
      </c>
      <c r="R56" s="36" t="s">
        <v>86</v>
      </c>
      <c r="S56" s="36" t="s">
        <v>86</v>
      </c>
      <c r="T56" s="37">
        <v>3.1010434831739701E-2</v>
      </c>
      <c r="U56" s="17" t="s">
        <v>145</v>
      </c>
      <c r="V56" s="5" t="s">
        <v>146</v>
      </c>
      <c r="W56" s="45">
        <f>IFERROR(Tabela11[[#This Row],[Lucro]]*1/Tabela11[[#This Row],[Capital total]],"")</f>
        <v>-5.4919826122868609E-2</v>
      </c>
      <c r="X56" s="39">
        <f>Tabela11[[#This Row],[Lucro]]-C55</f>
        <v>-0.19714163883832114</v>
      </c>
      <c r="Y56" s="21" t="str">
        <f>PROPER(TEXT(DATE(2024,MONTH(Tabela11[[#This Row],[Data]]),1),"mmmm"))</f>
        <v>Março</v>
      </c>
      <c r="Z56" s="21">
        <f>YEAR(Tabela11[[#This Row],[Data]])</f>
        <v>2025</v>
      </c>
      <c r="AA56" s="35">
        <f>Tabela11[[#This Row],[Capital investido]]-A55</f>
        <v>0</v>
      </c>
    </row>
    <row r="57" spans="1:27" x14ac:dyDescent="0.25">
      <c r="A57" s="42">
        <v>261.70818016554722</v>
      </c>
      <c r="B57" s="43">
        <v>246.94257430893711</v>
      </c>
      <c r="C57" s="43">
        <v>-14.76560585661009</v>
      </c>
      <c r="D57" s="43">
        <v>3.43</v>
      </c>
      <c r="E57" s="43"/>
      <c r="F57" s="43">
        <v>246.94257430893711</v>
      </c>
      <c r="G57" s="44" t="s">
        <v>86</v>
      </c>
      <c r="H57" s="43">
        <v>65.678180165547133</v>
      </c>
      <c r="I57" s="43"/>
      <c r="J57" s="43">
        <v>45.949999999999989</v>
      </c>
      <c r="K57" s="43">
        <v>58.104394143389868</v>
      </c>
      <c r="L57" s="43">
        <v>45.199999999999989</v>
      </c>
      <c r="M57" s="43">
        <v>1.9699999999999991</v>
      </c>
      <c r="N57" s="43">
        <v>2.1800000000000068</v>
      </c>
      <c r="O57" s="43">
        <v>6.4300000000000104</v>
      </c>
      <c r="P57" s="43">
        <v>10.399999999999981</v>
      </c>
      <c r="Q57" s="43">
        <v>20.64</v>
      </c>
      <c r="R57" s="36" t="s">
        <v>86</v>
      </c>
      <c r="S57" s="36" t="s">
        <v>86</v>
      </c>
      <c r="T57" s="37">
        <v>3.086782178861714E-2</v>
      </c>
      <c r="U57" s="17" t="s">
        <v>147</v>
      </c>
      <c r="V57" s="5" t="s">
        <v>148</v>
      </c>
      <c r="W57" s="45">
        <f>IFERROR(Tabela11[[#This Row],[Lucro]]*1/Tabela11[[#This Row],[Capital total]],"")</f>
        <v>-5.9793682389240842E-2</v>
      </c>
      <c r="X57" s="39">
        <f>Tabela11[[#This Row],[Lucro]]-C56</f>
        <v>-1.1409043449805498</v>
      </c>
      <c r="Y57" s="21" t="str">
        <f>PROPER(TEXT(DATE(2024,MONTH(Tabela11[[#This Row],[Data]]),1),"mmmm"))</f>
        <v>Março</v>
      </c>
      <c r="Z57" s="21">
        <f>YEAR(Tabela11[[#This Row],[Data]])</f>
        <v>2025</v>
      </c>
      <c r="AA57" s="35">
        <f>Tabela11[[#This Row],[Capital investido]]-A56</f>
        <v>0</v>
      </c>
    </row>
    <row r="58" spans="1:27" x14ac:dyDescent="0.25">
      <c r="A58" s="42">
        <v>276.59818016554709</v>
      </c>
      <c r="B58" s="43">
        <v>261.92457821322353</v>
      </c>
      <c r="C58" s="43">
        <v>-14.67360195232359</v>
      </c>
      <c r="D58" s="43">
        <v>3.43</v>
      </c>
      <c r="E58" s="43"/>
      <c r="F58" s="43">
        <v>261.92457821322353</v>
      </c>
      <c r="G58" s="44" t="s">
        <v>86</v>
      </c>
      <c r="H58" s="43">
        <v>65.728180165547144</v>
      </c>
      <c r="I58" s="43"/>
      <c r="J58" s="43">
        <v>45.949999999999989</v>
      </c>
      <c r="K58" s="43">
        <v>58.086398047676433</v>
      </c>
      <c r="L58" s="43">
        <v>45.199999999999989</v>
      </c>
      <c r="M58" s="43">
        <v>1.9700000000000271</v>
      </c>
      <c r="N58" s="43">
        <v>2.1800000000000068</v>
      </c>
      <c r="O58" s="43">
        <v>6.4399999999999977</v>
      </c>
      <c r="P58" s="43">
        <v>10.399999999999981</v>
      </c>
      <c r="Q58" s="43">
        <v>20.64</v>
      </c>
      <c r="R58" s="36" t="s">
        <v>86</v>
      </c>
      <c r="S58" s="36" t="s">
        <v>86</v>
      </c>
      <c r="T58" s="37">
        <v>3.2740572276652939E-2</v>
      </c>
      <c r="U58" s="17" t="s">
        <v>147</v>
      </c>
      <c r="V58" s="5" t="s">
        <v>149</v>
      </c>
      <c r="W58" s="45">
        <f>IFERROR(Tabela11[[#This Row],[Lucro]]*1/Tabela11[[#This Row],[Capital total]],"")</f>
        <v>-5.6022241411717882E-2</v>
      </c>
      <c r="X58" s="39">
        <f>Tabela11[[#This Row],[Lucro]]-C57</f>
        <v>9.200390428649996E-2</v>
      </c>
      <c r="Y58" s="21" t="str">
        <f>PROPER(TEXT(DATE(2024,MONTH(Tabela11[[#This Row],[Data]]),1),"mmmm"))</f>
        <v>Março</v>
      </c>
      <c r="Z58" s="21">
        <f>YEAR(Tabela11[[#This Row],[Data]])</f>
        <v>2025</v>
      </c>
      <c r="AA58" s="35">
        <f>Tabela11[[#This Row],[Capital investido]]-A57</f>
        <v>14.889999999999873</v>
      </c>
    </row>
    <row r="59" spans="1:27" x14ac:dyDescent="0.25">
      <c r="A59" s="42">
        <v>276.59818016554709</v>
      </c>
      <c r="B59" s="43">
        <v>262.08460207275209</v>
      </c>
      <c r="C59" s="43">
        <v>-14.51357809279493</v>
      </c>
      <c r="D59" s="43">
        <v>3.43</v>
      </c>
      <c r="E59" s="43"/>
      <c r="F59" s="43">
        <v>262.08460207275209</v>
      </c>
      <c r="G59" s="44" t="s">
        <v>86</v>
      </c>
      <c r="H59" s="43">
        <v>65.728180165547144</v>
      </c>
      <c r="I59" s="43"/>
      <c r="J59" s="43">
        <v>46.06</v>
      </c>
      <c r="K59" s="43">
        <v>57.976421907205072</v>
      </c>
      <c r="L59" s="43">
        <v>45.199999999999989</v>
      </c>
      <c r="M59" s="43">
        <v>1.9700000000000271</v>
      </c>
      <c r="N59" s="43">
        <v>2.1800000000000068</v>
      </c>
      <c r="O59" s="43">
        <v>6.4399999999999977</v>
      </c>
      <c r="P59" s="43">
        <v>10.5</v>
      </c>
      <c r="Q59" s="43">
        <v>20.7</v>
      </c>
      <c r="R59" s="36" t="s">
        <v>86</v>
      </c>
      <c r="S59" s="36" t="s">
        <v>86</v>
      </c>
      <c r="T59" s="37">
        <v>3.276057525909401E-2</v>
      </c>
      <c r="U59" s="17" t="s">
        <v>150</v>
      </c>
      <c r="V59" s="5" t="s">
        <v>151</v>
      </c>
      <c r="W59" s="45">
        <f>IFERROR(Tabela11[[#This Row],[Lucro]]*1/Tabela11[[#This Row],[Capital total]],"")</f>
        <v>-5.5377454371646387E-2</v>
      </c>
      <c r="X59" s="39">
        <f>Tabela11[[#This Row],[Lucro]]-C58</f>
        <v>0.16002385952866049</v>
      </c>
      <c r="Y59" s="21" t="str">
        <f>PROPER(TEXT(DATE(2024,MONTH(Tabela11[[#This Row],[Data]]),1),"mmmm"))</f>
        <v>Março</v>
      </c>
      <c r="Z59" s="21">
        <f>YEAR(Tabela11[[#This Row],[Data]])</f>
        <v>2025</v>
      </c>
      <c r="AA59" s="35">
        <f>Tabela11[[#This Row],[Capital investido]]-A58</f>
        <v>0</v>
      </c>
    </row>
    <row r="60" spans="1:27" x14ac:dyDescent="0.25">
      <c r="A60" s="42">
        <v>265.36818016554707</v>
      </c>
      <c r="B60" s="43">
        <v>252.7666016389426</v>
      </c>
      <c r="C60" s="43">
        <v>-12.601578526604539</v>
      </c>
      <c r="D60" s="43">
        <v>3.43</v>
      </c>
      <c r="E60" s="43"/>
      <c r="F60" s="43">
        <v>252.7666016389426</v>
      </c>
      <c r="G60" s="44" t="s">
        <v>86</v>
      </c>
      <c r="H60" s="43">
        <v>65.728180165547116</v>
      </c>
      <c r="I60" s="43"/>
      <c r="J60" s="43">
        <v>47.499999999999972</v>
      </c>
      <c r="K60" s="43">
        <v>57.978421473395457</v>
      </c>
      <c r="L60" s="43">
        <v>45.099999999999987</v>
      </c>
      <c r="M60" s="43">
        <v>1.9699999999999991</v>
      </c>
      <c r="N60" s="43">
        <v>2.1800000000000068</v>
      </c>
      <c r="O60" s="43">
        <v>6.4400000000000261</v>
      </c>
      <c r="P60" s="43">
        <v>0</v>
      </c>
      <c r="Q60" s="43">
        <v>20.54</v>
      </c>
      <c r="R60" s="36" t="s">
        <v>86</v>
      </c>
      <c r="S60" s="36" t="s">
        <v>86</v>
      </c>
      <c r="T60" s="37">
        <v>3.1595825204867832E-2</v>
      </c>
      <c r="U60" s="17" t="s">
        <v>152</v>
      </c>
      <c r="V60" s="5" t="s">
        <v>153</v>
      </c>
      <c r="W60" s="45">
        <f>IFERROR(Tabela11[[#This Row],[Lucro]]*1/Tabela11[[#This Row],[Capital total]],"")</f>
        <v>-4.9854602803122351E-2</v>
      </c>
      <c r="X60" s="39">
        <f>Tabela11[[#This Row],[Lucro]]-C59</f>
        <v>1.9119995661903904</v>
      </c>
      <c r="Y60" s="21" t="str">
        <f>PROPER(TEXT(DATE(2024,MONTH(Tabela11[[#This Row],[Data]]),1),"mmmm"))</f>
        <v>Março</v>
      </c>
      <c r="Z60" s="21">
        <f>YEAR(Tabela11[[#This Row],[Data]])</f>
        <v>2025</v>
      </c>
      <c r="AA60" s="35">
        <f>Tabela11[[#This Row],[Capital investido]]-A59</f>
        <v>-11.230000000000018</v>
      </c>
    </row>
    <row r="61" spans="1:27" x14ac:dyDescent="0.25">
      <c r="A61" s="42">
        <v>284.40818016554709</v>
      </c>
      <c r="B61" s="43">
        <v>283.84684923457718</v>
      </c>
      <c r="C61" s="43">
        <v>-0.56133093096991504</v>
      </c>
      <c r="D61" s="43">
        <v>3.43</v>
      </c>
      <c r="E61" s="43"/>
      <c r="F61" s="43">
        <v>283.84684923457718</v>
      </c>
      <c r="G61" s="44" t="s">
        <v>86</v>
      </c>
      <c r="H61" s="43">
        <v>65.798180165547137</v>
      </c>
      <c r="I61" s="43"/>
      <c r="J61" s="43">
        <v>49.909999999999968</v>
      </c>
      <c r="K61" s="43">
        <v>66.188669069030084</v>
      </c>
      <c r="L61" s="43">
        <v>54.300000000000011</v>
      </c>
      <c r="M61" s="43">
        <v>2.910000000000025</v>
      </c>
      <c r="N61" s="43">
        <v>2.1800000000000068</v>
      </c>
      <c r="O61" s="43">
        <v>6.4399999999999977</v>
      </c>
      <c r="P61" s="43">
        <v>0</v>
      </c>
      <c r="Q61" s="43">
        <v>20.65</v>
      </c>
      <c r="R61" s="36" t="s">
        <v>86</v>
      </c>
      <c r="S61" s="36" t="s">
        <v>86</v>
      </c>
      <c r="T61" s="37">
        <v>3.548085615432215E-2</v>
      </c>
      <c r="U61" s="17" t="s">
        <v>154</v>
      </c>
      <c r="V61" s="5" t="s">
        <v>155</v>
      </c>
      <c r="W61" s="45">
        <f>IFERROR(Tabela11[[#This Row],[Lucro]]*1/Tabela11[[#This Row],[Capital total]],"")</f>
        <v>-1.9775838008545903E-3</v>
      </c>
      <c r="X61" s="39">
        <f>Tabela11[[#This Row],[Lucro]]-C60</f>
        <v>12.040247595634625</v>
      </c>
      <c r="Y61" s="21" t="str">
        <f>PROPER(TEXT(DATE(2024,MONTH(Tabela11[[#This Row],[Data]]),1),"mmmm"))</f>
        <v>Março</v>
      </c>
      <c r="Z61" s="21">
        <f>YEAR(Tabela11[[#This Row],[Data]])</f>
        <v>2025</v>
      </c>
      <c r="AA61" s="35">
        <f>Tabela11[[#This Row],[Capital investido]]-A60</f>
        <v>19.04000000000002</v>
      </c>
    </row>
    <row r="62" spans="1:27" hidden="1" x14ac:dyDescent="0.25">
      <c r="A62" s="42">
        <v>284.45818016554711</v>
      </c>
      <c r="B62" s="43">
        <v>284.01566349836821</v>
      </c>
      <c r="C62" s="43">
        <v>-0.44251666717892379</v>
      </c>
      <c r="D62" s="43">
        <v>3.43</v>
      </c>
      <c r="E62" s="43"/>
      <c r="F62" s="43">
        <v>284.01566349836821</v>
      </c>
      <c r="G62" s="44" t="s">
        <v>86</v>
      </c>
      <c r="H62" s="43">
        <v>65.838180165547158</v>
      </c>
      <c r="I62" s="43"/>
      <c r="J62" s="43">
        <v>49.910000000000032</v>
      </c>
      <c r="K62" s="43">
        <v>66.217483332821075</v>
      </c>
      <c r="L62" s="43">
        <v>54.300000000000011</v>
      </c>
      <c r="M62" s="43">
        <v>2.910000000000025</v>
      </c>
      <c r="N62" s="43">
        <v>2.1800000000000068</v>
      </c>
      <c r="O62" s="43">
        <v>6.4499999999999886</v>
      </c>
      <c r="P62" s="43">
        <v>0</v>
      </c>
      <c r="Q62" s="43">
        <v>20.65</v>
      </c>
      <c r="R62" s="36" t="s">
        <v>86</v>
      </c>
      <c r="S62" s="36" t="s">
        <v>86</v>
      </c>
      <c r="T62" s="37">
        <v>3.5501957937296033E-2</v>
      </c>
      <c r="U62" s="17">
        <v>45732</v>
      </c>
      <c r="V62" s="5" t="s">
        <v>156</v>
      </c>
      <c r="W62" s="45">
        <f>IFERROR(Tabela11[[#This Row],[Lucro]]*1/Tabela11[[#This Row],[Capital total]],"")</f>
        <v>-1.5580713462356847E-3</v>
      </c>
      <c r="X62" s="39">
        <f>Tabela11[[#This Row],[Lucro]]-C61</f>
        <v>0.11881426379099125</v>
      </c>
      <c r="Y62" s="21" t="str">
        <f>PROPER(TEXT(DATE(2024,MONTH(Tabela11[[#This Row],[Data]]),1),"mmmm"))</f>
        <v>Março</v>
      </c>
      <c r="Z62" s="21">
        <f>YEAR(Tabela11[[#This Row],[Data]])</f>
        <v>2025</v>
      </c>
      <c r="AA62" s="35">
        <f>Tabela11[[#This Row],[Capital investido]]-A61</f>
        <v>5.0000000000011369E-2</v>
      </c>
    </row>
    <row r="63" spans="1:27" x14ac:dyDescent="0.25">
      <c r="A63" s="34">
        <v>284.45818016554711</v>
      </c>
      <c r="B63" s="35">
        <v>283.30134339434409</v>
      </c>
      <c r="C63" s="35">
        <v>-1.1568367712030361</v>
      </c>
      <c r="D63" s="35">
        <v>3.43</v>
      </c>
      <c r="E63" s="35"/>
      <c r="F63" s="35">
        <v>283.30134339434409</v>
      </c>
      <c r="G63" s="44" t="s">
        <v>86</v>
      </c>
      <c r="H63" s="35">
        <v>65.838180165547158</v>
      </c>
      <c r="I63" s="35"/>
      <c r="J63" s="35">
        <v>49.75</v>
      </c>
      <c r="K63" s="35">
        <v>65.603163228796973</v>
      </c>
      <c r="L63" s="35">
        <v>54.240000000000009</v>
      </c>
      <c r="M63" s="35">
        <v>2.910000000000025</v>
      </c>
      <c r="N63" s="35">
        <v>2.1800000000000068</v>
      </c>
      <c r="O63" s="35">
        <v>6.4499999999999886</v>
      </c>
      <c r="P63" s="43">
        <v>0</v>
      </c>
      <c r="Q63" s="35">
        <v>20.77</v>
      </c>
      <c r="R63" s="36" t="s">
        <v>86</v>
      </c>
      <c r="S63" s="36" t="s">
        <v>86</v>
      </c>
      <c r="T63" s="37">
        <v>3.5412667924293012E-2</v>
      </c>
      <c r="U63" s="18" t="s">
        <v>157</v>
      </c>
      <c r="V63" s="4" t="s">
        <v>158</v>
      </c>
      <c r="W63" s="38">
        <f>IFERROR(Tabela11[[#This Row],[Lucro]]*1/Tabela11[[#This Row],[Capital total]],"")</f>
        <v>-4.0834143507493563E-3</v>
      </c>
      <c r="X63" s="39">
        <f>Tabela11[[#This Row],[Lucro]]-C62</f>
        <v>-0.71432010402411228</v>
      </c>
      <c r="Y63" s="21" t="str">
        <f>PROPER(TEXT(DATE(2024,MONTH(Tabela11[[#This Row],[Data]]),1),"mmmm"))</f>
        <v>Março</v>
      </c>
      <c r="Z63" s="21">
        <f>YEAR(Tabela11[[#This Row],[Data]])</f>
        <v>2025</v>
      </c>
      <c r="AA63" s="35">
        <f>Tabela11[[#This Row],[Capital investido]]-A62</f>
        <v>0</v>
      </c>
    </row>
    <row r="64" spans="1:27" x14ac:dyDescent="0.25">
      <c r="A64" s="42">
        <v>284.45818016554711</v>
      </c>
      <c r="B64" s="43">
        <v>190.1175457133817</v>
      </c>
      <c r="C64" s="43">
        <v>-94.340634452165361</v>
      </c>
      <c r="D64" s="43">
        <v>3.43</v>
      </c>
      <c r="E64" s="43"/>
      <c r="F64" s="43">
        <v>190.1175457133817</v>
      </c>
      <c r="G64" s="43">
        <v>95.33315300000001</v>
      </c>
      <c r="H64" s="43">
        <v>65.838180165547129</v>
      </c>
      <c r="I64" s="43"/>
      <c r="J64" s="43">
        <v>49.70999999999998</v>
      </c>
      <c r="K64" s="43">
        <v>65.559365547834631</v>
      </c>
      <c r="L64" s="43">
        <v>54.180000000000007</v>
      </c>
      <c r="M64" s="43">
        <v>2.909999999999997</v>
      </c>
      <c r="N64" s="43">
        <v>2.1800000000000068</v>
      </c>
      <c r="O64" s="43">
        <v>6.4499999999999886</v>
      </c>
      <c r="P64" s="43">
        <v>0</v>
      </c>
      <c r="Q64" s="43">
        <v>20.73</v>
      </c>
      <c r="R64" s="36" t="s">
        <v>86</v>
      </c>
      <c r="S64" s="36" t="s">
        <v>86</v>
      </c>
      <c r="T64" s="37">
        <v>2.3764693214172711E-2</v>
      </c>
      <c r="U64" s="17" t="s">
        <v>157</v>
      </c>
      <c r="V64" s="5" t="s">
        <v>159</v>
      </c>
      <c r="W64" s="45">
        <f>IFERROR(Tabela11[[#This Row],[Lucro]]*1/Tabela11[[#This Row],[Capital total]],"")</f>
        <v>-0.49622266108143359</v>
      </c>
      <c r="X64" s="39">
        <f>Tabela11[[#This Row],[Lucro]]-C63</f>
        <v>-93.183797680962329</v>
      </c>
      <c r="Y64" s="21" t="str">
        <f>PROPER(TEXT(DATE(2024,MONTH(Tabela11[[#This Row],[Data]]),1),"mmmm"))</f>
        <v>Março</v>
      </c>
      <c r="Z64" s="21">
        <f>YEAR(Tabela11[[#This Row],[Data]])</f>
        <v>2025</v>
      </c>
      <c r="AA64" s="35">
        <f>Tabela11[[#This Row],[Capital investido]]-A63</f>
        <v>0</v>
      </c>
    </row>
    <row r="65" spans="1:27" x14ac:dyDescent="0.25">
      <c r="A65" s="42">
        <v>277.78818016554709</v>
      </c>
      <c r="B65" s="43">
        <v>183.78283593420309</v>
      </c>
      <c r="C65" s="43">
        <v>-94.005344231344012</v>
      </c>
      <c r="D65" s="43">
        <v>3.43</v>
      </c>
      <c r="E65" s="43"/>
      <c r="F65" s="43">
        <v>183.78283593420309</v>
      </c>
      <c r="G65" s="43">
        <v>95.33315300000001</v>
      </c>
      <c r="H65" s="43">
        <v>65.838180165547129</v>
      </c>
      <c r="I65" s="43"/>
      <c r="J65" s="43">
        <v>49.579999999999977</v>
      </c>
      <c r="K65" s="43">
        <v>65.64465576865598</v>
      </c>
      <c r="L65" s="43">
        <v>54.240000000000009</v>
      </c>
      <c r="M65" s="43">
        <v>2.909999999999997</v>
      </c>
      <c r="N65" s="43">
        <v>3.460000000000008</v>
      </c>
      <c r="O65" s="43">
        <v>6.4499999999999886</v>
      </c>
      <c r="P65" s="43">
        <v>0</v>
      </c>
      <c r="Q65" s="43">
        <v>20.72</v>
      </c>
      <c r="R65" s="43">
        <v>6.88</v>
      </c>
      <c r="S65" s="36" t="s">
        <v>86</v>
      </c>
      <c r="T65" s="37">
        <v>2.2972854491775389E-2</v>
      </c>
      <c r="U65" s="17" t="s">
        <v>157</v>
      </c>
      <c r="V65" s="5" t="s">
        <v>160</v>
      </c>
      <c r="W65" s="45">
        <f>IFERROR(Tabela11[[#This Row],[Lucro]]*1/Tabela11[[#This Row],[Capital total]],"")</f>
        <v>-0.51150230517173689</v>
      </c>
      <c r="X65" s="39">
        <f>Tabela11[[#This Row],[Lucro]]-C64</f>
        <v>0.33529022082134929</v>
      </c>
      <c r="Y65" s="21" t="str">
        <f>PROPER(TEXT(DATE(2024,MONTH(Tabela11[[#This Row],[Data]]),1),"mmmm"))</f>
        <v>Março</v>
      </c>
      <c r="Z65" s="21">
        <f>YEAR(Tabela11[[#This Row],[Data]])</f>
        <v>2025</v>
      </c>
      <c r="AA65" s="35">
        <f>Tabela11[[#This Row],[Capital investido]]-A64</f>
        <v>-6.6700000000000159</v>
      </c>
    </row>
    <row r="66" spans="1:27" x14ac:dyDescent="0.25">
      <c r="A66" s="42">
        <v>277.78818016554709</v>
      </c>
      <c r="B66" s="43">
        <v>183.56235498953239</v>
      </c>
      <c r="C66" s="43">
        <v>-94.225825176014652</v>
      </c>
      <c r="D66" s="43">
        <v>3.43</v>
      </c>
      <c r="E66" s="43"/>
      <c r="F66" s="43">
        <v>183.56235498953239</v>
      </c>
      <c r="G66" s="44" t="s">
        <v>86</v>
      </c>
      <c r="H66" s="43">
        <v>65.838180165547129</v>
      </c>
      <c r="I66" s="43"/>
      <c r="J66" s="43">
        <v>49.70999999999998</v>
      </c>
      <c r="K66" s="43">
        <v>65.384174823985347</v>
      </c>
      <c r="L66" s="43">
        <v>54.180000000000007</v>
      </c>
      <c r="M66" s="43">
        <v>2.909999999999997</v>
      </c>
      <c r="N66" s="43">
        <v>3.460000000000008</v>
      </c>
      <c r="O66" s="43">
        <v>6.4499999999999886</v>
      </c>
      <c r="P66" s="43">
        <v>0</v>
      </c>
      <c r="Q66" s="43">
        <v>20.69</v>
      </c>
      <c r="R66" s="43">
        <v>6.88</v>
      </c>
      <c r="S66" s="36" t="s">
        <v>86</v>
      </c>
      <c r="T66" s="37">
        <v>2.2945294373691551E-2</v>
      </c>
      <c r="U66" s="17" t="s">
        <v>157</v>
      </c>
      <c r="V66" s="5" t="s">
        <v>161</v>
      </c>
      <c r="W66" s="45">
        <f>IFERROR(Tabela11[[#This Row],[Lucro]]*1/Tabela11[[#This Row],[Capital total]],"")</f>
        <v>-0.51331780517518344</v>
      </c>
      <c r="X66" s="39">
        <f>Tabela11[[#This Row],[Lucro]]-C65</f>
        <v>-0.22048094467064061</v>
      </c>
      <c r="Y66" s="21" t="str">
        <f>PROPER(TEXT(DATE(2024,MONTH(Tabela11[[#This Row],[Data]]),1),"mmmm"))</f>
        <v>Março</v>
      </c>
      <c r="Z66" s="21">
        <f>YEAR(Tabela11[[#This Row],[Data]])</f>
        <v>2025</v>
      </c>
      <c r="AA66" s="35">
        <f>Tabela11[[#This Row],[Capital investido]]-A65</f>
        <v>0</v>
      </c>
    </row>
    <row r="67" spans="1:27" x14ac:dyDescent="0.25">
      <c r="A67" s="42">
        <v>277.78818016554709</v>
      </c>
      <c r="B67" s="43">
        <v>184.36886411222019</v>
      </c>
      <c r="C67" s="43">
        <v>-93.419316053326924</v>
      </c>
      <c r="D67" s="43">
        <v>3.43</v>
      </c>
      <c r="E67" s="43"/>
      <c r="F67" s="43">
        <v>184.36886411222019</v>
      </c>
      <c r="G67" s="44" t="s">
        <v>86</v>
      </c>
      <c r="H67" s="43">
        <v>65.838180165547129</v>
      </c>
      <c r="I67" s="43"/>
      <c r="J67" s="43">
        <v>50.140000000000008</v>
      </c>
      <c r="K67" s="43">
        <v>65.410683946673061</v>
      </c>
      <c r="L67" s="43">
        <v>54.119999999999983</v>
      </c>
      <c r="M67" s="43">
        <v>2.909999999999997</v>
      </c>
      <c r="N67" s="43">
        <v>3.460000000000008</v>
      </c>
      <c r="O67" s="43">
        <v>6.4499999999999886</v>
      </c>
      <c r="P67" s="43">
        <v>0</v>
      </c>
      <c r="Q67" s="43">
        <v>21.1</v>
      </c>
      <c r="R67" s="43">
        <v>6.88</v>
      </c>
      <c r="S67" s="36" t="s">
        <v>86</v>
      </c>
      <c r="T67" s="37">
        <v>2.3046108014027521E-2</v>
      </c>
      <c r="U67" s="17">
        <v>45736</v>
      </c>
      <c r="V67" s="5" t="s">
        <v>162</v>
      </c>
      <c r="W67" s="45">
        <f>IFERROR(Tabela11[[#This Row],[Lucro]]*1/Tabela11[[#This Row],[Capital total]],"")</f>
        <v>-0.50669789881910421</v>
      </c>
      <c r="X67" s="39">
        <f>Tabela11[[#This Row],[Lucro]]-C66</f>
        <v>0.80650912268772856</v>
      </c>
      <c r="Y67" s="21" t="str">
        <f>PROPER(TEXT(DATE(2024,MONTH(Tabela11[[#This Row],[Data]]),1),"mmmm"))</f>
        <v>Março</v>
      </c>
      <c r="Z67" s="21">
        <f>YEAR(Tabela11[[#This Row],[Data]])</f>
        <v>2025</v>
      </c>
      <c r="AA67" s="35">
        <f>Tabela11[[#This Row],[Capital investido]]-A66</f>
        <v>0</v>
      </c>
    </row>
    <row r="68" spans="1:27" x14ac:dyDescent="0.25">
      <c r="A68" s="42">
        <v>354.83951285091621</v>
      </c>
      <c r="B68" s="43">
        <v>352.41952355815272</v>
      </c>
      <c r="C68" s="43">
        <v>-2.4199892927635358</v>
      </c>
      <c r="D68" s="43">
        <v>3.43</v>
      </c>
      <c r="E68" s="43"/>
      <c r="F68" s="43">
        <v>352.41952355815272</v>
      </c>
      <c r="G68" s="44" t="s">
        <v>86</v>
      </c>
      <c r="H68" s="43">
        <v>93.879512850916228</v>
      </c>
      <c r="I68" s="43"/>
      <c r="J68" s="43">
        <v>50.139999999999993</v>
      </c>
      <c r="K68" s="43">
        <v>113.5000107072365</v>
      </c>
      <c r="L68" s="43">
        <v>54.12</v>
      </c>
      <c r="M68" s="43">
        <v>2.910000000000025</v>
      </c>
      <c r="N68" s="43">
        <v>3.45999999999998</v>
      </c>
      <c r="O68" s="43">
        <v>6.4499999999999886</v>
      </c>
      <c r="P68" s="43">
        <v>0</v>
      </c>
      <c r="Q68" s="43">
        <v>21.1</v>
      </c>
      <c r="R68" s="43">
        <v>6.86</v>
      </c>
      <c r="S68" s="36" t="s">
        <v>86</v>
      </c>
      <c r="T68" s="37">
        <v>4.4052440444769088E-2</v>
      </c>
      <c r="U68" s="17" t="s">
        <v>163</v>
      </c>
      <c r="V68" s="5" t="s">
        <v>164</v>
      </c>
      <c r="W68" s="45">
        <f>IFERROR(Tabela11[[#This Row],[Lucro]]*1/Tabela11[[#This Row],[Capital total]],"")</f>
        <v>-6.866785552430422E-3</v>
      </c>
      <c r="X68" s="39">
        <f>Tabela11[[#This Row],[Lucro]]-C67</f>
        <v>90.999326760563392</v>
      </c>
      <c r="Y68" s="21" t="str">
        <f>PROPER(TEXT(DATE(2024,MONTH(Tabela11[[#This Row],[Data]]),1),"mmmm"))</f>
        <v>Março</v>
      </c>
      <c r="Z68" s="21">
        <f>YEAR(Tabela11[[#This Row],[Data]])</f>
        <v>2025</v>
      </c>
      <c r="AA68" s="35">
        <f>Tabela11[[#This Row],[Capital investido]]-A67</f>
        <v>77.051332685369118</v>
      </c>
    </row>
    <row r="69" spans="1:27" x14ac:dyDescent="0.25">
      <c r="A69" s="42">
        <v>354.83951285091621</v>
      </c>
      <c r="B69" s="43">
        <v>455.99749129346799</v>
      </c>
      <c r="C69" s="43">
        <v>101.15797844255189</v>
      </c>
      <c r="D69" s="43">
        <v>3.43</v>
      </c>
      <c r="E69" s="43"/>
      <c r="F69" s="43">
        <v>455.99749129346799</v>
      </c>
      <c r="G69" s="44" t="s">
        <v>86</v>
      </c>
      <c r="H69" s="43">
        <v>93.879512850916228</v>
      </c>
      <c r="I69" s="43"/>
      <c r="J69" s="43">
        <v>50.75</v>
      </c>
      <c r="K69" s="43">
        <v>114.4179784425519</v>
      </c>
      <c r="L69" s="43">
        <v>54.240000000000009</v>
      </c>
      <c r="M69" s="43">
        <v>2.910000000000025</v>
      </c>
      <c r="N69" s="43">
        <v>3.45999999999998</v>
      </c>
      <c r="O69" s="43">
        <v>6.4499999999999886</v>
      </c>
      <c r="P69" s="43">
        <v>0</v>
      </c>
      <c r="Q69" s="43">
        <v>21.18</v>
      </c>
      <c r="R69" s="43">
        <v>6.86</v>
      </c>
      <c r="S69" s="36" t="s">
        <v>86</v>
      </c>
      <c r="T69" s="37">
        <v>5.6999686411683501E-2</v>
      </c>
      <c r="U69" s="17" t="s">
        <v>165</v>
      </c>
      <c r="V69" s="5" t="s">
        <v>166</v>
      </c>
      <c r="W69" s="45">
        <f>IFERROR(Tabela11[[#This Row],[Lucro]]*1/Tabela11[[#This Row],[Capital total]],"")</f>
        <v>0.22183889248076868</v>
      </c>
      <c r="X69" s="39">
        <f>Tabela11[[#This Row],[Lucro]]-C68</f>
        <v>103.57796773531543</v>
      </c>
      <c r="Y69" s="21" t="str">
        <f>PROPER(TEXT(DATE(2024,MONTH(Tabela11[[#This Row],[Data]]),1),"mmmm"))</f>
        <v>Março</v>
      </c>
      <c r="Z69" s="21">
        <f>YEAR(Tabela11[[#This Row],[Data]])</f>
        <v>2025</v>
      </c>
      <c r="AA69" s="35">
        <f>Tabela11[[#This Row],[Capital investido]]-A68</f>
        <v>0</v>
      </c>
    </row>
    <row r="70" spans="1:27" x14ac:dyDescent="0.25">
      <c r="A70" s="42">
        <v>453.9695128509162</v>
      </c>
      <c r="B70" s="43">
        <v>454.58748813026369</v>
      </c>
      <c r="C70" s="43">
        <v>0.61797527934747087</v>
      </c>
      <c r="D70" s="43">
        <v>3.43</v>
      </c>
      <c r="E70" s="43"/>
      <c r="F70" s="43">
        <v>454.58748813026369</v>
      </c>
      <c r="G70" s="44" t="s">
        <v>86</v>
      </c>
      <c r="H70" s="43">
        <v>93.879512850916228</v>
      </c>
      <c r="I70" s="43"/>
      <c r="J70" s="43">
        <v>88.339999999999975</v>
      </c>
      <c r="K70" s="43">
        <v>114.5079752793476</v>
      </c>
      <c r="L70" s="43">
        <v>81.54000000000002</v>
      </c>
      <c r="M70" s="43">
        <v>5.910000000000025</v>
      </c>
      <c r="N70" s="43">
        <v>3.45999999999998</v>
      </c>
      <c r="O70" s="43">
        <v>6.4499999999999886</v>
      </c>
      <c r="P70" s="43">
        <v>0</v>
      </c>
      <c r="Q70" s="43">
        <v>21.18</v>
      </c>
      <c r="R70" s="43">
        <v>38.340000000000003</v>
      </c>
      <c r="S70" s="36" t="s">
        <v>86</v>
      </c>
      <c r="T70" s="37">
        <v>5.6823436016282959E-2</v>
      </c>
      <c r="U70" s="17" t="s">
        <v>165</v>
      </c>
      <c r="V70" s="5" t="s">
        <v>167</v>
      </c>
      <c r="W70" s="45">
        <f>IFERROR(Tabela11[[#This Row],[Lucro]]*1/Tabela11[[#This Row],[Capital total]],"")</f>
        <v>1.3594199037224443E-3</v>
      </c>
      <c r="X70" s="39">
        <f>Tabela11[[#This Row],[Lucro]]-C69</f>
        <v>-100.54000316320442</v>
      </c>
      <c r="Y70" s="21" t="str">
        <f>PROPER(TEXT(DATE(2024,MONTH(Tabela11[[#This Row],[Data]]),1),"mmmm"))</f>
        <v>Março</v>
      </c>
      <c r="Z70" s="21">
        <f>YEAR(Tabela11[[#This Row],[Data]])</f>
        <v>2025</v>
      </c>
      <c r="AA70" s="35">
        <f>Tabela11[[#This Row],[Capital investido]]-A69</f>
        <v>99.13</v>
      </c>
    </row>
    <row r="71" spans="1:27" x14ac:dyDescent="0.25">
      <c r="A71" s="42">
        <v>453.9695128509162</v>
      </c>
      <c r="B71" s="43">
        <v>453.78148623234108</v>
      </c>
      <c r="C71" s="43">
        <v>-0.18802661857512071</v>
      </c>
      <c r="D71" s="43">
        <v>3.43</v>
      </c>
      <c r="E71" s="43"/>
      <c r="F71" s="43">
        <v>453.78148623234108</v>
      </c>
      <c r="G71" s="44" t="s">
        <v>86</v>
      </c>
      <c r="H71" s="43">
        <v>93.879512850916171</v>
      </c>
      <c r="I71" s="43"/>
      <c r="J71" s="43">
        <v>88.409999999999968</v>
      </c>
      <c r="K71" s="43">
        <v>114.56197338142491</v>
      </c>
      <c r="L71" s="43">
        <v>81.539999999999964</v>
      </c>
      <c r="M71" s="43">
        <v>5.910000000000025</v>
      </c>
      <c r="N71" s="43">
        <v>3.45999999999998</v>
      </c>
      <c r="O71" s="43">
        <v>6.4499999999999886</v>
      </c>
      <c r="P71" s="43">
        <v>0</v>
      </c>
      <c r="Q71" s="43">
        <v>21.23</v>
      </c>
      <c r="R71" s="43">
        <v>38.340000000000003</v>
      </c>
      <c r="S71" s="36" t="s">
        <v>86</v>
      </c>
      <c r="T71" s="37">
        <v>5.6722685779042638E-2</v>
      </c>
      <c r="U71" s="17" t="s">
        <v>165</v>
      </c>
      <c r="V71" s="5" t="s">
        <v>168</v>
      </c>
      <c r="W71" s="45">
        <f>IFERROR(Tabela11[[#This Row],[Lucro]]*1/Tabela11[[#This Row],[Capital total]],"")</f>
        <v>-4.1435497983020186E-4</v>
      </c>
      <c r="X71" s="39">
        <f>Tabela11[[#This Row],[Lucro]]-C70</f>
        <v>-0.80600189792259158</v>
      </c>
      <c r="Y71" s="21" t="str">
        <f>PROPER(TEXT(DATE(2024,MONTH(Tabela11[[#This Row],[Data]]),1),"mmmm"))</f>
        <v>Março</v>
      </c>
      <c r="Z71" s="21">
        <f>YEAR(Tabela11[[#This Row],[Data]])</f>
        <v>2025</v>
      </c>
      <c r="AA71" s="35">
        <f>Tabela11[[#This Row],[Capital investido]]-A70</f>
        <v>0</v>
      </c>
    </row>
    <row r="72" spans="1:27" x14ac:dyDescent="0.25">
      <c r="A72" s="42">
        <v>453.9695128509162</v>
      </c>
      <c r="B72" s="43">
        <v>453.89748215532211</v>
      </c>
      <c r="C72" s="43">
        <v>-7.2030695594092364E-2</v>
      </c>
      <c r="D72" s="43">
        <v>3.43</v>
      </c>
      <c r="E72" s="43"/>
      <c r="F72" s="43">
        <v>453.89748215532211</v>
      </c>
      <c r="G72" s="44" t="s">
        <v>86</v>
      </c>
      <c r="H72" s="43">
        <v>93.879512850916171</v>
      </c>
      <c r="I72" s="43"/>
      <c r="J72" s="43">
        <v>88.409999999999968</v>
      </c>
      <c r="K72" s="43">
        <v>114.67796930440591</v>
      </c>
      <c r="L72" s="43">
        <v>81.539999999999964</v>
      </c>
      <c r="M72" s="43">
        <v>5.910000000000025</v>
      </c>
      <c r="N72" s="43">
        <v>3.45999999999998</v>
      </c>
      <c r="O72" s="43">
        <v>6.4499999999999886</v>
      </c>
      <c r="P72" s="43">
        <v>0</v>
      </c>
      <c r="Q72" s="43">
        <v>21.23</v>
      </c>
      <c r="R72" s="43">
        <v>38.340000000000003</v>
      </c>
      <c r="S72" s="36" t="s">
        <v>86</v>
      </c>
      <c r="T72" s="37">
        <v>5.6737185269415263E-2</v>
      </c>
      <c r="U72" s="17" t="s">
        <v>165</v>
      </c>
      <c r="V72" s="5" t="s">
        <v>169</v>
      </c>
      <c r="W72" s="45">
        <f>IFERROR(Tabela11[[#This Row],[Lucro]]*1/Tabela11[[#This Row],[Capital total]],"")</f>
        <v>-1.5869375448406589E-4</v>
      </c>
      <c r="X72" s="39">
        <f>Tabela11[[#This Row],[Lucro]]-C71</f>
        <v>0.11599592298102834</v>
      </c>
      <c r="Y72" s="21" t="str">
        <f>PROPER(TEXT(DATE(2024,MONTH(Tabela11[[#This Row],[Data]]),1),"mmmm"))</f>
        <v>Março</v>
      </c>
      <c r="Z72" s="21">
        <f>YEAR(Tabela11[[#This Row],[Data]])</f>
        <v>2025</v>
      </c>
      <c r="AA72" s="35">
        <f>Tabela11[[#This Row],[Capital investido]]-A71</f>
        <v>0</v>
      </c>
    </row>
    <row r="73" spans="1:27" x14ac:dyDescent="0.25">
      <c r="A73" s="42">
        <v>453.9695128509162</v>
      </c>
      <c r="B73" s="43">
        <v>454.20546359785652</v>
      </c>
      <c r="C73" s="43">
        <v>0.2359507469402882</v>
      </c>
      <c r="D73" s="43">
        <v>3.43</v>
      </c>
      <c r="E73" s="43"/>
      <c r="F73" s="43">
        <v>454.20546359785652</v>
      </c>
      <c r="G73" s="44" t="s">
        <v>86</v>
      </c>
      <c r="H73" s="43">
        <v>93.879512850916171</v>
      </c>
      <c r="I73" s="43"/>
      <c r="J73" s="43">
        <v>88.600000000000023</v>
      </c>
      <c r="K73" s="43">
        <v>115.2059507469403</v>
      </c>
      <c r="L73" s="43">
        <v>81.090000000000032</v>
      </c>
      <c r="M73" s="43">
        <v>5.910000000000025</v>
      </c>
      <c r="N73" s="43">
        <v>3.45999999999998</v>
      </c>
      <c r="O73" s="43">
        <v>6.4499999999999886</v>
      </c>
      <c r="P73" s="43">
        <v>0</v>
      </c>
      <c r="Q73" s="43">
        <v>21.58</v>
      </c>
      <c r="R73" s="43">
        <v>38.340000000000003</v>
      </c>
      <c r="S73" s="36" t="s">
        <v>86</v>
      </c>
      <c r="T73" s="37">
        <v>5.6775682949732058E-2</v>
      </c>
      <c r="U73" s="17" t="s">
        <v>170</v>
      </c>
      <c r="V73" s="5" t="s">
        <v>171</v>
      </c>
      <c r="W73" s="45">
        <f>IFERROR(Tabela11[[#This Row],[Lucro]]*1/Tabela11[[#This Row],[Capital total]],"")</f>
        <v>5.1948020411571663E-4</v>
      </c>
      <c r="X73" s="39">
        <f>Tabela11[[#This Row],[Lucro]]-C72</f>
        <v>0.30798144253438053</v>
      </c>
      <c r="Y73" s="21" t="str">
        <f>PROPER(TEXT(DATE(2024,MONTH(Tabela11[[#This Row],[Data]]),1),"mmmm"))</f>
        <v>Março</v>
      </c>
      <c r="Z73" s="21">
        <f>YEAR(Tabela11[[#This Row],[Data]])</f>
        <v>2025</v>
      </c>
      <c r="AA73" s="35">
        <f>Tabela11[[#This Row],[Capital investido]]-A72</f>
        <v>0</v>
      </c>
    </row>
    <row r="74" spans="1:27" x14ac:dyDescent="0.25">
      <c r="A74" s="42">
        <v>462.59076953505092</v>
      </c>
      <c r="B74" s="43">
        <v>462.77476323127718</v>
      </c>
      <c r="C74" s="43">
        <v>0.18399369622625361</v>
      </c>
      <c r="D74" s="43">
        <v>3.43</v>
      </c>
      <c r="E74" s="43"/>
      <c r="F74" s="43">
        <v>462.77476323127718</v>
      </c>
      <c r="G74" s="44" t="s">
        <v>86</v>
      </c>
      <c r="H74" s="43">
        <v>102.7407695350509</v>
      </c>
      <c r="I74" s="43"/>
      <c r="J74" s="43">
        <v>89.53000000000003</v>
      </c>
      <c r="K74" s="43">
        <v>113.98399369622631</v>
      </c>
      <c r="L74" s="43">
        <v>81.180000000000007</v>
      </c>
      <c r="M74" s="43">
        <v>5.910000000000025</v>
      </c>
      <c r="N74" s="43">
        <v>3.45999999999998</v>
      </c>
      <c r="O74" s="43">
        <v>6.4699999999999704</v>
      </c>
      <c r="P74" s="43">
        <v>0</v>
      </c>
      <c r="Q74" s="43">
        <v>21.53</v>
      </c>
      <c r="R74" s="43">
        <v>38.08</v>
      </c>
      <c r="S74" s="36" t="s">
        <v>86</v>
      </c>
      <c r="T74" s="37">
        <v>5.784684540390965E-2</v>
      </c>
      <c r="U74" s="17" t="s">
        <v>172</v>
      </c>
      <c r="V74" s="5" t="s">
        <v>173</v>
      </c>
      <c r="W74" s="45">
        <f>IFERROR(Tabela11[[#This Row],[Lucro]]*1/Tabela11[[#This Row],[Capital total]],"")</f>
        <v>3.9758800791455556E-4</v>
      </c>
      <c r="X74" s="39">
        <f>Tabela11[[#This Row],[Lucro]]-C73</f>
        <v>-5.1957050714034586E-2</v>
      </c>
      <c r="Y74" s="21" t="str">
        <f>PROPER(TEXT(DATE(2024,MONTH(Tabela11[[#This Row],[Data]]),1),"mmmm"))</f>
        <v>Março</v>
      </c>
      <c r="Z74" s="21">
        <f>YEAR(Tabela11[[#This Row],[Data]])</f>
        <v>2025</v>
      </c>
      <c r="AA74" s="35">
        <f>Tabela11[[#This Row],[Capital investido]]-A73</f>
        <v>8.6212566841347211</v>
      </c>
    </row>
    <row r="75" spans="1:27" x14ac:dyDescent="0.25">
      <c r="A75" s="42">
        <v>474.18326223321799</v>
      </c>
      <c r="B75" s="43">
        <v>476.47015844468291</v>
      </c>
      <c r="C75" s="43">
        <v>2.2868962114648501</v>
      </c>
      <c r="D75" s="43">
        <v>3.43</v>
      </c>
      <c r="E75" s="43"/>
      <c r="F75" s="43">
        <v>476.47015844468291</v>
      </c>
      <c r="G75" s="44" t="s">
        <v>86</v>
      </c>
      <c r="H75" s="43">
        <v>104.61326223321799</v>
      </c>
      <c r="I75" s="43"/>
      <c r="J75" s="43">
        <v>90.510000000000048</v>
      </c>
      <c r="K75" s="43">
        <v>124.5868962114649</v>
      </c>
      <c r="L75" s="43">
        <v>81.629999999999939</v>
      </c>
      <c r="M75" s="43">
        <v>5.910000000000025</v>
      </c>
      <c r="N75" s="43">
        <v>3.45999999999998</v>
      </c>
      <c r="O75" s="43">
        <v>6.4699999999999704</v>
      </c>
      <c r="P75" s="43">
        <v>0</v>
      </c>
      <c r="Q75" s="43">
        <v>21.34</v>
      </c>
      <c r="R75" s="43">
        <v>37.799999999999997</v>
      </c>
      <c r="S75" s="36" t="s">
        <v>86</v>
      </c>
      <c r="T75" s="37">
        <v>5.9558769805585367E-2</v>
      </c>
      <c r="U75" s="17" t="s">
        <v>174</v>
      </c>
      <c r="V75" s="5" t="s">
        <v>175</v>
      </c>
      <c r="W75" s="45">
        <f>IFERROR(Tabela11[[#This Row],[Lucro]]*1/Tabela11[[#This Row],[Capital total]],"")</f>
        <v>4.7996630448585657E-3</v>
      </c>
      <c r="X75" s="39">
        <f>Tabela11[[#This Row],[Lucro]]-C74</f>
        <v>2.1029025152385965</v>
      </c>
      <c r="Y75" s="21" t="str">
        <f>PROPER(TEXT(DATE(2024,MONTH(Tabela11[[#This Row],[Data]]),1),"mmmm"))</f>
        <v>Março</v>
      </c>
      <c r="Z75" s="21">
        <f>YEAR(Tabela11[[#This Row],[Data]])</f>
        <v>2025</v>
      </c>
      <c r="AA75" s="35">
        <f>Tabela11[[#This Row],[Capital investido]]-A74</f>
        <v>11.592492698167064</v>
      </c>
    </row>
    <row r="76" spans="1:27" x14ac:dyDescent="0.25">
      <c r="A76" s="42">
        <v>476.06496735398571</v>
      </c>
      <c r="B76" s="43">
        <v>478.37362931311901</v>
      </c>
      <c r="C76" s="43">
        <v>2.308661959133278</v>
      </c>
      <c r="D76" s="43">
        <v>3.43</v>
      </c>
      <c r="E76" s="43"/>
      <c r="F76" s="43">
        <v>478.37362931311901</v>
      </c>
      <c r="G76" s="44" t="s">
        <v>86</v>
      </c>
      <c r="H76" s="43">
        <v>106.4949673539857</v>
      </c>
      <c r="I76" s="43"/>
      <c r="J76" s="43">
        <v>90.509999999999991</v>
      </c>
      <c r="K76" s="43">
        <v>124.5586619591334</v>
      </c>
      <c r="L76" s="43">
        <v>81.63</v>
      </c>
      <c r="M76" s="43">
        <v>5.910000000000025</v>
      </c>
      <c r="N76" s="43">
        <v>3.45999999999998</v>
      </c>
      <c r="O76" s="43">
        <v>6.4700000000000273</v>
      </c>
      <c r="P76" s="43">
        <v>0</v>
      </c>
      <c r="Q76" s="43">
        <v>21.34</v>
      </c>
      <c r="R76" s="43">
        <v>37.799999999999997</v>
      </c>
      <c r="S76" s="36" t="s">
        <v>86</v>
      </c>
      <c r="T76" s="37">
        <v>5.9796703664139868E-2</v>
      </c>
      <c r="U76" s="17" t="s">
        <v>176</v>
      </c>
      <c r="V76" s="5" t="s">
        <v>177</v>
      </c>
      <c r="W76" s="45">
        <f>IFERROR(Tabela11[[#This Row],[Lucro]]*1/Tabela11[[#This Row],[Capital total]],"")</f>
        <v>4.8260644351324506E-3</v>
      </c>
      <c r="X76" s="39">
        <f>Tabela11[[#This Row],[Lucro]]-C75</f>
        <v>2.1765747668427871E-2</v>
      </c>
      <c r="Y76" s="21" t="str">
        <f>PROPER(TEXT(DATE(2024,MONTH(Tabela11[[#This Row],[Data]]),1),"mmmm"))</f>
        <v>Março</v>
      </c>
      <c r="Z76" s="21">
        <f>YEAR(Tabela11[[#This Row],[Data]])</f>
        <v>2025</v>
      </c>
      <c r="AA76" s="35">
        <f>Tabela11[[#This Row],[Capital investido]]-A75</f>
        <v>1.8817051207677196</v>
      </c>
    </row>
    <row r="77" spans="1:27" x14ac:dyDescent="0.25">
      <c r="A77" s="42">
        <v>476.38496735398559</v>
      </c>
      <c r="B77" s="43">
        <v>479.01005072575327</v>
      </c>
      <c r="C77" s="43">
        <v>2.6250833717677109</v>
      </c>
      <c r="D77" s="43">
        <v>3.43</v>
      </c>
      <c r="E77" s="43"/>
      <c r="F77" s="43">
        <v>479.01005072575327</v>
      </c>
      <c r="G77" s="44" t="s">
        <v>86</v>
      </c>
      <c r="H77" s="43">
        <v>106.4949673539857</v>
      </c>
      <c r="I77" s="43"/>
      <c r="J77" s="43">
        <v>90.63</v>
      </c>
      <c r="K77" s="43">
        <v>124.66508337176781</v>
      </c>
      <c r="L77" s="43">
        <v>81.720000000000027</v>
      </c>
      <c r="M77" s="43">
        <v>5.910000000000025</v>
      </c>
      <c r="N77" s="43">
        <v>3.45999999999998</v>
      </c>
      <c r="O77" s="43">
        <v>6.4700000000000273</v>
      </c>
      <c r="P77" s="43">
        <v>0</v>
      </c>
      <c r="Q77" s="43">
        <v>21.3</v>
      </c>
      <c r="R77" s="43">
        <v>38.119999999999997</v>
      </c>
      <c r="S77" s="36" t="s">
        <v>86</v>
      </c>
      <c r="T77" s="37">
        <v>5.9876256340719157E-2</v>
      </c>
      <c r="U77" s="17" t="s">
        <v>176</v>
      </c>
      <c r="V77" s="5" t="s">
        <v>178</v>
      </c>
      <c r="W77" s="45">
        <f>IFERROR(Tabela11[[#This Row],[Lucro]]*1/Tabela11[[#This Row],[Capital total]],"")</f>
        <v>5.4802260783263709E-3</v>
      </c>
      <c r="X77" s="39">
        <f>Tabela11[[#This Row],[Lucro]]-C76</f>
        <v>0.31642141263443291</v>
      </c>
      <c r="Y77" s="21" t="str">
        <f>PROPER(TEXT(DATE(2024,MONTH(Tabela11[[#This Row],[Data]]),1),"mmmm"))</f>
        <v>Março</v>
      </c>
      <c r="Z77" s="21">
        <f>YEAR(Tabela11[[#This Row],[Data]])</f>
        <v>2025</v>
      </c>
      <c r="AA77" s="35">
        <f>Tabela11[[#This Row],[Capital investido]]-A76</f>
        <v>0.31999999999987949</v>
      </c>
    </row>
    <row r="78" spans="1:27" x14ac:dyDescent="0.25">
      <c r="A78" s="42">
        <v>510.2660885490335</v>
      </c>
      <c r="B78" s="43">
        <v>512.35731078126321</v>
      </c>
      <c r="C78" s="43">
        <v>2.091222232229744</v>
      </c>
      <c r="D78" s="43">
        <v>3.43</v>
      </c>
      <c r="E78" s="43"/>
      <c r="F78" s="43">
        <v>512.35731078126321</v>
      </c>
      <c r="G78" s="44" t="s">
        <v>86</v>
      </c>
      <c r="H78" s="43">
        <v>108.39608854903349</v>
      </c>
      <c r="I78" s="43"/>
      <c r="J78" s="43">
        <v>89.659999999999968</v>
      </c>
      <c r="K78" s="43">
        <v>125.0712222322297</v>
      </c>
      <c r="L78" s="43">
        <v>100.54</v>
      </c>
      <c r="M78" s="43">
        <v>5.9099999999999682</v>
      </c>
      <c r="N78" s="43">
        <v>3.4600000000000359</v>
      </c>
      <c r="O78" s="43">
        <v>6.4800000000000182</v>
      </c>
      <c r="P78" s="43">
        <v>0</v>
      </c>
      <c r="Q78" s="43">
        <v>35.200000000000003</v>
      </c>
      <c r="R78" s="43">
        <v>37.78</v>
      </c>
      <c r="S78" s="36" t="s">
        <v>86</v>
      </c>
      <c r="T78" s="37">
        <v>6.4044663847657904E-2</v>
      </c>
      <c r="U78" s="17" t="s">
        <v>179</v>
      </c>
      <c r="V78" s="5" t="s">
        <v>180</v>
      </c>
      <c r="W78" s="45">
        <f>IFERROR(Tabela11[[#This Row],[Lucro]]*1/Tabela11[[#This Row],[Capital total]],"")</f>
        <v>4.0815700063710682E-3</v>
      </c>
      <c r="X78" s="39">
        <f>Tabela11[[#This Row],[Lucro]]-C77</f>
        <v>-0.53386113953796688</v>
      </c>
      <c r="Y78" s="21" t="str">
        <f>PROPER(TEXT(DATE(2024,MONTH(Tabela11[[#This Row],[Data]]),1),"mmmm"))</f>
        <v>Março</v>
      </c>
      <c r="Z78" s="21">
        <f>YEAR(Tabela11[[#This Row],[Data]])</f>
        <v>2025</v>
      </c>
      <c r="AA78" s="35">
        <f>Tabela11[[#This Row],[Capital investido]]-A77</f>
        <v>33.881121195047911</v>
      </c>
    </row>
    <row r="79" spans="1:27" x14ac:dyDescent="0.25">
      <c r="A79" s="42">
        <v>510.2660885490335</v>
      </c>
      <c r="B79" s="43">
        <v>492.35731078126332</v>
      </c>
      <c r="C79" s="43">
        <v>-17.90877776777025</v>
      </c>
      <c r="D79" s="43">
        <v>3.43</v>
      </c>
      <c r="E79" s="43"/>
      <c r="F79" s="43">
        <v>492.35731078126332</v>
      </c>
      <c r="G79" s="43">
        <v>20.52826</v>
      </c>
      <c r="H79" s="43">
        <v>108.39608854903339</v>
      </c>
      <c r="I79" s="43"/>
      <c r="J79" s="43">
        <v>89.660000000000025</v>
      </c>
      <c r="K79" s="43">
        <v>125.0712222322298</v>
      </c>
      <c r="L79" s="43">
        <v>100.54</v>
      </c>
      <c r="M79" s="43">
        <v>5.910000000000025</v>
      </c>
      <c r="N79" s="43">
        <v>3.45999999999998</v>
      </c>
      <c r="O79" s="43">
        <v>6.4800000000000182</v>
      </c>
      <c r="P79" s="43">
        <v>0</v>
      </c>
      <c r="Q79" s="43">
        <v>35.200000000000003</v>
      </c>
      <c r="R79" s="43">
        <v>37.78</v>
      </c>
      <c r="S79" s="36" t="s">
        <v>86</v>
      </c>
      <c r="T79" s="37">
        <v>6.1544663847657922E-2</v>
      </c>
      <c r="U79" s="17" t="s">
        <v>179</v>
      </c>
      <c r="V79" s="5" t="s">
        <v>181</v>
      </c>
      <c r="W79" s="45">
        <f>IFERROR(Tabela11[[#This Row],[Lucro]]*1/Tabela11[[#This Row],[Capital total]],"")</f>
        <v>-3.6373538841848289E-2</v>
      </c>
      <c r="X79" s="39">
        <f>Tabela11[[#This Row],[Lucro]]-C78</f>
        <v>-19.999999999999993</v>
      </c>
      <c r="Y79" s="21" t="str">
        <f>PROPER(TEXT(DATE(2024,MONTH(Tabela11[[#This Row],[Data]]),1),"mmmm"))</f>
        <v>Março</v>
      </c>
      <c r="Z79" s="21">
        <f>YEAR(Tabela11[[#This Row],[Data]])</f>
        <v>2025</v>
      </c>
      <c r="AA79" s="35">
        <f>Tabela11[[#This Row],[Capital investido]]-A78</f>
        <v>0</v>
      </c>
    </row>
    <row r="80" spans="1:27" x14ac:dyDescent="0.25">
      <c r="A80" s="42">
        <v>515.93801761480677</v>
      </c>
      <c r="B80" s="43">
        <v>313.0150080103291</v>
      </c>
      <c r="C80" s="43">
        <v>-202.9230096044777</v>
      </c>
      <c r="D80" s="43">
        <v>3.43</v>
      </c>
      <c r="E80" s="43"/>
      <c r="F80" s="43">
        <v>313.0150080103291</v>
      </c>
      <c r="G80" s="43">
        <v>209.29587483</v>
      </c>
      <c r="H80" s="43">
        <v>114.06801761480681</v>
      </c>
      <c r="I80" s="43"/>
      <c r="J80" s="43">
        <v>89.139999999999986</v>
      </c>
      <c r="K80" s="43">
        <v>124.4869903955224</v>
      </c>
      <c r="L80" s="43">
        <v>100.87</v>
      </c>
      <c r="M80" s="43">
        <v>5.910000000000025</v>
      </c>
      <c r="N80" s="43">
        <v>3.45999999999998</v>
      </c>
      <c r="O80" s="43">
        <v>6.4800000000000182</v>
      </c>
      <c r="P80" s="43">
        <v>0</v>
      </c>
      <c r="Q80" s="43">
        <v>34.869999999999997</v>
      </c>
      <c r="R80" s="43">
        <v>37.78</v>
      </c>
      <c r="S80" s="36" t="s">
        <v>86</v>
      </c>
      <c r="T80" s="37">
        <v>3.9126876001291139E-2</v>
      </c>
      <c r="U80" s="17" t="s">
        <v>182</v>
      </c>
      <c r="V80" s="5" t="s">
        <v>183</v>
      </c>
      <c r="W80" s="45">
        <f>IFERROR(Tabela11[[#This Row],[Lucro]]*1/Tabela11[[#This Row],[Capital total]],"")</f>
        <v>-0.64828524004121069</v>
      </c>
      <c r="X80" s="39">
        <f>Tabela11[[#This Row],[Lucro]]-C79</f>
        <v>-185.01423183670744</v>
      </c>
      <c r="Y80" s="21" t="str">
        <f>PROPER(TEXT(DATE(2024,MONTH(Tabela11[[#This Row],[Data]]),1),"mmmm"))</f>
        <v>Março</v>
      </c>
      <c r="Z80" s="21">
        <f>YEAR(Tabela11[[#This Row],[Data]])</f>
        <v>2025</v>
      </c>
      <c r="AA80" s="35">
        <f>Tabela11[[#This Row],[Capital investido]]-A79</f>
        <v>5.6719290657732699</v>
      </c>
    </row>
    <row r="81" spans="1:27" x14ac:dyDescent="0.25">
      <c r="A81" s="42">
        <v>515.93801761480677</v>
      </c>
      <c r="B81" s="43">
        <v>312.1981981901622</v>
      </c>
      <c r="C81" s="43">
        <v>-203.73981942464459</v>
      </c>
      <c r="D81" s="43">
        <v>3.43</v>
      </c>
      <c r="E81" s="43"/>
      <c r="F81" s="43">
        <v>312.1981981901622</v>
      </c>
      <c r="G81" s="44" t="s">
        <v>86</v>
      </c>
      <c r="H81" s="43">
        <v>114.06801761480681</v>
      </c>
      <c r="I81" s="43"/>
      <c r="J81" s="43">
        <v>88.789999999999964</v>
      </c>
      <c r="K81" s="43">
        <v>123.87018057535541</v>
      </c>
      <c r="L81" s="43">
        <v>100.76</v>
      </c>
      <c r="M81" s="43">
        <v>5.910000000000025</v>
      </c>
      <c r="N81" s="43">
        <v>3.45999999999998</v>
      </c>
      <c r="O81" s="43">
        <v>6.4800000000000182</v>
      </c>
      <c r="P81" s="43">
        <v>0</v>
      </c>
      <c r="Q81" s="43">
        <v>35.17</v>
      </c>
      <c r="R81" s="43">
        <v>37.78</v>
      </c>
      <c r="S81" s="36" t="s">
        <v>86</v>
      </c>
      <c r="T81" s="37">
        <v>3.9024774773770282E-2</v>
      </c>
      <c r="U81" s="17" t="s">
        <v>182</v>
      </c>
      <c r="V81" s="5" t="s">
        <v>184</v>
      </c>
      <c r="W81" s="45">
        <f>IFERROR(Tabela11[[#This Row],[Lucro]]*1/Tabela11[[#This Row],[Capital total]],"")</f>
        <v>-0.65259767867252449</v>
      </c>
      <c r="X81" s="39">
        <f>Tabela11[[#This Row],[Lucro]]-C80</f>
        <v>-0.81680982016689541</v>
      </c>
      <c r="Y81" s="21" t="str">
        <f>PROPER(TEXT(DATE(2024,MONTH(Tabela11[[#This Row],[Data]]),1),"mmmm"))</f>
        <v>Março</v>
      </c>
      <c r="Z81" s="21">
        <f>YEAR(Tabela11[[#This Row],[Data]])</f>
        <v>2025</v>
      </c>
      <c r="AA81" s="35">
        <f>Tabela11[[#This Row],[Capital investido]]-A80</f>
        <v>0</v>
      </c>
    </row>
    <row r="82" spans="1:27" x14ac:dyDescent="0.25">
      <c r="A82" s="42">
        <v>517.86888314261932</v>
      </c>
      <c r="B82" s="43">
        <v>311.69342515946568</v>
      </c>
      <c r="C82" s="43">
        <v>-206.17545798315359</v>
      </c>
      <c r="D82" s="43">
        <v>3.43</v>
      </c>
      <c r="E82" s="43"/>
      <c r="F82" s="43">
        <v>311.69342515946568</v>
      </c>
      <c r="G82" s="44" t="s">
        <v>86</v>
      </c>
      <c r="H82" s="43">
        <v>115.99888314261931</v>
      </c>
      <c r="I82" s="43"/>
      <c r="J82" s="43">
        <v>88.46999999999997</v>
      </c>
      <c r="K82" s="43">
        <v>123.3945420168464</v>
      </c>
      <c r="L82" s="43">
        <v>99.550000000000011</v>
      </c>
      <c r="M82" s="43">
        <v>5.910000000000025</v>
      </c>
      <c r="N82" s="43">
        <v>3.45999999999998</v>
      </c>
      <c r="O82" s="43">
        <v>6.4800000000000182</v>
      </c>
      <c r="P82" s="43">
        <v>0</v>
      </c>
      <c r="Q82" s="43">
        <v>34.950000000000003</v>
      </c>
      <c r="R82" s="43">
        <v>37.78</v>
      </c>
      <c r="S82" s="36" t="s">
        <v>86</v>
      </c>
      <c r="T82" s="37">
        <v>3.8961678144933211E-2</v>
      </c>
      <c r="U82" s="17" t="s">
        <v>185</v>
      </c>
      <c r="V82" s="5" t="s">
        <v>186</v>
      </c>
      <c r="W82" s="45">
        <f>IFERROR(Tabela11[[#This Row],[Lucro]]*1/Tabela11[[#This Row],[Capital total]],"")</f>
        <v>-0.6614687424916712</v>
      </c>
      <c r="X82" s="39">
        <f>Tabela11[[#This Row],[Lucro]]-C81</f>
        <v>-2.4356385585089981</v>
      </c>
      <c r="Y82" s="21" t="str">
        <f>PROPER(TEXT(DATE(2024,MONTH(Tabela11[[#This Row],[Data]]),1),"mmmm"))</f>
        <v>Abril</v>
      </c>
      <c r="Z82" s="21">
        <f>YEAR(Tabela11[[#This Row],[Data]])</f>
        <v>2025</v>
      </c>
      <c r="AA82" s="35">
        <f>Tabela11[[#This Row],[Capital investido]]-A81</f>
        <v>1.930865527812557</v>
      </c>
    </row>
    <row r="83" spans="1:27" x14ac:dyDescent="0.25">
      <c r="A83" s="42">
        <v>524.86021584502657</v>
      </c>
      <c r="B83" s="43">
        <v>319.68074377494622</v>
      </c>
      <c r="C83" s="43">
        <v>-205.17947207008041</v>
      </c>
      <c r="D83" s="43">
        <v>3.43</v>
      </c>
      <c r="E83" s="43"/>
      <c r="F83" s="43">
        <v>319.68074377494622</v>
      </c>
      <c r="G83" s="44" t="s">
        <v>86</v>
      </c>
      <c r="H83" s="43">
        <v>117.95021584502651</v>
      </c>
      <c r="I83" s="43"/>
      <c r="J83" s="43">
        <v>93.31</v>
      </c>
      <c r="K83" s="43">
        <v>123.04052792991961</v>
      </c>
      <c r="L83" s="43">
        <v>99.88</v>
      </c>
      <c r="M83" s="43">
        <v>5.910000000000025</v>
      </c>
      <c r="N83" s="43">
        <v>3.45999999999998</v>
      </c>
      <c r="O83" s="43">
        <v>6.4800000000000182</v>
      </c>
      <c r="P83" s="43">
        <v>0</v>
      </c>
      <c r="Q83" s="43">
        <v>35.1</v>
      </c>
      <c r="R83" s="43">
        <v>38.19</v>
      </c>
      <c r="S83" s="36" t="s">
        <v>86</v>
      </c>
      <c r="T83" s="37">
        <v>3.9960092971868283E-2</v>
      </c>
      <c r="U83" s="17" t="s">
        <v>187</v>
      </c>
      <c r="V83" s="5" t="s">
        <v>188</v>
      </c>
      <c r="W83" s="45">
        <f>IFERROR(Tabela11[[#This Row],[Lucro]]*1/Tabela11[[#This Row],[Capital total]],"")</f>
        <v>-0.64182618460912311</v>
      </c>
      <c r="X83" s="39">
        <f>Tabela11[[#This Row],[Lucro]]-C82</f>
        <v>0.99598591307318429</v>
      </c>
      <c r="Y83" s="21" t="str">
        <f>PROPER(TEXT(DATE(2024,MONTH(Tabela11[[#This Row],[Data]]),1),"mmmm"))</f>
        <v>Abril</v>
      </c>
      <c r="Z83" s="21">
        <f>YEAR(Tabela11[[#This Row],[Data]])</f>
        <v>2025</v>
      </c>
      <c r="AA83" s="35">
        <f>Tabela11[[#This Row],[Capital investido]]-A82</f>
        <v>6.9913327024072487</v>
      </c>
    </row>
    <row r="84" spans="1:27" x14ac:dyDescent="0.25">
      <c r="A84" s="42">
        <v>527.19223267407938</v>
      </c>
      <c r="B84" s="43">
        <v>319.32387310232559</v>
      </c>
      <c r="C84" s="43">
        <v>-207.86835957175381</v>
      </c>
      <c r="D84" s="43">
        <v>3.43</v>
      </c>
      <c r="E84" s="43"/>
      <c r="F84" s="43">
        <v>319.32387310232559</v>
      </c>
      <c r="G84" s="44" t="s">
        <v>86</v>
      </c>
      <c r="H84" s="43">
        <v>119.9222326740794</v>
      </c>
      <c r="I84" s="43"/>
      <c r="J84" s="43">
        <v>92.860000000000014</v>
      </c>
      <c r="K84" s="43">
        <v>122.3216404282462</v>
      </c>
      <c r="L84" s="43">
        <v>99.220000000000027</v>
      </c>
      <c r="M84" s="43">
        <v>5.910000000000025</v>
      </c>
      <c r="N84" s="43">
        <v>3.45999999999998</v>
      </c>
      <c r="O84" s="43">
        <v>6.4800000000000182</v>
      </c>
      <c r="P84" s="43">
        <v>0</v>
      </c>
      <c r="Q84" s="43">
        <v>33.75</v>
      </c>
      <c r="R84" s="43">
        <v>38.549999999999997</v>
      </c>
      <c r="S84" s="36" t="s">
        <v>86</v>
      </c>
      <c r="T84" s="37">
        <v>3.9915484137790697E-2</v>
      </c>
      <c r="U84" s="17" t="s">
        <v>189</v>
      </c>
      <c r="V84" s="5" t="s">
        <v>190</v>
      </c>
      <c r="W84" s="45">
        <f>IFERROR(Tabela11[[#This Row],[Lucro]]*1/Tabela11[[#This Row],[Capital total]],"")</f>
        <v>-0.65096404334649771</v>
      </c>
      <c r="X84" s="39">
        <f>Tabela11[[#This Row],[Lucro]]-C83</f>
        <v>-2.6888875016734062</v>
      </c>
      <c r="Y84" s="21" t="str">
        <f>PROPER(TEXT(DATE(2024,MONTH(Tabela11[[#This Row],[Data]]),1),"mmmm"))</f>
        <v>Abril</v>
      </c>
      <c r="Z84" s="21">
        <f>YEAR(Tabela11[[#This Row],[Data]])</f>
        <v>2025</v>
      </c>
      <c r="AA84" s="35">
        <f>Tabela11[[#This Row],[Capital investido]]-A83</f>
        <v>2.3320168290528045</v>
      </c>
    </row>
    <row r="85" spans="1:27" x14ac:dyDescent="0.25">
      <c r="A85" s="42">
        <v>820.73515288152021</v>
      </c>
      <c r="B85" s="43">
        <v>816.93629603650663</v>
      </c>
      <c r="C85" s="43">
        <v>-3.798856845013606</v>
      </c>
      <c r="D85" s="43">
        <v>4.8</v>
      </c>
      <c r="E85" s="43"/>
      <c r="F85" s="43">
        <v>816.93629603650663</v>
      </c>
      <c r="G85" s="44" t="s">
        <v>86</v>
      </c>
      <c r="H85" s="43">
        <v>121.9151528815202</v>
      </c>
      <c r="I85" s="43"/>
      <c r="J85" s="43">
        <v>142.87</v>
      </c>
      <c r="K85" s="43">
        <v>175.3211431549864</v>
      </c>
      <c r="L85" s="43">
        <v>185.63</v>
      </c>
      <c r="M85" s="43">
        <v>5.9099999999999682</v>
      </c>
      <c r="N85" s="43">
        <v>5.0499999999999554</v>
      </c>
      <c r="O85" s="43">
        <v>6.4800000000000182</v>
      </c>
      <c r="P85" s="43">
        <v>0</v>
      </c>
      <c r="Q85" s="43">
        <v>32.880000000000003</v>
      </c>
      <c r="R85" s="43">
        <v>38.549999999999997</v>
      </c>
      <c r="S85" s="36" t="s">
        <v>86</v>
      </c>
      <c r="T85" s="37">
        <v>0.1021170370045633</v>
      </c>
      <c r="U85" s="17" t="s">
        <v>191</v>
      </c>
      <c r="V85" s="5" t="s">
        <v>192</v>
      </c>
      <c r="W85" s="45">
        <f>IFERROR(Tabela11[[#This Row],[Lucro]]*1/Tabela11[[#This Row],[Capital total]],"")</f>
        <v>-4.6501261646034707E-3</v>
      </c>
      <c r="X85" s="39">
        <f>Tabela11[[#This Row],[Lucro]]-C84</f>
        <v>204.06950272674021</v>
      </c>
      <c r="Y85" s="21" t="str">
        <f>PROPER(TEXT(DATE(2024,MONTH(Tabela11[[#This Row],[Data]]),1),"mmmm"))</f>
        <v>Abril</v>
      </c>
      <c r="Z85" s="21">
        <f>YEAR(Tabela11[[#This Row],[Data]])</f>
        <v>2025</v>
      </c>
      <c r="AA85" s="35">
        <f>Tabela11[[#This Row],[Capital investido]]-A84</f>
        <v>293.54292020744083</v>
      </c>
    </row>
    <row r="86" spans="1:27" x14ac:dyDescent="0.25">
      <c r="A86" s="42">
        <v>820.73515288152021</v>
      </c>
      <c r="B86" s="43">
        <v>642.37229711199484</v>
      </c>
      <c r="C86" s="43">
        <v>-178.36285576952531</v>
      </c>
      <c r="D86" s="43">
        <v>4.8</v>
      </c>
      <c r="E86" s="43"/>
      <c r="F86" s="43">
        <v>642.37229711199484</v>
      </c>
      <c r="G86" s="43">
        <v>179.23599870000001</v>
      </c>
      <c r="H86" s="43">
        <v>121.9151528815202</v>
      </c>
      <c r="I86" s="43"/>
      <c r="J86" s="43">
        <v>142.87</v>
      </c>
      <c r="K86" s="43">
        <v>175.29714423047469</v>
      </c>
      <c r="L86" s="43">
        <v>185.63</v>
      </c>
      <c r="M86" s="43">
        <v>5.9099999999999682</v>
      </c>
      <c r="N86" s="43">
        <v>5.0499999999999554</v>
      </c>
      <c r="O86" s="43">
        <v>6.4800000000000182</v>
      </c>
      <c r="P86" s="43">
        <v>0</v>
      </c>
      <c r="Q86" s="43">
        <v>32.880000000000003</v>
      </c>
      <c r="R86" s="43">
        <v>38.549999999999997</v>
      </c>
      <c r="S86" s="36" t="s">
        <v>86</v>
      </c>
      <c r="T86" s="37">
        <v>8.0296537138999355E-2</v>
      </c>
      <c r="U86" s="17" t="s">
        <v>193</v>
      </c>
      <c r="V86" s="5" t="s">
        <v>194</v>
      </c>
      <c r="W86" s="45">
        <f>IFERROR(Tabela11[[#This Row],[Lucro]]*1/Tabela11[[#This Row],[Capital total]],"")</f>
        <v>-0.27766274568722338</v>
      </c>
      <c r="X86" s="39">
        <f>Tabela11[[#This Row],[Lucro]]-C85</f>
        <v>-174.56399892451171</v>
      </c>
      <c r="Y86" s="21" t="str">
        <f>PROPER(TEXT(DATE(2024,MONTH(Tabela11[[#This Row],[Data]]),1),"mmmm"))</f>
        <v>Abril</v>
      </c>
      <c r="Z86" s="21">
        <f>YEAR(Tabela11[[#This Row],[Data]])</f>
        <v>2025</v>
      </c>
      <c r="AA86" s="35">
        <f>Tabela11[[#This Row],[Capital investido]]-A85</f>
        <v>0</v>
      </c>
    </row>
    <row r="87" spans="1:27" x14ac:dyDescent="0.25">
      <c r="A87" s="42">
        <v>820.8851528815203</v>
      </c>
      <c r="B87" s="43">
        <v>642.67229711199502</v>
      </c>
      <c r="C87" s="43">
        <v>-178.21285576952531</v>
      </c>
      <c r="D87" s="43">
        <v>4.8</v>
      </c>
      <c r="E87" s="43"/>
      <c r="F87" s="43">
        <v>642.67229711199502</v>
      </c>
      <c r="G87" s="43">
        <v>179.23599870000001</v>
      </c>
      <c r="H87" s="43">
        <v>121.9151528815202</v>
      </c>
      <c r="I87" s="43"/>
      <c r="J87" s="43">
        <v>142.87</v>
      </c>
      <c r="K87" s="43">
        <v>175.29714423047469</v>
      </c>
      <c r="L87" s="43">
        <v>185.63</v>
      </c>
      <c r="M87" s="43">
        <v>5.9099999999999682</v>
      </c>
      <c r="N87" s="43">
        <v>5.0499999999999554</v>
      </c>
      <c r="O87" s="43">
        <v>6.4800000000000182</v>
      </c>
      <c r="P87" s="43">
        <v>0</v>
      </c>
      <c r="Q87" s="43">
        <v>32.880000000000003</v>
      </c>
      <c r="R87" s="43">
        <v>38.700000000000003</v>
      </c>
      <c r="S87" s="36" t="s">
        <v>86</v>
      </c>
      <c r="T87" s="37">
        <v>8.0334037138999378E-2</v>
      </c>
      <c r="U87" s="17" t="s">
        <v>193</v>
      </c>
      <c r="V87" s="5" t="s">
        <v>195</v>
      </c>
      <c r="W87" s="45">
        <f>IFERROR(Tabela11[[#This Row],[Lucro]]*1/Tabela11[[#This Row],[Capital total]],"")</f>
        <v>-0.27729973202574359</v>
      </c>
      <c r="X87" s="39">
        <f>Tabela11[[#This Row],[Lucro]]-C86</f>
        <v>0.15000000000000568</v>
      </c>
      <c r="Y87" s="21" t="str">
        <f>PROPER(TEXT(DATE(2024,MONTH(Tabela11[[#This Row],[Data]]),1),"mmmm"))</f>
        <v>Abril</v>
      </c>
      <c r="Z87" s="21">
        <f>YEAR(Tabela11[[#This Row],[Data]])</f>
        <v>2025</v>
      </c>
      <c r="AA87" s="35">
        <f>Tabela11[[#This Row],[Capital investido]]-A86</f>
        <v>0.15000000000009095</v>
      </c>
    </row>
    <row r="88" spans="1:27" x14ac:dyDescent="0.25">
      <c r="A88" s="42">
        <v>820.8851528815203</v>
      </c>
      <c r="B88" s="43">
        <v>641.24720099023216</v>
      </c>
      <c r="C88" s="43">
        <v>-179.63795189128811</v>
      </c>
      <c r="D88" s="43">
        <v>4.8</v>
      </c>
      <c r="E88" s="43"/>
      <c r="F88" s="43">
        <v>641.24720099023216</v>
      </c>
      <c r="G88" s="43">
        <v>179.24</v>
      </c>
      <c r="H88" s="43">
        <v>121.9151528815202</v>
      </c>
      <c r="I88" s="43"/>
      <c r="J88" s="43">
        <v>140.05999999999989</v>
      </c>
      <c r="K88" s="43">
        <v>177.4420481087119</v>
      </c>
      <c r="L88" s="43">
        <v>185.02</v>
      </c>
      <c r="M88" s="43">
        <v>5.9099999999999682</v>
      </c>
      <c r="N88" s="43">
        <v>5.0499999999999554</v>
      </c>
      <c r="O88" s="43">
        <v>6.4800000000000182</v>
      </c>
      <c r="P88" s="43">
        <v>0</v>
      </c>
      <c r="Q88" s="43">
        <v>32.86</v>
      </c>
      <c r="R88" s="43">
        <v>38.700000000000003</v>
      </c>
      <c r="S88" s="36" t="s">
        <v>86</v>
      </c>
      <c r="T88" s="37">
        <v>8.0155900123779017E-2</v>
      </c>
      <c r="U88" s="17" t="s">
        <v>196</v>
      </c>
      <c r="V88" s="5" t="s">
        <v>197</v>
      </c>
      <c r="W88" s="45">
        <f>IFERROR(Tabela11[[#This Row],[Lucro]]*1/Tabela11[[#This Row],[Capital total]],"")</f>
        <v>-0.28013837972919969</v>
      </c>
      <c r="X88" s="39">
        <f>Tabela11[[#This Row],[Lucro]]-C87</f>
        <v>-1.425096121762806</v>
      </c>
      <c r="Y88" s="21" t="str">
        <f>PROPER(TEXT(DATE(2024,MONTH(Tabela11[[#This Row],[Data]]),1),"mmmm"))</f>
        <v>Abril</v>
      </c>
      <c r="Z88" s="21">
        <f>YEAR(Tabela11[[#This Row],[Data]])</f>
        <v>2025</v>
      </c>
      <c r="AA88" s="35">
        <f>Tabela11[[#This Row],[Capital investido]]-A87</f>
        <v>0</v>
      </c>
    </row>
    <row r="89" spans="1:27" x14ac:dyDescent="0.25">
      <c r="A89" s="34">
        <v>820.8851528815203</v>
      </c>
      <c r="B89" s="35">
        <v>641.24720099023216</v>
      </c>
      <c r="C89" s="35">
        <v>-179.63795189128811</v>
      </c>
      <c r="D89" s="35">
        <v>4.8</v>
      </c>
      <c r="E89" s="35"/>
      <c r="F89" s="35">
        <v>641.24720099023216</v>
      </c>
      <c r="G89" s="35">
        <v>0</v>
      </c>
      <c r="H89" s="35">
        <v>121.9151528815202</v>
      </c>
      <c r="I89" s="35"/>
      <c r="J89" s="35">
        <v>140.05999999999989</v>
      </c>
      <c r="K89" s="35">
        <v>177.4420481087119</v>
      </c>
      <c r="L89" s="35">
        <v>185.02</v>
      </c>
      <c r="M89" s="35">
        <v>5.9099999999999682</v>
      </c>
      <c r="N89" s="35">
        <v>5.0499999999999554</v>
      </c>
      <c r="O89" s="35">
        <v>6.4800000000000182</v>
      </c>
      <c r="P89" s="35">
        <v>0</v>
      </c>
      <c r="Q89" s="35">
        <v>32.86</v>
      </c>
      <c r="R89" s="35">
        <v>38.700000000000003</v>
      </c>
      <c r="S89" s="36" t="s">
        <v>86</v>
      </c>
      <c r="T89" s="37">
        <v>8.0155900123779017E-2</v>
      </c>
      <c r="U89" s="18" t="s">
        <v>196</v>
      </c>
      <c r="V89" s="4" t="s">
        <v>198</v>
      </c>
      <c r="W89" s="38">
        <f>IFERROR(Tabela11[[#This Row],[Lucro]]*1/Tabela11[[#This Row],[Capital total]],"")</f>
        <v>-0.28013837972919969</v>
      </c>
      <c r="X89" s="39">
        <f>Tabela11[[#This Row],[Lucro]]-C88</f>
        <v>0</v>
      </c>
      <c r="Y89" s="21" t="str">
        <f>PROPER(TEXT(DATE(2024,MONTH(Tabela11[[#This Row],[Data]]),1),"mmmm"))</f>
        <v>Abril</v>
      </c>
      <c r="Z89" s="21">
        <f>YEAR(Tabela11[[#This Row],[Data]])</f>
        <v>2025</v>
      </c>
      <c r="AA89" s="35">
        <f>Tabela11[[#This Row],[Capital investido]]-A88</f>
        <v>0</v>
      </c>
    </row>
    <row r="90" spans="1:27" x14ac:dyDescent="0.25">
      <c r="A90" s="42">
        <v>820.8851528815203</v>
      </c>
      <c r="B90" s="43">
        <v>638.41106682307236</v>
      </c>
      <c r="C90" s="43">
        <v>-182.47408605844799</v>
      </c>
      <c r="D90" s="43">
        <v>4.8</v>
      </c>
      <c r="E90" s="43"/>
      <c r="F90" s="43">
        <v>638.41106682307236</v>
      </c>
      <c r="G90" s="35">
        <v>0</v>
      </c>
      <c r="H90" s="43">
        <v>121.9151528815202</v>
      </c>
      <c r="I90" s="43"/>
      <c r="J90" s="43">
        <v>134.84</v>
      </c>
      <c r="K90" s="43">
        <v>180.435913941552</v>
      </c>
      <c r="L90" s="43">
        <v>184.61</v>
      </c>
      <c r="M90" s="43">
        <v>5.9099999999999682</v>
      </c>
      <c r="N90" s="43">
        <v>5.0499999999999554</v>
      </c>
      <c r="O90" s="43">
        <v>6.4800000000000182</v>
      </c>
      <c r="P90" s="43">
        <v>0</v>
      </c>
      <c r="Q90" s="43">
        <v>32.9</v>
      </c>
      <c r="R90" s="43">
        <v>38.700000000000003</v>
      </c>
      <c r="S90" s="36" t="s">
        <v>86</v>
      </c>
      <c r="T90" s="37">
        <v>7.9801383352884045E-2</v>
      </c>
      <c r="U90" s="17" t="s">
        <v>199</v>
      </c>
      <c r="V90" s="5" t="s">
        <v>200</v>
      </c>
      <c r="W90" s="45">
        <f>IFERROR(Tabela11[[#This Row],[Lucro]]*1/Tabela11[[#This Row],[Capital total]],"")</f>
        <v>-0.28582538045039624</v>
      </c>
      <c r="X90" s="39">
        <f>Tabela11[[#This Row],[Lucro]]-C89</f>
        <v>-2.8361341671598836</v>
      </c>
      <c r="Y90" s="21" t="str">
        <f>PROPER(TEXT(DATE(2024,MONTH(Tabela11[[#This Row],[Data]]),1),"mmmm"))</f>
        <v>Abril</v>
      </c>
      <c r="Z90" s="21">
        <f>YEAR(Tabela11[[#This Row],[Data]])</f>
        <v>2025</v>
      </c>
      <c r="AA90" s="35">
        <f>Tabela11[[#This Row],[Capital investido]]-A89</f>
        <v>0</v>
      </c>
    </row>
    <row r="91" spans="1:27" x14ac:dyDescent="0.25">
      <c r="A91" s="42">
        <v>821.03515288152016</v>
      </c>
      <c r="B91" s="43">
        <v>642.91833045213082</v>
      </c>
      <c r="C91" s="43">
        <v>-178.1168224293894</v>
      </c>
      <c r="D91" s="43">
        <v>4.8</v>
      </c>
      <c r="E91" s="43"/>
      <c r="F91" s="43">
        <v>642.91833045213082</v>
      </c>
      <c r="G91" s="35">
        <v>0</v>
      </c>
      <c r="H91" s="43">
        <v>122.06515288152011</v>
      </c>
      <c r="I91" s="43"/>
      <c r="J91" s="43">
        <v>140.88999999999999</v>
      </c>
      <c r="K91" s="43">
        <v>174.55317757061059</v>
      </c>
      <c r="L91" s="43">
        <v>185.22</v>
      </c>
      <c r="M91" s="43">
        <v>5.9099999999999682</v>
      </c>
      <c r="N91" s="43">
        <v>5.0499999999999554</v>
      </c>
      <c r="O91" s="43">
        <v>6.4800000000000182</v>
      </c>
      <c r="P91" s="43">
        <v>0</v>
      </c>
      <c r="Q91" s="43">
        <v>34.46</v>
      </c>
      <c r="R91" s="43">
        <v>38.700000000000003</v>
      </c>
      <c r="S91" s="36" t="s">
        <v>86</v>
      </c>
      <c r="T91" s="37">
        <v>8.0364791306516359E-2</v>
      </c>
      <c r="U91" s="17" t="s">
        <v>199</v>
      </c>
      <c r="V91" s="5" t="s">
        <v>201</v>
      </c>
      <c r="W91" s="45">
        <f>IFERROR(Tabela11[[#This Row],[Lucro]]*1/Tabela11[[#This Row],[Capital total]],"")</f>
        <v>-0.27704424340200279</v>
      </c>
      <c r="X91" s="39">
        <f>Tabela11[[#This Row],[Lucro]]-C90</f>
        <v>4.3572636290585933</v>
      </c>
      <c r="Y91" s="21" t="str">
        <f>PROPER(TEXT(DATE(2024,MONTH(Tabela11[[#This Row],[Data]]),1),"mmmm"))</f>
        <v>Abril</v>
      </c>
      <c r="Z91" s="21">
        <f>YEAR(Tabela11[[#This Row],[Data]])</f>
        <v>2025</v>
      </c>
      <c r="AA91" s="35">
        <f>Tabela11[[#This Row],[Capital investido]]-A90</f>
        <v>0.14999999999986358</v>
      </c>
    </row>
    <row r="92" spans="1:27" x14ac:dyDescent="0.25">
      <c r="A92" s="42">
        <v>820.66515288152027</v>
      </c>
      <c r="B92" s="43">
        <v>646.37624091773364</v>
      </c>
      <c r="C92" s="43">
        <v>-174.2889119637866</v>
      </c>
      <c r="D92" s="43">
        <v>4.8</v>
      </c>
      <c r="E92" s="43"/>
      <c r="F92" s="43">
        <v>646.37624091773364</v>
      </c>
      <c r="G92" s="35">
        <v>0</v>
      </c>
      <c r="H92" s="43">
        <v>122.1351528815202</v>
      </c>
      <c r="I92" s="43"/>
      <c r="J92" s="43">
        <v>139.46</v>
      </c>
      <c r="K92" s="43">
        <v>176.5510880362134</v>
      </c>
      <c r="L92" s="43">
        <v>184.41</v>
      </c>
      <c r="M92" s="43">
        <v>5.9099999999999682</v>
      </c>
      <c r="N92" s="43">
        <v>5.0499999999999554</v>
      </c>
      <c r="O92" s="43">
        <v>6.4800000000000182</v>
      </c>
      <c r="P92" s="43">
        <v>0</v>
      </c>
      <c r="Q92" s="43">
        <v>33.93</v>
      </c>
      <c r="R92" s="43">
        <v>38.260000000000012</v>
      </c>
      <c r="S92" s="36" t="s">
        <v>86</v>
      </c>
      <c r="T92" s="37">
        <v>8.07970301147167E-2</v>
      </c>
      <c r="U92" s="17" t="s">
        <v>202</v>
      </c>
      <c r="V92" s="5" t="s">
        <v>203</v>
      </c>
      <c r="W92" s="45">
        <f>IFERROR(Tabela11[[#This Row],[Lucro]]*1/Tabela11[[#This Row],[Capital total]],"")</f>
        <v>-0.26964003459707753</v>
      </c>
      <c r="X92" s="39">
        <f>Tabela11[[#This Row],[Lucro]]-C91</f>
        <v>3.8279104656027982</v>
      </c>
      <c r="Y92" s="21" t="str">
        <f>PROPER(TEXT(DATE(2024,MONTH(Tabela11[[#This Row],[Data]]),1),"mmmm"))</f>
        <v>Abril</v>
      </c>
      <c r="Z92" s="21">
        <f>YEAR(Tabela11[[#This Row],[Data]])</f>
        <v>2025</v>
      </c>
      <c r="AA92" s="35">
        <f>Tabela11[[#This Row],[Capital investido]]-A91</f>
        <v>-0.36999999999989086</v>
      </c>
    </row>
    <row r="93" spans="1:27" x14ac:dyDescent="0.25">
      <c r="A93" s="42">
        <v>820.72515288152022</v>
      </c>
      <c r="B93" s="43">
        <v>633.95624091773357</v>
      </c>
      <c r="C93" s="43">
        <v>-186.76891196378659</v>
      </c>
      <c r="D93" s="43">
        <v>4.8</v>
      </c>
      <c r="E93" s="43"/>
      <c r="F93" s="43">
        <v>633.95624091773357</v>
      </c>
      <c r="G93" s="43">
        <v>192.11338739999999</v>
      </c>
      <c r="H93" s="43">
        <v>122.1351528815202</v>
      </c>
      <c r="I93" s="43"/>
      <c r="J93" s="43">
        <v>139.46</v>
      </c>
      <c r="K93" s="43">
        <v>176.5510880362134</v>
      </c>
      <c r="L93" s="43">
        <v>184.41</v>
      </c>
      <c r="M93" s="43">
        <v>5.9099999999999682</v>
      </c>
      <c r="N93" s="43">
        <v>5.0499999999999554</v>
      </c>
      <c r="O93" s="43">
        <v>6.5399999999999636</v>
      </c>
      <c r="P93" s="43">
        <v>0</v>
      </c>
      <c r="Q93" s="43">
        <v>33.93</v>
      </c>
      <c r="R93" s="43">
        <v>38.260000000000012</v>
      </c>
      <c r="S93" s="36" t="s">
        <v>86</v>
      </c>
      <c r="T93" s="37">
        <v>7.9244530114716702E-2</v>
      </c>
      <c r="U93" s="17" t="s">
        <v>202</v>
      </c>
      <c r="V93" s="5" t="s">
        <v>204</v>
      </c>
      <c r="W93" s="45">
        <f>IFERROR(Tabela11[[#This Row],[Lucro]]*1/Tabela11[[#This Row],[Capital total]],"")</f>
        <v>-0.29460852328453219</v>
      </c>
      <c r="X93" s="39">
        <f>Tabela11[[#This Row],[Lucro]]-C92</f>
        <v>-12.47999999999999</v>
      </c>
      <c r="Y93" s="21" t="str">
        <f>PROPER(TEXT(DATE(2024,MONTH(Tabela11[[#This Row],[Data]]),1),"mmmm"))</f>
        <v>Abril</v>
      </c>
      <c r="Z93" s="21">
        <f>YEAR(Tabela11[[#This Row],[Data]])</f>
        <v>2025</v>
      </c>
      <c r="AA93" s="35">
        <f>Tabela11[[#This Row],[Capital investido]]-A92</f>
        <v>5.999999999994543E-2</v>
      </c>
    </row>
    <row r="94" spans="1:27" x14ac:dyDescent="0.25">
      <c r="A94" s="42">
        <v>821.14515288152018</v>
      </c>
      <c r="B94" s="43">
        <v>637.0412671327598</v>
      </c>
      <c r="C94" s="43">
        <v>-184.1038857487604</v>
      </c>
      <c r="D94" s="43">
        <v>4.8</v>
      </c>
      <c r="E94" s="43"/>
      <c r="F94" s="43">
        <v>637.0412671327598</v>
      </c>
      <c r="G94" s="43" t="s">
        <v>86</v>
      </c>
      <c r="H94" s="43">
        <v>122.1951528815201</v>
      </c>
      <c r="I94" s="43"/>
      <c r="J94" s="43">
        <v>141.42999999999989</v>
      </c>
      <c r="K94" s="43">
        <v>175.96611425123959</v>
      </c>
      <c r="L94" s="43">
        <v>184.4</v>
      </c>
      <c r="M94" s="43">
        <v>5.9099999999999682</v>
      </c>
      <c r="N94" s="43">
        <v>5.0499999999999554</v>
      </c>
      <c r="O94" s="43">
        <v>6.5399999999999636</v>
      </c>
      <c r="P94" s="43">
        <v>0</v>
      </c>
      <c r="Q94" s="43">
        <v>34.04</v>
      </c>
      <c r="R94" s="43">
        <v>38.619999999999997</v>
      </c>
      <c r="S94" s="36" t="s">
        <v>86</v>
      </c>
      <c r="T94" s="37">
        <v>7.9630158391594971E-2</v>
      </c>
      <c r="U94" s="17" t="s">
        <v>205</v>
      </c>
      <c r="V94" s="5" t="s">
        <v>206</v>
      </c>
      <c r="W94" s="45">
        <f>IFERROR(Tabela11[[#This Row],[Lucro]]*1/Tabela11[[#This Row],[Capital total]],"")</f>
        <v>-0.28899836674221774</v>
      </c>
      <c r="X94" s="39">
        <f>Tabela11[[#This Row],[Lucro]]-C93</f>
        <v>2.6650262150261881</v>
      </c>
      <c r="Y94" s="21" t="str">
        <f>PROPER(TEXT(DATE(2024,MONTH(Tabela11[[#This Row],[Data]]),1),"mmmm"))</f>
        <v>Abril</v>
      </c>
      <c r="Z94" s="21">
        <f>YEAR(Tabela11[[#This Row],[Data]])</f>
        <v>2025</v>
      </c>
      <c r="AA94" s="35">
        <f>Tabela11[[#This Row],[Capital investido]]-A93</f>
        <v>0.41999999999995907</v>
      </c>
    </row>
    <row r="95" spans="1:27" x14ac:dyDescent="0.25">
      <c r="A95" s="42">
        <v>821.14515288152018</v>
      </c>
      <c r="B95" s="43">
        <v>514.84126713275964</v>
      </c>
      <c r="C95" s="43">
        <v>-306.30388574876048</v>
      </c>
      <c r="D95" s="43">
        <v>4.8</v>
      </c>
      <c r="E95" s="43"/>
      <c r="F95" s="43">
        <v>514.84126713275964</v>
      </c>
      <c r="G95" s="43">
        <v>317.60000000000002</v>
      </c>
      <c r="H95" s="43">
        <v>122.1951528815201</v>
      </c>
      <c r="I95" s="43"/>
      <c r="J95" s="43">
        <v>141.43000000000009</v>
      </c>
      <c r="K95" s="43">
        <v>175.96611425123959</v>
      </c>
      <c r="L95" s="43">
        <v>184.4</v>
      </c>
      <c r="M95" s="43">
        <v>5.9099999999999682</v>
      </c>
      <c r="N95" s="43">
        <v>5.0499999999999554</v>
      </c>
      <c r="O95" s="43">
        <v>6.5399999999999636</v>
      </c>
      <c r="P95" s="43">
        <v>0</v>
      </c>
      <c r="Q95" s="43">
        <v>34.04</v>
      </c>
      <c r="R95" s="43">
        <v>38.619999999999997</v>
      </c>
      <c r="S95" s="36" t="s">
        <v>86</v>
      </c>
      <c r="T95" s="37">
        <v>6.435515839159496E-2</v>
      </c>
      <c r="U95" s="17" t="s">
        <v>205</v>
      </c>
      <c r="V95" s="5" t="s">
        <v>207</v>
      </c>
      <c r="W95" s="45">
        <f>IFERROR(Tabela11[[#This Row],[Lucro]]*1/Tabela11[[#This Row],[Capital total]],"")</f>
        <v>-0.59494820113123403</v>
      </c>
      <c r="X95" s="39">
        <f>Tabela11[[#This Row],[Lucro]]-C94</f>
        <v>-122.20000000000007</v>
      </c>
      <c r="Y95" s="21" t="str">
        <f>PROPER(TEXT(DATE(2024,MONTH(Tabela11[[#This Row],[Data]]),1),"mmmm"))</f>
        <v>Abril</v>
      </c>
      <c r="Z95" s="21">
        <f>YEAR(Tabela11[[#This Row],[Data]])</f>
        <v>2025</v>
      </c>
      <c r="AA95" s="35">
        <f>Tabela11[[#This Row],[Capital investido]]-A94</f>
        <v>0</v>
      </c>
    </row>
    <row r="96" spans="1:27" x14ac:dyDescent="0.25">
      <c r="A96" s="42">
        <v>821.14515288152018</v>
      </c>
      <c r="B96" s="43">
        <v>514.84126713275964</v>
      </c>
      <c r="C96" s="43">
        <v>-306.30388574876048</v>
      </c>
      <c r="D96" s="43">
        <v>4.8</v>
      </c>
      <c r="E96" s="43"/>
      <c r="F96" s="43">
        <v>514.84126713275964</v>
      </c>
      <c r="G96" s="43">
        <v>0</v>
      </c>
      <c r="H96" s="43">
        <v>122.1951528815201</v>
      </c>
      <c r="I96" s="43"/>
      <c r="J96" s="43">
        <v>141.43000000000009</v>
      </c>
      <c r="K96" s="43">
        <v>175.96611425123959</v>
      </c>
      <c r="L96" s="43">
        <v>184.4</v>
      </c>
      <c r="M96" s="43">
        <v>5.9099999999999682</v>
      </c>
      <c r="N96" s="43">
        <v>5.0499999999999554</v>
      </c>
      <c r="O96" s="43">
        <v>6.5399999999999636</v>
      </c>
      <c r="P96" s="43">
        <v>0</v>
      </c>
      <c r="Q96" s="43">
        <v>34.04</v>
      </c>
      <c r="R96" s="43">
        <v>38.619999999999997</v>
      </c>
      <c r="S96" s="44" t="s">
        <v>86</v>
      </c>
      <c r="T96" s="37">
        <v>6.435515839159496E-2</v>
      </c>
      <c r="U96" s="17" t="s">
        <v>208</v>
      </c>
      <c r="V96" s="5" t="s">
        <v>209</v>
      </c>
      <c r="W96" s="45">
        <f>IFERROR(Tabela11[[#This Row],[Lucro]]*1/Tabela11[[#This Row],[Capital total]],"")</f>
        <v>-0.59494820113123403</v>
      </c>
      <c r="X96" s="39">
        <f>Tabela11[[#This Row],[Lucro]]-C95</f>
        <v>0</v>
      </c>
      <c r="Y96" s="21" t="str">
        <f>PROPER(TEXT(DATE(2024,MONTH(Tabela11[[#This Row],[Data]]),1),"mmmm"))</f>
        <v>Abril</v>
      </c>
      <c r="Z96" s="21">
        <f>YEAR(Tabela11[[#This Row],[Data]])</f>
        <v>2025</v>
      </c>
      <c r="AA96" s="35">
        <f>Tabela11[[#This Row],[Capital investido]]-A95</f>
        <v>0</v>
      </c>
    </row>
    <row r="97" spans="1:30" x14ac:dyDescent="0.25">
      <c r="A97" s="42">
        <v>821.14515288152018</v>
      </c>
      <c r="B97" s="43">
        <v>514.84126713275964</v>
      </c>
      <c r="C97" s="43">
        <v>-306.30388574876048</v>
      </c>
      <c r="D97" s="43">
        <v>4.8</v>
      </c>
      <c r="E97" s="43"/>
      <c r="F97" s="43">
        <v>514.84126713275964</v>
      </c>
      <c r="G97" s="43">
        <v>0</v>
      </c>
      <c r="H97" s="43">
        <v>122.1951528815201</v>
      </c>
      <c r="I97" s="43"/>
      <c r="J97" s="43">
        <v>141.43000000000009</v>
      </c>
      <c r="K97" s="43">
        <v>175.96611425123959</v>
      </c>
      <c r="L97" s="43">
        <v>184.4</v>
      </c>
      <c r="M97" s="43">
        <v>5.9099999999999682</v>
      </c>
      <c r="N97" s="43">
        <v>5.0499999999999554</v>
      </c>
      <c r="O97" s="43">
        <v>6.5399999999999636</v>
      </c>
      <c r="P97" s="43">
        <v>0</v>
      </c>
      <c r="Q97" s="43">
        <v>34.04</v>
      </c>
      <c r="R97" s="43">
        <v>38.619999999999997</v>
      </c>
      <c r="S97" s="43">
        <v>109.43</v>
      </c>
      <c r="T97" s="37">
        <v>6.435515839159496E-2</v>
      </c>
      <c r="U97" s="17" t="s">
        <v>208</v>
      </c>
      <c r="V97" s="5" t="s">
        <v>210</v>
      </c>
      <c r="W97" s="45">
        <f>IFERROR(Tabela11[[#This Row],[Lucro]]*1/Tabela11[[#This Row],[Capital total]],"")</f>
        <v>-0.59494820113123403</v>
      </c>
      <c r="X97" s="39">
        <f>Tabela11[[#This Row],[Lucro]]-C96</f>
        <v>0</v>
      </c>
      <c r="Y97" s="21" t="str">
        <f>PROPER(TEXT(DATE(2024,MONTH(Tabela11[[#This Row],[Data]]),1),"mmmm"))</f>
        <v>Abril</v>
      </c>
      <c r="Z97" s="21">
        <f>YEAR(Tabela11[[#This Row],[Data]])</f>
        <v>2025</v>
      </c>
      <c r="AA97" s="35">
        <f>Tabela11[[#This Row],[Capital investido]]-A96</f>
        <v>0</v>
      </c>
    </row>
    <row r="98" spans="1:30" x14ac:dyDescent="0.25">
      <c r="A98" s="42">
        <v>822.23515288152021</v>
      </c>
      <c r="B98" s="43">
        <v>520.09923943893727</v>
      </c>
      <c r="C98" s="43">
        <v>-302.13591344258288</v>
      </c>
      <c r="D98" s="43">
        <v>4.8</v>
      </c>
      <c r="E98" s="43"/>
      <c r="F98" s="43">
        <v>520.09923943893727</v>
      </c>
      <c r="G98" s="43">
        <v>0</v>
      </c>
      <c r="H98" s="43">
        <v>122.1951528815201</v>
      </c>
      <c r="I98" s="43"/>
      <c r="J98" s="43">
        <v>141.44999999999999</v>
      </c>
      <c r="K98" s="43">
        <v>176.58408655741701</v>
      </c>
      <c r="L98" s="43">
        <v>185.44000000000011</v>
      </c>
      <c r="M98" s="43">
        <v>7</v>
      </c>
      <c r="N98" s="43">
        <v>5.0499999999999554</v>
      </c>
      <c r="O98" s="43">
        <v>6.5399999999999636</v>
      </c>
      <c r="P98" s="43">
        <v>0</v>
      </c>
      <c r="Q98" s="43">
        <v>34.64</v>
      </c>
      <c r="R98" s="43">
        <v>38.619999999999997</v>
      </c>
      <c r="S98" s="43">
        <v>109.8</v>
      </c>
      <c r="T98" s="37">
        <v>6.5012404929867165E-2</v>
      </c>
      <c r="U98" s="17" t="s">
        <v>211</v>
      </c>
      <c r="V98" s="5" t="s">
        <v>212</v>
      </c>
      <c r="W98" s="45">
        <f>IFERROR(Tabela11[[#This Row],[Lucro]]*1/Tabela11[[#This Row],[Capital total]],"")</f>
        <v>-0.58091973710347145</v>
      </c>
      <c r="X98" s="39">
        <f>Tabela11[[#This Row],[Lucro]]-C97</f>
        <v>4.1679723061776031</v>
      </c>
      <c r="Y98" s="21" t="str">
        <f>PROPER(TEXT(DATE(2024,MONTH(Tabela11[[#This Row],[Data]]),1),"mmmm"))</f>
        <v>Abril</v>
      </c>
      <c r="Z98" s="21">
        <f>YEAR(Tabela11[[#This Row],[Data]])</f>
        <v>2025</v>
      </c>
      <c r="AA98" s="35">
        <f>Tabela11[[#This Row],[Capital investido]]-A97</f>
        <v>1.0900000000000318</v>
      </c>
    </row>
    <row r="99" spans="1:30" x14ac:dyDescent="0.25">
      <c r="A99" s="42">
        <v>822.48515288152032</v>
      </c>
      <c r="B99" s="43">
        <v>520.07226619170774</v>
      </c>
      <c r="C99" s="43">
        <v>-302.41288668981252</v>
      </c>
      <c r="D99" s="43">
        <v>4.8</v>
      </c>
      <c r="E99" s="43"/>
      <c r="F99" s="43">
        <v>520.07226619170774</v>
      </c>
      <c r="G99" s="43">
        <v>317.60117839999998</v>
      </c>
      <c r="H99" s="43">
        <v>122.1951528815201</v>
      </c>
      <c r="I99" s="43"/>
      <c r="J99" s="43">
        <v>118.62</v>
      </c>
      <c r="K99" s="43">
        <v>175.9871133101874</v>
      </c>
      <c r="L99" s="43">
        <v>207.04</v>
      </c>
      <c r="M99" s="43">
        <v>7</v>
      </c>
      <c r="N99" s="43">
        <v>5.0499999999999554</v>
      </c>
      <c r="O99" s="43">
        <v>6.5399999999999636</v>
      </c>
      <c r="P99" s="43">
        <v>0</v>
      </c>
      <c r="Q99" s="43">
        <v>34.130000000000003</v>
      </c>
      <c r="R99" s="43">
        <v>39.07</v>
      </c>
      <c r="S99" s="43">
        <v>110.81</v>
      </c>
      <c r="T99" s="37">
        <v>6.5009033273963471E-2</v>
      </c>
      <c r="U99" s="17" t="s">
        <v>213</v>
      </c>
      <c r="V99" s="5" t="s">
        <v>153</v>
      </c>
      <c r="W99" s="45">
        <f>IFERROR(Tabela11[[#This Row],[Lucro]]*1/Tabela11[[#This Row],[Capital total]],"")</f>
        <v>-0.58148243301698732</v>
      </c>
      <c r="X99" s="39">
        <f>Tabela11[[#This Row],[Lucro]]-C98</f>
        <v>-0.27697324722964822</v>
      </c>
      <c r="Y99" s="21" t="str">
        <f>PROPER(TEXT(DATE(2024,MONTH(Tabela11[[#This Row],[Data]]),1),"mmmm"))</f>
        <v>Abril</v>
      </c>
      <c r="Z99" s="21">
        <f>YEAR(Tabela11[[#This Row],[Data]])</f>
        <v>2025</v>
      </c>
      <c r="AA99" s="35">
        <f>Tabela11[[#This Row],[Capital investido]]-A98</f>
        <v>0.25000000000011369</v>
      </c>
    </row>
    <row r="100" spans="1:30" x14ac:dyDescent="0.25">
      <c r="A100" s="42">
        <v>822.53515288152028</v>
      </c>
      <c r="B100" s="43">
        <v>523.02834658445488</v>
      </c>
      <c r="C100" s="43">
        <v>-299.5068062970654</v>
      </c>
      <c r="D100" s="43">
        <v>4.8</v>
      </c>
      <c r="E100" s="43"/>
      <c r="F100" s="43">
        <v>523.02834658445488</v>
      </c>
      <c r="G100" s="43">
        <v>0</v>
      </c>
      <c r="H100" s="43">
        <v>122.1951528815201</v>
      </c>
      <c r="I100" s="43"/>
      <c r="J100" s="43">
        <v>118.7</v>
      </c>
      <c r="K100" s="43">
        <v>174.19319370293439</v>
      </c>
      <c r="L100" s="43">
        <v>207.66</v>
      </c>
      <c r="M100" s="43">
        <v>7</v>
      </c>
      <c r="N100" s="43">
        <v>5.0499999999999554</v>
      </c>
      <c r="O100" s="43">
        <v>6.5399999999999636</v>
      </c>
      <c r="P100" s="43">
        <v>0</v>
      </c>
      <c r="Q100" s="43">
        <v>33.99</v>
      </c>
      <c r="R100" s="43">
        <v>39.119999999999997</v>
      </c>
      <c r="S100" s="43">
        <v>114.6</v>
      </c>
      <c r="T100" s="37">
        <v>6.5378543323056856E-2</v>
      </c>
      <c r="U100" s="17" t="s">
        <v>214</v>
      </c>
      <c r="V100" s="5" t="s">
        <v>215</v>
      </c>
      <c r="W100" s="45">
        <f>IFERROR(Tabela11[[#This Row],[Lucro]]*1/Tabela11[[#This Row],[Capital total]],"")</f>
        <v>-0.57263972068233437</v>
      </c>
      <c r="X100" s="39">
        <f>Tabela11[[#This Row],[Lucro]]-C99</f>
        <v>2.9060803927471284</v>
      </c>
      <c r="Y100" s="21" t="str">
        <f>PROPER(TEXT(DATE(2024,MONTH(Tabela11[[#This Row],[Data]]),1),"mmmm"))</f>
        <v>Abril</v>
      </c>
      <c r="Z100" s="21">
        <f>YEAR(Tabela11[[#This Row],[Data]])</f>
        <v>2025</v>
      </c>
      <c r="AA100" s="35">
        <f>Tabela11[[#This Row],[Capital investido]]-A99</f>
        <v>4.9999999999954525E-2</v>
      </c>
    </row>
    <row r="101" spans="1:30" x14ac:dyDescent="0.25">
      <c r="A101" s="42">
        <v>822.53515288152028</v>
      </c>
      <c r="B101" s="43">
        <v>533.02834658445488</v>
      </c>
      <c r="C101" s="43">
        <v>-289.5068062970654</v>
      </c>
      <c r="D101" s="43">
        <v>4.8</v>
      </c>
      <c r="E101" s="43"/>
      <c r="F101" s="43">
        <v>533.02834658445488</v>
      </c>
      <c r="G101" s="43">
        <v>315.9516476</v>
      </c>
      <c r="H101" s="43">
        <v>122.1951528815201</v>
      </c>
      <c r="I101" s="43"/>
      <c r="J101" s="43">
        <v>118.7</v>
      </c>
      <c r="K101" s="43">
        <v>174.19319370293439</v>
      </c>
      <c r="L101" s="43">
        <v>207.66</v>
      </c>
      <c r="M101" s="43">
        <v>7</v>
      </c>
      <c r="N101" s="43">
        <v>5.0499999999999554</v>
      </c>
      <c r="O101" s="43">
        <v>6.5399999999999636</v>
      </c>
      <c r="P101" s="43">
        <v>0</v>
      </c>
      <c r="Q101" s="43">
        <v>33.99</v>
      </c>
      <c r="R101" s="43">
        <v>39.119999999999997</v>
      </c>
      <c r="S101" s="43">
        <v>114.6</v>
      </c>
      <c r="T101" s="37">
        <v>6.6628543323056857E-2</v>
      </c>
      <c r="U101" s="17" t="s">
        <v>216</v>
      </c>
      <c r="V101" s="5" t="s">
        <v>217</v>
      </c>
      <c r="W101" s="45">
        <f>IFERROR(Tabela11[[#This Row],[Lucro]]*1/Tabela11[[#This Row],[Capital total]],"")</f>
        <v>-0.54313585412890408</v>
      </c>
      <c r="X101" s="39">
        <f>Tabela11[[#This Row],[Lucro]]-C100</f>
        <v>10</v>
      </c>
      <c r="Y101" s="21" t="str">
        <f>PROPER(TEXT(DATE(2024,MONTH(Tabela11[[#This Row],[Data]]),1),"mmmm"))</f>
        <v>Abril</v>
      </c>
      <c r="Z101" s="21">
        <f>YEAR(Tabela11[[#This Row],[Data]])</f>
        <v>2025</v>
      </c>
      <c r="AA101" s="35">
        <f>Tabela11[[#This Row],[Capital investido]]-A100</f>
        <v>0</v>
      </c>
    </row>
    <row r="102" spans="1:30" x14ac:dyDescent="0.25">
      <c r="A102" s="42">
        <v>856.14933614454685</v>
      </c>
      <c r="B102" s="43">
        <v>566.64252984748146</v>
      </c>
      <c r="C102" s="43">
        <v>-289.5068062970654</v>
      </c>
      <c r="D102" s="43">
        <v>4.8</v>
      </c>
      <c r="E102" s="43"/>
      <c r="F102" s="43">
        <v>566.64252984748146</v>
      </c>
      <c r="G102" s="43">
        <v>315.9516476</v>
      </c>
      <c r="H102" s="43">
        <v>155.80933614454679</v>
      </c>
      <c r="I102" s="43"/>
      <c r="J102" s="43">
        <v>118.7</v>
      </c>
      <c r="K102" s="43">
        <v>174.19319370293439</v>
      </c>
      <c r="L102" s="43">
        <v>207.66</v>
      </c>
      <c r="M102" s="43">
        <v>7</v>
      </c>
      <c r="N102" s="43">
        <v>5.0499999999999554</v>
      </c>
      <c r="O102" s="43">
        <v>6.5399999999999636</v>
      </c>
      <c r="P102" s="43">
        <v>0</v>
      </c>
      <c r="Q102" s="43">
        <v>33.99</v>
      </c>
      <c r="R102" s="43">
        <v>39.119999999999997</v>
      </c>
      <c r="S102" s="43">
        <v>114.6</v>
      </c>
      <c r="T102" s="37">
        <v>7.0830316230935178E-2</v>
      </c>
      <c r="U102" s="17" t="s">
        <v>216</v>
      </c>
      <c r="V102" s="5" t="s">
        <v>218</v>
      </c>
      <c r="W102" s="45">
        <f>IFERROR(Tabela11[[#This Row],[Lucro]]*1/Tabela11[[#This Row],[Capital total]],"")</f>
        <v>-0.51091612621274574</v>
      </c>
      <c r="X102" s="39">
        <f>Tabela11[[#This Row],[Lucro]]-C101</f>
        <v>0</v>
      </c>
      <c r="Y102" s="21" t="str">
        <f>PROPER(TEXT(DATE(2024,MONTH(Tabela11[[#This Row],[Data]]),1),"mmmm"))</f>
        <v>Abril</v>
      </c>
      <c r="Z102" s="21">
        <f>YEAR(Tabela11[[#This Row],[Data]])</f>
        <v>2025</v>
      </c>
      <c r="AA102" s="35">
        <f>Tabela11[[#This Row],[Capital investido]]-A101</f>
        <v>33.614183263026575</v>
      </c>
    </row>
    <row r="103" spans="1:30" x14ac:dyDescent="0.25">
      <c r="A103" s="42">
        <v>856.14933614454685</v>
      </c>
      <c r="B103" s="43">
        <v>565.77869627928897</v>
      </c>
      <c r="C103" s="43">
        <v>-290.37063986525789</v>
      </c>
      <c r="D103" s="43">
        <v>4.8</v>
      </c>
      <c r="E103" s="43"/>
      <c r="F103" s="43">
        <v>565.77869627928897</v>
      </c>
      <c r="G103" s="43">
        <v>315.9516476</v>
      </c>
      <c r="H103" s="43">
        <v>155.80933614454679</v>
      </c>
      <c r="I103" s="43"/>
      <c r="J103" s="43">
        <v>119.76</v>
      </c>
      <c r="K103" s="43">
        <v>170.479360134742</v>
      </c>
      <c r="L103" s="43">
        <v>208.69000000000011</v>
      </c>
      <c r="M103" s="43">
        <v>7</v>
      </c>
      <c r="N103" s="43">
        <v>5.0499999999999554</v>
      </c>
      <c r="O103" s="43">
        <v>6.5399999999999636</v>
      </c>
      <c r="P103" s="43">
        <v>0</v>
      </c>
      <c r="Q103" s="43">
        <v>34.130000000000003</v>
      </c>
      <c r="R103" s="43">
        <v>39.119999999999997</v>
      </c>
      <c r="S103" s="43">
        <v>114.6</v>
      </c>
      <c r="T103" s="37">
        <v>7.0722337034911126E-2</v>
      </c>
      <c r="U103" s="17" t="s">
        <v>219</v>
      </c>
      <c r="V103" s="5" t="s">
        <v>220</v>
      </c>
      <c r="W103" s="45">
        <f>IFERROR(Tabela11[[#This Row],[Lucro]]*1/Tabela11[[#This Row],[Capital total]],"")</f>
        <v>-0.51322300004367849</v>
      </c>
      <c r="X103" s="39">
        <f>Tabela11[[#This Row],[Lucro]]-C102</f>
        <v>-0.86383356819249002</v>
      </c>
      <c r="Y103" s="21" t="str">
        <f>PROPER(TEXT(DATE(2024,MONTH(Tabela11[[#This Row],[Data]]),1),"mmmm"))</f>
        <v>Abril</v>
      </c>
      <c r="Z103" s="21">
        <f>YEAR(Tabela11[[#This Row],[Data]])</f>
        <v>2025</v>
      </c>
      <c r="AA103" s="35">
        <f>Tabela11[[#This Row],[Capital investido]]-A102</f>
        <v>0</v>
      </c>
    </row>
    <row r="104" spans="1:30" x14ac:dyDescent="0.25">
      <c r="A104" s="42">
        <v>856.36933614454688</v>
      </c>
      <c r="B104" s="43">
        <v>565.84670757191566</v>
      </c>
      <c r="C104" s="43">
        <v>-290.52262857263122</v>
      </c>
      <c r="D104" s="43">
        <v>4.8</v>
      </c>
      <c r="E104" s="43"/>
      <c r="F104" s="43">
        <v>565.84670757191566</v>
      </c>
      <c r="G104" s="43">
        <v>315.9516476</v>
      </c>
      <c r="H104" s="43">
        <v>155.80933614454679</v>
      </c>
      <c r="I104" s="43"/>
      <c r="J104" s="43">
        <v>119.76</v>
      </c>
      <c r="K104" s="43">
        <v>170.22737142736869</v>
      </c>
      <c r="L104" s="43">
        <v>208.69000000000011</v>
      </c>
      <c r="M104" s="43">
        <v>7</v>
      </c>
      <c r="N104" s="43">
        <v>5.0499999999999554</v>
      </c>
      <c r="O104" s="43">
        <v>6.5399999999999636</v>
      </c>
      <c r="P104" s="43">
        <v>0</v>
      </c>
      <c r="Q104" s="43">
        <v>34.130000000000003</v>
      </c>
      <c r="R104" s="43">
        <v>39.340000000000003</v>
      </c>
      <c r="S104" s="43">
        <v>114.48</v>
      </c>
      <c r="T104" s="37">
        <v>7.0730838446489461E-2</v>
      </c>
      <c r="U104" s="17" t="s">
        <v>219</v>
      </c>
      <c r="V104" s="5" t="s">
        <v>221</v>
      </c>
      <c r="W104" s="45">
        <f>IFERROR(Tabela11[[#This Row],[Lucro]]*1/Tabela11[[#This Row],[Capital total]],"")</f>
        <v>-0.51342991782930458</v>
      </c>
      <c r="X104" s="39">
        <f>Tabela11[[#This Row],[Lucro]]-C103</f>
        <v>-0.15198870737333436</v>
      </c>
      <c r="Y104" s="21" t="str">
        <f>PROPER(TEXT(DATE(2024,MONTH(Tabela11[[#This Row],[Data]]),1),"mmmm"))</f>
        <v>Abril</v>
      </c>
      <c r="Z104" s="21">
        <f>YEAR(Tabela11[[#This Row],[Data]])</f>
        <v>2025</v>
      </c>
      <c r="AA104" s="35">
        <f>Tabela11[[#This Row],[Capital investido]]-A103</f>
        <v>0.22000000000002728</v>
      </c>
    </row>
    <row r="105" spans="1:30" x14ac:dyDescent="0.25">
      <c r="A105" s="34">
        <v>856.36933614454688</v>
      </c>
      <c r="B105" s="35">
        <v>568.93669950575372</v>
      </c>
      <c r="C105" s="35">
        <v>-287.4326366387931</v>
      </c>
      <c r="D105" s="35">
        <v>4.8</v>
      </c>
      <c r="E105" s="35"/>
      <c r="F105" s="35">
        <v>568.93669950575372</v>
      </c>
      <c r="G105" s="43">
        <v>315.9516476</v>
      </c>
      <c r="H105" s="35">
        <v>155.80933614454679</v>
      </c>
      <c r="I105" s="35"/>
      <c r="J105" s="35">
        <v>120.53</v>
      </c>
      <c r="K105" s="35">
        <v>170.40736336120679</v>
      </c>
      <c r="L105" s="35">
        <v>209.61</v>
      </c>
      <c r="M105" s="35">
        <v>7</v>
      </c>
      <c r="N105" s="35">
        <v>5.0499999999999554</v>
      </c>
      <c r="O105" s="35">
        <v>6.5399999999999636</v>
      </c>
      <c r="P105" s="35">
        <v>0</v>
      </c>
      <c r="Q105" s="35">
        <v>34.49</v>
      </c>
      <c r="R105" s="35">
        <v>39.340000000000003</v>
      </c>
      <c r="S105" s="43">
        <v>114.48</v>
      </c>
      <c r="T105" s="37">
        <v>7.111708743821922E-2</v>
      </c>
      <c r="U105" s="18" t="s">
        <v>219</v>
      </c>
      <c r="V105" s="4" t="s">
        <v>222</v>
      </c>
      <c r="W105" s="38">
        <f>IFERROR(Tabela11[[#This Row],[Lucro]]*1/Tabela11[[#This Row],[Capital total]],"")</f>
        <v>-0.50521022266359572</v>
      </c>
      <c r="X105" s="39">
        <f>Tabela11[[#This Row],[Lucro]]-C104</f>
        <v>3.089991933838121</v>
      </c>
      <c r="Y105" s="21" t="str">
        <f>PROPER(TEXT(DATE(2024,MONTH(Tabela11[[#This Row],[Data]]),1),"mmmm"))</f>
        <v>Abril</v>
      </c>
      <c r="Z105" s="21">
        <f>YEAR(Tabela11[[#This Row],[Data]])</f>
        <v>2025</v>
      </c>
      <c r="AA105" s="35">
        <f>Tabela11[[#This Row],[Capital investido]]-A104</f>
        <v>0</v>
      </c>
      <c r="AD105" s="46"/>
    </row>
    <row r="106" spans="1:30" x14ac:dyDescent="0.25">
      <c r="A106" s="42">
        <v>856.78933614454684</v>
      </c>
      <c r="B106" s="43">
        <v>567.79669143959177</v>
      </c>
      <c r="C106" s="43">
        <v>-288.99264470495513</v>
      </c>
      <c r="D106" s="43">
        <v>4.8</v>
      </c>
      <c r="E106" s="43"/>
      <c r="F106" s="43">
        <v>567.79669143959177</v>
      </c>
      <c r="G106" s="43">
        <v>315.9516476</v>
      </c>
      <c r="H106" s="43">
        <v>155.80933614454679</v>
      </c>
      <c r="I106" s="43"/>
      <c r="J106" s="43">
        <v>120.89</v>
      </c>
      <c r="K106" s="43">
        <v>170.58735529504469</v>
      </c>
      <c r="L106" s="43">
        <v>210.49</v>
      </c>
      <c r="M106" s="43">
        <v>7</v>
      </c>
      <c r="N106" s="43">
        <v>5.0499999999999554</v>
      </c>
      <c r="O106" s="43">
        <v>6.5399999999999636</v>
      </c>
      <c r="P106" s="43">
        <v>0</v>
      </c>
      <c r="Q106" s="43">
        <v>34.709999999999987</v>
      </c>
      <c r="R106" s="43">
        <v>39.760000000000012</v>
      </c>
      <c r="S106" s="47">
        <v>110.62</v>
      </c>
      <c r="T106" s="37">
        <v>7.0974586429948971E-2</v>
      </c>
      <c r="U106" s="17" t="s">
        <v>223</v>
      </c>
      <c r="V106" s="5" t="s">
        <v>224</v>
      </c>
      <c r="W106" s="45">
        <f>IFERROR(Tabela11[[#This Row],[Lucro]]*1/Tabela11[[#This Row],[Capital total]],"")</f>
        <v>-0.50897204767474635</v>
      </c>
      <c r="X106" s="39">
        <f>Tabela11[[#This Row],[Lucro]]-C105</f>
        <v>-1.5600080661620268</v>
      </c>
      <c r="Y106" s="21" t="str">
        <f>PROPER(TEXT(DATE(2024,MONTH(Tabela11[[#This Row],[Data]]),1),"mmmm"))</f>
        <v>Abril</v>
      </c>
      <c r="Z106" s="21">
        <f>YEAR(Tabela11[[#This Row],[Data]])</f>
        <v>2025</v>
      </c>
      <c r="AA106" s="35">
        <f>Tabela11[[#This Row],[Capital investido]]-A105</f>
        <v>0.41999999999995907</v>
      </c>
    </row>
    <row r="107" spans="1:30" x14ac:dyDescent="0.25">
      <c r="A107" s="42">
        <v>856.78933614454684</v>
      </c>
      <c r="B107" s="43">
        <v>527.10273553461025</v>
      </c>
      <c r="C107" s="43">
        <v>-329.68660060993659</v>
      </c>
      <c r="D107" s="43">
        <v>4.8</v>
      </c>
      <c r="E107" s="43"/>
      <c r="F107" s="43">
        <v>527.10273553461025</v>
      </c>
      <c r="G107" s="44" t="s">
        <v>86</v>
      </c>
      <c r="H107" s="43">
        <v>155.80933614454679</v>
      </c>
      <c r="I107" s="43"/>
      <c r="J107" s="43">
        <v>120.87</v>
      </c>
      <c r="K107" s="43">
        <v>169.60339939006329</v>
      </c>
      <c r="L107" s="43">
        <v>210.75</v>
      </c>
      <c r="M107" s="43">
        <v>7</v>
      </c>
      <c r="N107" s="43">
        <v>5.0499999999999554</v>
      </c>
      <c r="O107" s="43">
        <v>6.5399999999999636</v>
      </c>
      <c r="P107" s="43">
        <v>0</v>
      </c>
      <c r="Q107" s="43">
        <v>34.67</v>
      </c>
      <c r="R107" s="43">
        <v>39.760000000000012</v>
      </c>
      <c r="S107" s="43">
        <v>110.62</v>
      </c>
      <c r="T107" s="37">
        <v>6.5887841941826286E-2</v>
      </c>
      <c r="U107" s="17" t="s">
        <v>225</v>
      </c>
      <c r="V107" s="5" t="s">
        <v>226</v>
      </c>
      <c r="W107" s="45">
        <f>IFERROR(Tabela11[[#This Row],[Lucro]]*1/Tabela11[[#This Row],[Capital total]],"")</f>
        <v>-0.62546934095410123</v>
      </c>
      <c r="X107" s="39">
        <f>Tabela11[[#This Row],[Lucro]]-C106</f>
        <v>-40.693955904981465</v>
      </c>
      <c r="Y107" s="21" t="str">
        <f>PROPER(TEXT(DATE(2024,MONTH(Tabela11[[#This Row],[Data]]),1),"mmmm"))</f>
        <v>Abril</v>
      </c>
      <c r="Z107" s="21">
        <f>YEAR(Tabela11[[#This Row],[Data]])</f>
        <v>2025</v>
      </c>
      <c r="AA107" s="35">
        <f>Tabela11[[#This Row],[Capital investido]]-A106</f>
        <v>0</v>
      </c>
    </row>
    <row r="108" spans="1:30" x14ac:dyDescent="0.25">
      <c r="A108" s="42">
        <v>856.78933614454684</v>
      </c>
      <c r="B108" s="43">
        <v>390.841780839553</v>
      </c>
      <c r="C108" s="43">
        <v>-465.94755530499378</v>
      </c>
      <c r="D108" s="43">
        <v>4.8</v>
      </c>
      <c r="E108" s="43"/>
      <c r="F108" s="43">
        <v>390.841780839553</v>
      </c>
      <c r="G108" s="44" t="s">
        <v>86</v>
      </c>
      <c r="H108" s="43">
        <v>155.8093361445469</v>
      </c>
      <c r="I108" s="43"/>
      <c r="J108" s="43">
        <v>121.29</v>
      </c>
      <c r="K108" s="43">
        <v>168.59244469500601</v>
      </c>
      <c r="L108" s="43">
        <v>210.33</v>
      </c>
      <c r="M108" s="43">
        <v>7</v>
      </c>
      <c r="N108" s="43">
        <v>5.0500000000000114</v>
      </c>
      <c r="O108" s="43">
        <v>6.5400000000000196</v>
      </c>
      <c r="P108" s="43">
        <v>0</v>
      </c>
      <c r="Q108" s="43">
        <v>34.75</v>
      </c>
      <c r="R108" s="43">
        <v>39.760000000000012</v>
      </c>
      <c r="S108" s="43">
        <v>110.62</v>
      </c>
      <c r="T108" s="37">
        <v>4.8855222604944133E-2</v>
      </c>
      <c r="U108" s="17" t="s">
        <v>227</v>
      </c>
      <c r="V108" s="5" t="s">
        <v>228</v>
      </c>
      <c r="W108" s="45">
        <f>IFERROR(Tabela11[[#This Row],[Lucro]]*1/Tabela11[[#This Row],[Capital total]],"")</f>
        <v>-1.1921641394226299</v>
      </c>
      <c r="X108" s="39">
        <f>Tabela11[[#This Row],[Lucro]]-C107</f>
        <v>-136.26095469505719</v>
      </c>
      <c r="Y108" s="21" t="str">
        <f>PROPER(TEXT(DATE(2024,MONTH(Tabela11[[#This Row],[Data]]),1),"mmmm"))</f>
        <v>Abril</v>
      </c>
      <c r="Z108" s="21">
        <f>YEAR(Tabela11[[#This Row],[Data]])</f>
        <v>2025</v>
      </c>
      <c r="AA108" s="35">
        <f>Tabela11[[#This Row],[Capital investido]]-A107</f>
        <v>0</v>
      </c>
    </row>
    <row r="109" spans="1:30" x14ac:dyDescent="0.25">
      <c r="A109" s="42">
        <v>856.78933614454684</v>
      </c>
      <c r="B109" s="43">
        <v>393.39473096378521</v>
      </c>
      <c r="C109" s="43">
        <v>-463.39460518076169</v>
      </c>
      <c r="D109" s="43">
        <v>4.8</v>
      </c>
      <c r="E109" s="43"/>
      <c r="F109" s="43">
        <v>393.39473096378521</v>
      </c>
      <c r="G109" s="44" t="s">
        <v>86</v>
      </c>
      <c r="H109" s="43">
        <v>155.80933614454679</v>
      </c>
      <c r="I109" s="43"/>
      <c r="J109" s="43">
        <v>121.97</v>
      </c>
      <c r="K109" s="43">
        <v>169.70539481923819</v>
      </c>
      <c r="L109" s="43">
        <v>210.35</v>
      </c>
      <c r="M109" s="43">
        <v>7</v>
      </c>
      <c r="N109" s="43">
        <v>5.0500000000000114</v>
      </c>
      <c r="O109" s="43">
        <v>6.5400000000000196</v>
      </c>
      <c r="P109" s="43">
        <v>0</v>
      </c>
      <c r="Q109" s="43">
        <v>35.380000000000003</v>
      </c>
      <c r="R109" s="43">
        <v>39.760000000000012</v>
      </c>
      <c r="S109" s="43">
        <v>110.62</v>
      </c>
      <c r="T109" s="37">
        <v>4.9174341370473149E-2</v>
      </c>
      <c r="U109" s="17" t="s">
        <v>229</v>
      </c>
      <c r="V109" s="5" t="s">
        <v>230</v>
      </c>
      <c r="W109" s="45">
        <f>IFERROR(Tabela11[[#This Row],[Lucro]]*1/Tabela11[[#This Row],[Capital total]],"")</f>
        <v>-1.1779380065551017</v>
      </c>
      <c r="X109" s="39">
        <f>Tabela11[[#This Row],[Lucro]]-C108</f>
        <v>2.5529501242320976</v>
      </c>
      <c r="Y109" s="21" t="str">
        <f>PROPER(TEXT(DATE(2024,MONTH(Tabela11[[#This Row],[Data]]),1),"mmmm"))</f>
        <v>Maio</v>
      </c>
      <c r="Z109" s="21">
        <f>YEAR(Tabela11[[#This Row],[Data]])</f>
        <v>2025</v>
      </c>
      <c r="AA109" s="35">
        <f>Tabela11[[#This Row],[Capital investido]]-A108</f>
        <v>0</v>
      </c>
    </row>
    <row r="110" spans="1:30" x14ac:dyDescent="0.25">
      <c r="A110" s="42">
        <v>856.78933614454684</v>
      </c>
      <c r="B110" s="43">
        <v>396.70161279451298</v>
      </c>
      <c r="C110" s="43">
        <v>-460.0877233500338</v>
      </c>
      <c r="D110" s="43">
        <v>4.8</v>
      </c>
      <c r="E110" s="43"/>
      <c r="F110" s="43">
        <v>396.70161279451298</v>
      </c>
      <c r="G110" s="43">
        <v>506.22689946000008</v>
      </c>
      <c r="H110" s="43">
        <v>155.80933614454679</v>
      </c>
      <c r="I110" s="43"/>
      <c r="J110" s="43">
        <v>119.6900000000001</v>
      </c>
      <c r="K110" s="43">
        <v>172.34227664996621</v>
      </c>
      <c r="L110" s="43">
        <v>209.85</v>
      </c>
      <c r="M110" s="43">
        <v>7</v>
      </c>
      <c r="N110" s="43">
        <v>5.0500000000000114</v>
      </c>
      <c r="O110" s="43">
        <v>6.5400000000000196</v>
      </c>
      <c r="P110" s="43">
        <v>0</v>
      </c>
      <c r="Q110" s="43">
        <v>35.61</v>
      </c>
      <c r="R110" s="43">
        <v>39.760000000000012</v>
      </c>
      <c r="S110" s="43">
        <v>114.03</v>
      </c>
      <c r="T110" s="37">
        <v>4.9587701599314117E-2</v>
      </c>
      <c r="U110" s="17" t="s">
        <v>31</v>
      </c>
      <c r="V110" s="5" t="s">
        <v>231</v>
      </c>
      <c r="W110" s="45">
        <f>IFERROR(Tabela11[[#This Row],[Lucro]]*1/Tabela11[[#This Row],[Capital total]],"")</f>
        <v>-1.159782840581377</v>
      </c>
      <c r="X110" s="39">
        <f>Tabela11[[#This Row],[Lucro]]-C109</f>
        <v>3.3068818307278889</v>
      </c>
      <c r="Y110" s="21" t="str">
        <f>PROPER(TEXT(DATE(2024,MONTH(Tabela11[[#This Row],[Data]]),1),"mmmm"))</f>
        <v>Maio</v>
      </c>
      <c r="Z110" s="21">
        <f>YEAR(Tabela11[[#This Row],[Data]])</f>
        <v>2025</v>
      </c>
      <c r="AA110" s="35">
        <f>Tabela11[[#This Row],[Capital investido]]-A109</f>
        <v>0</v>
      </c>
    </row>
    <row r="111" spans="1:30" x14ac:dyDescent="0.25">
      <c r="A111" s="42">
        <v>856.78933614454684</v>
      </c>
      <c r="B111" s="43">
        <v>648.3146127945131</v>
      </c>
      <c r="C111" s="43">
        <v>-208.4747233500338</v>
      </c>
      <c r="D111" s="43">
        <v>6.3069999999999986</v>
      </c>
      <c r="E111" s="43"/>
      <c r="F111" s="43">
        <v>648.3146127945131</v>
      </c>
      <c r="G111" s="43">
        <v>506.22689946000008</v>
      </c>
      <c r="H111" s="43">
        <v>155.80933614454679</v>
      </c>
      <c r="I111" s="43"/>
      <c r="J111" s="43">
        <v>119.6900000000001</v>
      </c>
      <c r="K111" s="43">
        <v>172.34227664996621</v>
      </c>
      <c r="L111" s="43">
        <v>209.84999999999991</v>
      </c>
      <c r="M111" s="43">
        <v>7</v>
      </c>
      <c r="N111" s="43">
        <v>5.0499999999999554</v>
      </c>
      <c r="O111" s="43">
        <v>6.5399999999999636</v>
      </c>
      <c r="P111" s="43">
        <v>0</v>
      </c>
      <c r="Q111" s="43">
        <v>35.61</v>
      </c>
      <c r="R111" s="43">
        <v>39.760000000000012</v>
      </c>
      <c r="S111" s="43">
        <v>114.03</v>
      </c>
      <c r="T111" s="37">
        <v>8.1039326599314135E-2</v>
      </c>
      <c r="U111" s="17">
        <v>45784</v>
      </c>
      <c r="V111" s="5" t="s">
        <v>232</v>
      </c>
      <c r="W111" s="45">
        <f>IFERROR(Tabela11[[#This Row],[Lucro]]*1/Tabela11[[#This Row],[Capital total]],"")</f>
        <v>-0.32156412833488146</v>
      </c>
      <c r="X111" s="39">
        <f>Tabela11[[#This Row],[Lucro]]-C110</f>
        <v>251.613</v>
      </c>
      <c r="Y111" s="21" t="str">
        <f>PROPER(TEXT(DATE(2024,MONTH(Tabela11[[#This Row],[Data]]),1),"mmmm"))</f>
        <v>Maio</v>
      </c>
      <c r="Z111" s="21">
        <f>YEAR(Tabela11[[#This Row],[Data]])</f>
        <v>2025</v>
      </c>
      <c r="AA111" s="35">
        <f>Tabela11[[#This Row],[Capital investido]]-A110</f>
        <v>0</v>
      </c>
    </row>
    <row r="112" spans="1:30" hidden="1" x14ac:dyDescent="0.25">
      <c r="A112" s="42">
        <v>856.78933614454684</v>
      </c>
      <c r="B112" s="43">
        <v>654.45472437641956</v>
      </c>
      <c r="C112" s="43">
        <v>-202.3346117681273</v>
      </c>
      <c r="D112" s="43">
        <v>6.3069999999999986</v>
      </c>
      <c r="E112" s="43"/>
      <c r="F112" s="43">
        <v>654.45472437641956</v>
      </c>
      <c r="G112" s="43">
        <v>506.22689946000008</v>
      </c>
      <c r="H112" s="43">
        <v>155.80933614454679</v>
      </c>
      <c r="I112" s="43"/>
      <c r="J112" s="43">
        <v>127.63</v>
      </c>
      <c r="K112" s="43">
        <v>169.8523882318726</v>
      </c>
      <c r="L112" s="43">
        <v>210.41</v>
      </c>
      <c r="M112" s="43">
        <v>7</v>
      </c>
      <c r="N112" s="43">
        <v>5.0499999999999554</v>
      </c>
      <c r="O112" s="43">
        <v>6.5399999999999636</v>
      </c>
      <c r="P112" s="43">
        <v>0</v>
      </c>
      <c r="Q112" s="43">
        <v>35.29</v>
      </c>
      <c r="R112" s="43">
        <v>39.760000000000012</v>
      </c>
      <c r="S112" s="43">
        <v>113.32</v>
      </c>
      <c r="T112" s="37">
        <v>8.1806840547052451E-2</v>
      </c>
      <c r="U112" s="17">
        <v>45785</v>
      </c>
      <c r="V112" s="13" t="s">
        <v>233</v>
      </c>
      <c r="W112" s="45">
        <f>IFERROR(Tabela11[[#This Row],[Lucro]]*1/Tabela11[[#This Row],[Capital total]],"")</f>
        <v>-0.30916517863159543</v>
      </c>
      <c r="X112" s="39">
        <f>Tabela11[[#This Row],[Lucro]]-C111</f>
        <v>6.1401115819064955</v>
      </c>
      <c r="Y112" s="21" t="str">
        <f>PROPER(TEXT(DATE(2024,MONTH(Tabela11[[#This Row],[Data]]),1),"mmmm"))</f>
        <v>Maio</v>
      </c>
      <c r="Z112" s="21">
        <f>YEAR(Tabela11[[#This Row],[Data]])</f>
        <v>2025</v>
      </c>
      <c r="AA112" s="35">
        <f>Tabela11[[#This Row],[Capital investido]]-A111</f>
        <v>0</v>
      </c>
      <c r="AB112" s="48"/>
      <c r="AC112" s="9"/>
      <c r="AD112" s="9"/>
    </row>
    <row r="113" spans="1:27" hidden="1" x14ac:dyDescent="0.25">
      <c r="A113" s="42">
        <v>909.48933614454688</v>
      </c>
      <c r="B113" s="43">
        <v>704.80974790272512</v>
      </c>
      <c r="C113" s="43">
        <v>-204.6795882418217</v>
      </c>
      <c r="D113" s="43">
        <v>6.3069999999999986</v>
      </c>
      <c r="E113" s="43"/>
      <c r="F113" s="43">
        <v>704.80974790272512</v>
      </c>
      <c r="G113" s="43">
        <v>506.22689946000008</v>
      </c>
      <c r="H113" s="43">
        <v>155.80933614454679</v>
      </c>
      <c r="I113" s="43"/>
      <c r="J113" s="43">
        <v>181.54000000000011</v>
      </c>
      <c r="K113" s="43">
        <v>169.32741175817819</v>
      </c>
      <c r="L113" s="43">
        <v>210.95</v>
      </c>
      <c r="M113" s="43">
        <v>7</v>
      </c>
      <c r="N113" s="43">
        <v>5.0499999999999554</v>
      </c>
      <c r="O113" s="43">
        <v>6.5399999999999636</v>
      </c>
      <c r="P113" s="43">
        <v>0</v>
      </c>
      <c r="Q113" s="43">
        <v>35.200000000000003</v>
      </c>
      <c r="R113" s="43">
        <v>39.760000000000012</v>
      </c>
      <c r="S113" s="43">
        <v>109.41</v>
      </c>
      <c r="T113" s="37">
        <v>8.8101218487840638E-2</v>
      </c>
      <c r="U113" s="17">
        <v>45786</v>
      </c>
      <c r="V113" s="5" t="s">
        <v>234</v>
      </c>
      <c r="W113" s="45">
        <f>IFERROR(Tabela11[[#This Row],[Lucro]]*1/Tabela11[[#This Row],[Capital total]],"")</f>
        <v>-0.29040402583942515</v>
      </c>
      <c r="X113" s="39">
        <f>Tabela11[[#This Row],[Lucro]]-C112</f>
        <v>-2.3449764736944019</v>
      </c>
      <c r="Y113" s="21" t="str">
        <f>PROPER(TEXT(DATE(2024,MONTH(Tabela11[[#This Row],[Data]]),1),"mmmm"))</f>
        <v>Maio</v>
      </c>
      <c r="Z113" s="21">
        <f>YEAR(Tabela11[[#This Row],[Data]])</f>
        <v>2025</v>
      </c>
      <c r="AA113" s="35">
        <f>Tabela11[[#This Row],[Capital investido]]-A112</f>
        <v>52.700000000000045</v>
      </c>
    </row>
    <row r="114" spans="1:27" hidden="1" x14ac:dyDescent="0.25">
      <c r="A114" s="42">
        <v>953.07222860650518</v>
      </c>
      <c r="B114" s="43">
        <v>748.47264036468346</v>
      </c>
      <c r="C114" s="43">
        <v>-204.59958824182169</v>
      </c>
      <c r="D114" s="43">
        <v>6.3069999999999986</v>
      </c>
      <c r="E114" s="43"/>
      <c r="F114" s="43">
        <v>748.47264036468346</v>
      </c>
      <c r="G114" s="44" t="s">
        <v>86</v>
      </c>
      <c r="H114" s="43">
        <v>199.39222860650511</v>
      </c>
      <c r="I114" s="43"/>
      <c r="J114" s="43">
        <v>181.54</v>
      </c>
      <c r="K114" s="43">
        <v>169.32741175817819</v>
      </c>
      <c r="L114" s="43">
        <v>210.95</v>
      </c>
      <c r="M114" s="43">
        <v>7</v>
      </c>
      <c r="N114" s="43">
        <v>5.0499999999999554</v>
      </c>
      <c r="O114" s="43">
        <v>6.5399999999999636</v>
      </c>
      <c r="P114" s="43">
        <v>0</v>
      </c>
      <c r="Q114" s="43">
        <v>35.200000000000003</v>
      </c>
      <c r="R114" s="43">
        <v>39.760000000000012</v>
      </c>
      <c r="S114" s="43">
        <v>109.41</v>
      </c>
      <c r="T114" s="37">
        <v>9.3559080045585427E-2</v>
      </c>
      <c r="U114" s="17">
        <v>45786</v>
      </c>
      <c r="V114" s="5" t="s">
        <v>235</v>
      </c>
      <c r="W114" s="45">
        <f>IFERROR(Tabela11[[#This Row],[Lucro]]*1/Tabela11[[#This Row],[Capital total]],"")</f>
        <v>-0.27335613515830481</v>
      </c>
      <c r="X114" s="39">
        <f>Tabela11[[#This Row],[Lucro]]-C113</f>
        <v>8.0000000000012506E-2</v>
      </c>
      <c r="Y114" s="21" t="str">
        <f>PROPER(TEXT(DATE(2024,MONTH(Tabela11[[#This Row],[Data]]),1),"mmmm"))</f>
        <v>Maio</v>
      </c>
      <c r="Z114" s="21">
        <f>YEAR(Tabela11[[#This Row],[Data]])</f>
        <v>2025</v>
      </c>
      <c r="AA114" s="35">
        <f>Tabela11[[#This Row],[Capital investido]]-A113</f>
        <v>43.582892461958295</v>
      </c>
    </row>
    <row r="115" spans="1:27" hidden="1" x14ac:dyDescent="0.25">
      <c r="A115" s="42">
        <v>953.07222860650518</v>
      </c>
      <c r="B115" s="43">
        <v>748.47264036468346</v>
      </c>
      <c r="C115" s="43">
        <v>-204.59958824182169</v>
      </c>
      <c r="D115" s="43">
        <v>6.3069999999999986</v>
      </c>
      <c r="E115" s="43"/>
      <c r="F115" s="43">
        <v>748.47264036468346</v>
      </c>
      <c r="G115" s="44" t="s">
        <v>86</v>
      </c>
      <c r="H115" s="43">
        <v>199.39222860650511</v>
      </c>
      <c r="I115" s="43"/>
      <c r="J115" s="43">
        <v>181.54</v>
      </c>
      <c r="K115" s="43">
        <v>169.32741175817819</v>
      </c>
      <c r="L115" s="43">
        <v>210.95</v>
      </c>
      <c r="M115" s="43">
        <v>7</v>
      </c>
      <c r="N115" s="43">
        <v>5.0499999999999554</v>
      </c>
      <c r="O115" s="43">
        <v>6.5399999999999636</v>
      </c>
      <c r="P115" s="43">
        <v>0</v>
      </c>
      <c r="Q115" s="43">
        <v>35.200000000000003</v>
      </c>
      <c r="R115" s="43">
        <v>39.760000000000012</v>
      </c>
      <c r="S115" s="43">
        <v>109.41</v>
      </c>
      <c r="T115" s="37">
        <v>9.3559080045585427E-2</v>
      </c>
      <c r="U115" s="17">
        <v>45787</v>
      </c>
      <c r="V115" s="5" t="s">
        <v>236</v>
      </c>
      <c r="W115" s="45">
        <f>IFERROR(Tabela11[[#This Row],[Lucro]]*1/Tabela11[[#This Row],[Capital total]],"")</f>
        <v>-0.27335613515830481</v>
      </c>
      <c r="X115" s="39">
        <f>Tabela11[[#This Row],[Lucro]]-C114</f>
        <v>0</v>
      </c>
      <c r="Y115" s="21" t="str">
        <f>PROPER(TEXT(DATE(2024,MONTH(Tabela11[[#This Row],[Data]]),1),"mmmm"))</f>
        <v>Maio</v>
      </c>
      <c r="Z115" s="21">
        <f>YEAR(Tabela11[[#This Row],[Data]])</f>
        <v>2025</v>
      </c>
      <c r="AA115" s="35">
        <f>Tabela11[[#This Row],[Capital investido]]-A114</f>
        <v>0</v>
      </c>
    </row>
    <row r="116" spans="1:27" hidden="1" x14ac:dyDescent="0.25">
      <c r="A116" s="42">
        <v>953.07222860650518</v>
      </c>
      <c r="B116" s="43">
        <v>751.4846062179314</v>
      </c>
      <c r="C116" s="43">
        <v>-201.58762238857381</v>
      </c>
      <c r="D116" s="43">
        <v>6.3069999999999986</v>
      </c>
      <c r="E116" s="43"/>
      <c r="F116" s="43">
        <v>751.4846062179314</v>
      </c>
      <c r="G116" s="44" t="s">
        <v>86</v>
      </c>
      <c r="H116" s="43">
        <v>199.39222860650511</v>
      </c>
      <c r="I116" s="43"/>
      <c r="J116" s="43">
        <v>183.36</v>
      </c>
      <c r="K116" s="43">
        <v>170.0893776114261</v>
      </c>
      <c r="L116" s="43">
        <v>210.75</v>
      </c>
      <c r="M116" s="43">
        <v>7</v>
      </c>
      <c r="N116" s="43">
        <v>5.0499999999999554</v>
      </c>
      <c r="O116" s="43">
        <v>6.5399999999999636</v>
      </c>
      <c r="P116" s="43">
        <v>0</v>
      </c>
      <c r="Q116" s="43">
        <v>36.119999999999997</v>
      </c>
      <c r="R116" s="43">
        <v>39.760000000000012</v>
      </c>
      <c r="S116" s="43">
        <v>109.41</v>
      </c>
      <c r="T116" s="37">
        <v>9.3935575777241431E-2</v>
      </c>
      <c r="U116" s="17">
        <v>45789</v>
      </c>
      <c r="V116" s="5" t="s">
        <v>237</v>
      </c>
      <c r="W116" s="45">
        <f>IFERROR(Tabela11[[#This Row],[Lucro]]*1/Tabela11[[#This Row],[Capital total]],"")</f>
        <v>-0.26825249741724339</v>
      </c>
      <c r="X116" s="39">
        <f>Tabela11[[#This Row],[Lucro]]-C115</f>
        <v>3.0119658532478866</v>
      </c>
      <c r="Y116" s="21" t="str">
        <f>PROPER(TEXT(DATE(2024,MONTH(Tabela11[[#This Row],[Data]]),1),"mmmm"))</f>
        <v>Maio</v>
      </c>
      <c r="Z116" s="21">
        <f>YEAR(Tabela11[[#This Row],[Data]])</f>
        <v>2025</v>
      </c>
      <c r="AA116" s="35">
        <f>Tabela11[[#This Row],[Capital investido]]-A115</f>
        <v>0</v>
      </c>
    </row>
    <row r="117" spans="1:27" hidden="1" x14ac:dyDescent="0.25">
      <c r="A117" s="42">
        <v>953.07222860650518</v>
      </c>
      <c r="B117" s="43">
        <v>750.54568997157924</v>
      </c>
      <c r="C117" s="43">
        <v>-202.52653863492591</v>
      </c>
      <c r="D117" s="43">
        <v>6.3069999999999986</v>
      </c>
      <c r="E117" s="43"/>
      <c r="F117" s="43">
        <v>750.54568997157924</v>
      </c>
      <c r="G117" s="44" t="s">
        <v>86</v>
      </c>
      <c r="H117" s="43">
        <v>199.392228606505</v>
      </c>
      <c r="I117" s="43"/>
      <c r="J117" s="43">
        <v>186.92</v>
      </c>
      <c r="K117" s="43">
        <v>168.22046136507399</v>
      </c>
      <c r="L117" s="43">
        <v>210.48</v>
      </c>
      <c r="M117" s="43">
        <v>7</v>
      </c>
      <c r="N117" s="43">
        <v>5.0499999999999554</v>
      </c>
      <c r="O117" s="43">
        <v>6.5399999999999636</v>
      </c>
      <c r="P117" s="43">
        <v>0</v>
      </c>
      <c r="Q117" s="43">
        <v>35.86</v>
      </c>
      <c r="R117" s="43">
        <v>39.760000000000012</v>
      </c>
      <c r="S117" s="43">
        <v>106.75</v>
      </c>
      <c r="T117" s="37">
        <v>9.3818211246447403E-2</v>
      </c>
      <c r="U117" s="17">
        <v>45790</v>
      </c>
      <c r="V117" s="5" t="s">
        <v>238</v>
      </c>
      <c r="W117" s="45">
        <f>IFERROR(Tabela11[[#This Row],[Lucro]]*1/Tabela11[[#This Row],[Capital total]],"")</f>
        <v>-0.26983905355927756</v>
      </c>
      <c r="X117" s="39">
        <f>Tabela11[[#This Row],[Lucro]]-C116</f>
        <v>-0.93891624635210746</v>
      </c>
      <c r="Y117" s="21" t="str">
        <f>PROPER(TEXT(DATE(2024,MONTH(Tabela11[[#This Row],[Data]]),1),"mmmm"))</f>
        <v>Maio</v>
      </c>
      <c r="Z117" s="21">
        <f>YEAR(Tabela11[[#This Row],[Data]])</f>
        <v>2025</v>
      </c>
      <c r="AA117" s="35">
        <f>Tabela11[[#This Row],[Capital investido]]-A116</f>
        <v>0</v>
      </c>
    </row>
    <row r="118" spans="1:27" hidden="1" x14ac:dyDescent="0.25">
      <c r="A118" s="42">
        <v>954.25222860650513</v>
      </c>
      <c r="B118" s="43">
        <v>754.38859035447956</v>
      </c>
      <c r="C118" s="43">
        <v>-199.86363825202551</v>
      </c>
      <c r="D118" s="43">
        <v>6.3069999999999986</v>
      </c>
      <c r="E118" s="43"/>
      <c r="F118" s="43">
        <v>754.38859035447956</v>
      </c>
      <c r="G118" s="44" t="s">
        <v>86</v>
      </c>
      <c r="H118" s="43">
        <v>199.392228606505</v>
      </c>
      <c r="I118" s="43"/>
      <c r="J118" s="43">
        <v>185.89</v>
      </c>
      <c r="K118" s="43">
        <v>170.44336174797431</v>
      </c>
      <c r="L118" s="43">
        <v>212.41</v>
      </c>
      <c r="M118" s="43">
        <v>7</v>
      </c>
      <c r="N118" s="43">
        <v>6.2300000000000182</v>
      </c>
      <c r="O118" s="43">
        <v>6.5399999999999636</v>
      </c>
      <c r="P118" s="43">
        <v>0</v>
      </c>
      <c r="Q118" s="43">
        <v>36.479999999999997</v>
      </c>
      <c r="R118" s="43">
        <v>39.760000000000012</v>
      </c>
      <c r="S118" s="43">
        <v>104.1</v>
      </c>
      <c r="T118" s="37">
        <v>9.4298573794309948E-2</v>
      </c>
      <c r="U118" s="17">
        <v>45792</v>
      </c>
      <c r="V118" s="5" t="s">
        <v>239</v>
      </c>
      <c r="W118" s="45">
        <f>IFERROR(Tabela11[[#This Row],[Lucro]]*1/Tabela11[[#This Row],[Capital total]],"")</f>
        <v>-0.26493459843833483</v>
      </c>
      <c r="X118" s="39">
        <f>Tabela11[[#This Row],[Lucro]]-C117</f>
        <v>2.6629003829004034</v>
      </c>
      <c r="Y118" s="21" t="str">
        <f>PROPER(TEXT(DATE(2024,MONTH(Tabela11[[#This Row],[Data]]),1),"mmmm"))</f>
        <v>Maio</v>
      </c>
      <c r="Z118" s="21">
        <f>YEAR(Tabela11[[#This Row],[Data]])</f>
        <v>2025</v>
      </c>
      <c r="AA118" s="35">
        <f>Tabela11[[#This Row],[Capital investido]]-A117</f>
        <v>1.17999999999995</v>
      </c>
    </row>
    <row r="119" spans="1:27" hidden="1" x14ac:dyDescent="0.25">
      <c r="A119" s="42">
        <v>954.25222860650513</v>
      </c>
      <c r="B119" s="43">
        <v>756.87261616619776</v>
      </c>
      <c r="C119" s="43">
        <v>-197.3796124403074</v>
      </c>
      <c r="D119" s="43">
        <v>6.3069999999999986</v>
      </c>
      <c r="E119" s="43"/>
      <c r="F119" s="43">
        <v>756.87261616619776</v>
      </c>
      <c r="G119" s="44" t="s">
        <v>86</v>
      </c>
      <c r="H119" s="43">
        <v>199.39222860650511</v>
      </c>
      <c r="I119" s="43"/>
      <c r="J119" s="43">
        <v>185.9</v>
      </c>
      <c r="K119" s="43">
        <v>169.8673875596925</v>
      </c>
      <c r="L119" s="43">
        <v>213.62</v>
      </c>
      <c r="M119" s="43">
        <v>7</v>
      </c>
      <c r="N119" s="43">
        <v>6.2300000000000182</v>
      </c>
      <c r="O119" s="43">
        <v>6.5399999999999636</v>
      </c>
      <c r="P119" s="43">
        <v>0</v>
      </c>
      <c r="Q119" s="43">
        <v>36.590000000000003</v>
      </c>
      <c r="R119" s="43">
        <v>39.760000000000012</v>
      </c>
      <c r="S119" s="43">
        <v>105.81</v>
      </c>
      <c r="T119" s="37">
        <v>9.4609077020774715E-2</v>
      </c>
      <c r="U119" s="17">
        <v>45794</v>
      </c>
      <c r="V119" s="5" t="s">
        <v>240</v>
      </c>
      <c r="W119" s="45">
        <f>IFERROR(Tabela11[[#This Row],[Lucro]]*1/Tabela11[[#This Row],[Capital total]],"")</f>
        <v>-0.26078313341563125</v>
      </c>
      <c r="X119" s="39">
        <f>Tabela11[[#This Row],[Lucro]]-C118</f>
        <v>2.4840258117181122</v>
      </c>
      <c r="Y119" s="21" t="str">
        <f>PROPER(TEXT(DATE(2024,MONTH(Tabela11[[#This Row],[Data]]),1),"mmmm"))</f>
        <v>Maio</v>
      </c>
      <c r="Z119" s="21">
        <f>YEAR(Tabela11[[#This Row],[Data]])</f>
        <v>2025</v>
      </c>
      <c r="AA119" s="35">
        <f>Tabela11[[#This Row],[Capital investido]]-A118</f>
        <v>0</v>
      </c>
    </row>
    <row r="120" spans="1:27" hidden="1" x14ac:dyDescent="0.25">
      <c r="A120" s="42">
        <v>954.25222860650513</v>
      </c>
      <c r="B120" s="43">
        <v>524.72261616619755</v>
      </c>
      <c r="C120" s="43">
        <v>-429.52961244030757</v>
      </c>
      <c r="D120" s="43">
        <v>6.3069999999999986</v>
      </c>
      <c r="E120" s="43"/>
      <c r="F120" s="43">
        <v>524.72261616619755</v>
      </c>
      <c r="G120" s="43">
        <v>500.00069436333342</v>
      </c>
      <c r="H120" s="43">
        <v>199.39222860650511</v>
      </c>
      <c r="I120" s="43"/>
      <c r="J120" s="43">
        <v>185.9</v>
      </c>
      <c r="K120" s="43">
        <v>169.8673875596925</v>
      </c>
      <c r="L120" s="43">
        <v>213.62</v>
      </c>
      <c r="M120" s="43">
        <v>7</v>
      </c>
      <c r="N120" s="43">
        <v>6.2300000000000182</v>
      </c>
      <c r="O120" s="43">
        <v>6.5399999999999636</v>
      </c>
      <c r="P120" s="43">
        <v>0</v>
      </c>
      <c r="Q120" s="43">
        <v>36.590000000000003</v>
      </c>
      <c r="R120" s="43">
        <v>39.760000000000012</v>
      </c>
      <c r="S120" s="43">
        <v>105.81</v>
      </c>
      <c r="T120" s="37">
        <v>6.5590327020774691E-2</v>
      </c>
      <c r="U120" s="17">
        <v>45794</v>
      </c>
      <c r="V120" s="5" t="s">
        <v>241</v>
      </c>
      <c r="W120" s="45">
        <f>IFERROR(Tabela11[[#This Row],[Lucro]]*1/Tabela11[[#This Row],[Capital total]],"")</f>
        <v>-0.81858414180543138</v>
      </c>
      <c r="X120" s="39">
        <f>Tabela11[[#This Row],[Lucro]]-C119</f>
        <v>-232.15000000000018</v>
      </c>
      <c r="Y120" s="21" t="str">
        <f>PROPER(TEXT(DATE(2024,MONTH(Tabela11[[#This Row],[Data]]),1),"mmmm"))</f>
        <v>Maio</v>
      </c>
      <c r="Z120" s="21">
        <f>YEAR(Tabela11[[#This Row],[Data]])</f>
        <v>2025</v>
      </c>
      <c r="AA120" s="35">
        <f>Tabela11[[#This Row],[Capital investido]]-A119</f>
        <v>0</v>
      </c>
    </row>
    <row r="121" spans="1:27" hidden="1" x14ac:dyDescent="0.25">
      <c r="A121" s="42">
        <v>954.25222860650513</v>
      </c>
      <c r="B121" s="43">
        <v>527.48560930995995</v>
      </c>
      <c r="C121" s="43">
        <v>-426.76661929654517</v>
      </c>
      <c r="D121" s="43">
        <v>6.3069999999999986</v>
      </c>
      <c r="E121" s="43"/>
      <c r="F121" s="43">
        <v>527.48560930995995</v>
      </c>
      <c r="G121" s="43">
        <v>500.00069436333342</v>
      </c>
      <c r="H121" s="43">
        <v>199.39222860650511</v>
      </c>
      <c r="I121" s="43"/>
      <c r="J121" s="43">
        <v>187.39</v>
      </c>
      <c r="K121" s="43">
        <v>170.02038070345489</v>
      </c>
      <c r="L121" s="43">
        <v>214.34</v>
      </c>
      <c r="M121" s="43">
        <v>7</v>
      </c>
      <c r="N121" s="43">
        <v>6.2300000000000182</v>
      </c>
      <c r="O121" s="43">
        <v>6.5399999999999636</v>
      </c>
      <c r="P121" s="43">
        <v>0</v>
      </c>
      <c r="Q121" s="43">
        <v>36.739999999999988</v>
      </c>
      <c r="R121" s="43">
        <v>39.760000000000012</v>
      </c>
      <c r="S121" s="43">
        <v>105.81</v>
      </c>
      <c r="T121" s="37">
        <v>6.5935701163744989E-2</v>
      </c>
      <c r="U121" s="17">
        <v>45797</v>
      </c>
      <c r="V121" s="5" t="s">
        <v>242</v>
      </c>
      <c r="W121" s="45">
        <f>IFERROR(Tabela11[[#This Row],[Lucro]]*1/Tabela11[[#This Row],[Capital total]],"")</f>
        <v>-0.80905831697442476</v>
      </c>
      <c r="X121" s="39">
        <f>Tabela11[[#This Row],[Lucro]]-C120</f>
        <v>2.7629931437624009</v>
      </c>
      <c r="Y121" s="21" t="str">
        <f>PROPER(TEXT(DATE(2024,MONTH(Tabela11[[#This Row],[Data]]),1),"mmmm"))</f>
        <v>Maio</v>
      </c>
      <c r="Z121" s="21">
        <f>YEAR(Tabela11[[#This Row],[Data]])</f>
        <v>2025</v>
      </c>
      <c r="AA121" s="35">
        <f>Tabela11[[#This Row],[Capital investido]]-A120</f>
        <v>0</v>
      </c>
    </row>
    <row r="122" spans="1:27" hidden="1" x14ac:dyDescent="0.25">
      <c r="A122" s="42">
        <v>984.56230366943703</v>
      </c>
      <c r="B122" s="43">
        <v>807.38070924355782</v>
      </c>
      <c r="C122" s="43">
        <v>-177.18159442587921</v>
      </c>
      <c r="D122" s="43">
        <v>6.3069999999999986</v>
      </c>
      <c r="E122" s="43"/>
      <c r="F122" s="43">
        <v>807.38070924355782</v>
      </c>
      <c r="G122" s="43">
        <v>500.00069436333342</v>
      </c>
      <c r="H122" s="43">
        <v>228.97230366943711</v>
      </c>
      <c r="I122" s="43"/>
      <c r="J122" s="43">
        <v>184.67</v>
      </c>
      <c r="K122" s="43">
        <v>169.46540557412069</v>
      </c>
      <c r="L122" s="43">
        <v>214.47</v>
      </c>
      <c r="M122" s="43">
        <v>7</v>
      </c>
      <c r="N122" s="43">
        <v>6.9600000000000364</v>
      </c>
      <c r="O122" s="43">
        <v>6.5399999999999636</v>
      </c>
      <c r="P122" s="43">
        <v>0</v>
      </c>
      <c r="Q122" s="43">
        <v>36.299999999999997</v>
      </c>
      <c r="R122" s="43">
        <v>39.760000000000012</v>
      </c>
      <c r="S122" s="43">
        <v>108.33</v>
      </c>
      <c r="T122" s="37">
        <v>0.10092258865544471</v>
      </c>
      <c r="U122" s="17">
        <v>45799</v>
      </c>
      <c r="V122" s="5" t="s">
        <v>243</v>
      </c>
      <c r="W122" s="45">
        <f>IFERROR(Tabela11[[#This Row],[Lucro]]*1/Tabela11[[#This Row],[Capital total]],"")</f>
        <v>-0.21945235054214043</v>
      </c>
      <c r="X122" s="39">
        <f>Tabela11[[#This Row],[Lucro]]-C121</f>
        <v>249.58502487066596</v>
      </c>
      <c r="Y122" s="21" t="str">
        <f>PROPER(TEXT(DATE(2024,MONTH(Tabela11[[#This Row],[Data]]),1),"mmmm"))</f>
        <v>Maio</v>
      </c>
      <c r="Z122" s="21">
        <f>YEAR(Tabela11[[#This Row],[Data]])</f>
        <v>2025</v>
      </c>
      <c r="AA122" s="35">
        <f>Tabela11[[#This Row],[Capital investido]]-A121</f>
        <v>30.310075062931901</v>
      </c>
    </row>
    <row r="123" spans="1:27" hidden="1" x14ac:dyDescent="0.25">
      <c r="A123" s="42">
        <v>984.56230366943703</v>
      </c>
      <c r="B123" s="43">
        <v>809.70671300776667</v>
      </c>
      <c r="C123" s="43">
        <v>-174.85559066167039</v>
      </c>
      <c r="D123" s="43">
        <v>6.3069999999999986</v>
      </c>
      <c r="E123" s="43"/>
      <c r="F123" s="43">
        <v>809.70671300776667</v>
      </c>
      <c r="G123" s="43">
        <v>500.00069436333342</v>
      </c>
      <c r="H123" s="43">
        <v>228.972303669437</v>
      </c>
      <c r="I123" s="43"/>
      <c r="J123" s="43">
        <v>184.43000000000009</v>
      </c>
      <c r="K123" s="43">
        <v>169.3814093383296</v>
      </c>
      <c r="L123" s="43">
        <v>216.8599999999999</v>
      </c>
      <c r="M123" s="43">
        <v>7</v>
      </c>
      <c r="N123" s="43">
        <v>6.9600000000000364</v>
      </c>
      <c r="O123" s="43">
        <v>6.5399999999999636</v>
      </c>
      <c r="P123" s="43">
        <v>0</v>
      </c>
      <c r="Q123" s="43">
        <v>36.19</v>
      </c>
      <c r="R123" s="43">
        <v>39.760000000000012</v>
      </c>
      <c r="S123" s="43">
        <v>108.33</v>
      </c>
      <c r="T123" s="37">
        <v>0.1012133391259708</v>
      </c>
      <c r="U123" s="17">
        <v>45801</v>
      </c>
      <c r="V123" s="5" t="s">
        <v>244</v>
      </c>
      <c r="W123" s="45">
        <f>IFERROR(Tabela11[[#This Row],[Lucro]]*1/Tabela11[[#This Row],[Capital total]],"")</f>
        <v>-0.21594929108608388</v>
      </c>
      <c r="X123" s="39">
        <f>Tabela11[[#This Row],[Lucro]]-C122</f>
        <v>2.3260037642088207</v>
      </c>
      <c r="Y123" s="21" t="str">
        <f>PROPER(TEXT(DATE(2024,MONTH(Tabela11[[#This Row],[Data]]),1),"mmmm"))</f>
        <v>Maio</v>
      </c>
      <c r="Z123" s="21">
        <f>YEAR(Tabela11[[#This Row],[Data]])</f>
        <v>2025</v>
      </c>
      <c r="AA123" s="35">
        <f>Tabela11[[#This Row],[Capital investido]]-A122</f>
        <v>0</v>
      </c>
    </row>
    <row r="124" spans="1:27" hidden="1" x14ac:dyDescent="0.25">
      <c r="A124" s="42">
        <v>994.80977367594039</v>
      </c>
      <c r="B124" s="43">
        <v>820.07418301427003</v>
      </c>
      <c r="C124" s="43">
        <v>-174.73559066167039</v>
      </c>
      <c r="D124" s="43">
        <v>6.3069999999999986</v>
      </c>
      <c r="E124" s="43"/>
      <c r="F124" s="43">
        <v>820.07418301427003</v>
      </c>
      <c r="G124" s="43">
        <v>500.00069436333342</v>
      </c>
      <c r="H124" s="43">
        <v>239.21977367594019</v>
      </c>
      <c r="I124" s="43"/>
      <c r="J124" s="43">
        <v>184.42999999999989</v>
      </c>
      <c r="K124" s="43">
        <v>169.38140933832969</v>
      </c>
      <c r="L124" s="43">
        <v>216.86</v>
      </c>
      <c r="M124" s="43">
        <v>7</v>
      </c>
      <c r="N124" s="43">
        <v>6.9600000000000364</v>
      </c>
      <c r="O124" s="43">
        <v>6.5399999999999636</v>
      </c>
      <c r="P124" s="43">
        <v>0</v>
      </c>
      <c r="Q124" s="43">
        <v>36.19</v>
      </c>
      <c r="R124" s="43">
        <v>39.760000000000012</v>
      </c>
      <c r="S124" s="43">
        <v>108.33</v>
      </c>
      <c r="T124" s="37">
        <v>0.1025092728767838</v>
      </c>
      <c r="U124" s="17">
        <v>45802</v>
      </c>
      <c r="V124" s="5" t="s">
        <v>245</v>
      </c>
      <c r="W124" s="45">
        <f>IFERROR(Tabela11[[#This Row],[Lucro]]*1/Tabela11[[#This Row],[Capital total]],"")</f>
        <v>-0.2130729076477095</v>
      </c>
      <c r="X124" s="39">
        <f>Tabela11[[#This Row],[Lucro]]-C123</f>
        <v>0.12000000000000455</v>
      </c>
      <c r="Y124" s="21" t="str">
        <f>PROPER(TEXT(DATE(2024,MONTH(Tabela11[[#This Row],[Data]]),1),"mmmm"))</f>
        <v>Maio</v>
      </c>
      <c r="Z124" s="21">
        <f>YEAR(Tabela11[[#This Row],[Data]])</f>
        <v>2025</v>
      </c>
      <c r="AA124" s="35">
        <f>Tabela11[[#This Row],[Capital investido]]-A123</f>
        <v>10.247470006503363</v>
      </c>
    </row>
    <row r="125" spans="1:27" hidden="1" x14ac:dyDescent="0.25">
      <c r="A125" s="42">
        <v>994.80977367594039</v>
      </c>
      <c r="B125" s="43">
        <v>850.07418301427003</v>
      </c>
      <c r="C125" s="43">
        <v>-144.73559066167039</v>
      </c>
      <c r="D125" s="43">
        <v>6.3069999999999986</v>
      </c>
      <c r="E125" s="43"/>
      <c r="F125" s="43">
        <v>850.07418301427003</v>
      </c>
      <c r="G125" s="43">
        <v>220.00034718166671</v>
      </c>
      <c r="H125" s="43">
        <v>239.21977367594019</v>
      </c>
      <c r="I125" s="43"/>
      <c r="J125" s="43">
        <v>184.42999999999989</v>
      </c>
      <c r="K125" s="43">
        <v>169.38140933832969</v>
      </c>
      <c r="L125" s="43">
        <v>216.86</v>
      </c>
      <c r="M125" s="43">
        <v>7</v>
      </c>
      <c r="N125" s="43">
        <v>6.9600000000000364</v>
      </c>
      <c r="O125" s="43">
        <v>6.5399999999999636</v>
      </c>
      <c r="P125" s="43">
        <v>0</v>
      </c>
      <c r="Q125" s="43">
        <v>36.19</v>
      </c>
      <c r="R125" s="43">
        <v>39.760000000000012</v>
      </c>
      <c r="S125" s="43">
        <v>108.33</v>
      </c>
      <c r="T125" s="37">
        <v>0.1062592728767838</v>
      </c>
      <c r="U125" s="17">
        <v>45802</v>
      </c>
      <c r="V125" s="5" t="s">
        <v>246</v>
      </c>
      <c r="W125" s="45">
        <f>IFERROR(Tabela11[[#This Row],[Lucro]]*1/Tabela11[[#This Row],[Capital total]],"")</f>
        <v>-0.17026230598893596</v>
      </c>
      <c r="X125" s="39">
        <f>Tabela11[[#This Row],[Lucro]]-C124</f>
        <v>30</v>
      </c>
      <c r="Y125" s="21" t="str">
        <f>PROPER(TEXT(DATE(2024,MONTH(Tabela11[[#This Row],[Data]]),1),"mmmm"))</f>
        <v>Maio</v>
      </c>
      <c r="Z125" s="21">
        <f>YEAR(Tabela11[[#This Row],[Data]])</f>
        <v>2025</v>
      </c>
      <c r="AA125" s="35">
        <f>Tabela11[[#This Row],[Capital investido]]-A124</f>
        <v>0</v>
      </c>
    </row>
    <row r="126" spans="1:27" hidden="1" x14ac:dyDescent="0.25">
      <c r="A126" s="42">
        <v>1054.809773675941</v>
      </c>
      <c r="B126" s="43">
        <v>907.5</v>
      </c>
      <c r="C126" s="43">
        <v>-147.31</v>
      </c>
      <c r="D126" s="43">
        <v>6.3069999999999986</v>
      </c>
      <c r="E126" s="43"/>
      <c r="F126" s="43">
        <v>850.07418301427015</v>
      </c>
      <c r="G126" s="43">
        <v>220.00034718166671</v>
      </c>
      <c r="H126" s="43">
        <v>239.21977367594039</v>
      </c>
      <c r="I126" s="43"/>
      <c r="J126" s="43">
        <v>184.43000000000009</v>
      </c>
      <c r="K126" s="43">
        <v>226.8</v>
      </c>
      <c r="L126" s="43">
        <v>216.8599999999999</v>
      </c>
      <c r="M126" s="43">
        <v>7</v>
      </c>
      <c r="N126" s="43">
        <v>6.9600000000000364</v>
      </c>
      <c r="O126" s="43">
        <v>6.5399999999999636</v>
      </c>
      <c r="P126" s="43">
        <v>0</v>
      </c>
      <c r="Q126" s="43">
        <v>36.19</v>
      </c>
      <c r="R126" s="43">
        <v>39.760000000000012</v>
      </c>
      <c r="S126" s="43">
        <v>108.33</v>
      </c>
      <c r="T126" s="37">
        <v>0.1134375</v>
      </c>
      <c r="U126" s="17">
        <v>45802</v>
      </c>
      <c r="V126" s="5" t="s">
        <v>247</v>
      </c>
      <c r="W126" s="45">
        <f>IFERROR(Tabela11[[#This Row],[Lucro]]*1/Tabela11[[#This Row],[Capital total]],"")</f>
        <v>-0.16232506887052342</v>
      </c>
      <c r="X126" s="39">
        <f>Tabela11[[#This Row],[Lucro]]-C125</f>
        <v>-2.574409338329616</v>
      </c>
      <c r="Y126" s="21" t="str">
        <f>PROPER(TEXT(DATE(2024,MONTH(Tabela11[[#This Row],[Data]]),1),"mmmm"))</f>
        <v>Maio</v>
      </c>
      <c r="Z126" s="21">
        <f>YEAR(Tabela11[[#This Row],[Data]])</f>
        <v>2025</v>
      </c>
      <c r="AA126" s="35">
        <f>Tabela11[[#This Row],[Capital investido]]-A125</f>
        <v>60.000000000000568</v>
      </c>
    </row>
    <row r="127" spans="1:27" hidden="1" x14ac:dyDescent="0.25">
      <c r="A127" s="42">
        <v>1060.2290649314541</v>
      </c>
      <c r="B127" s="43">
        <v>916.61530660692949</v>
      </c>
      <c r="C127" s="43">
        <v>-143.61375832452421</v>
      </c>
      <c r="D127" s="43">
        <v>6.3069999999999986</v>
      </c>
      <c r="E127" s="43"/>
      <c r="F127" s="43">
        <v>916.61530660692949</v>
      </c>
      <c r="G127" s="43">
        <v>220.00034718166671</v>
      </c>
      <c r="H127" s="43">
        <v>244.63906493145359</v>
      </c>
      <c r="I127" s="43"/>
      <c r="J127" s="43">
        <v>184.0200000000001</v>
      </c>
      <c r="K127" s="43">
        <v>227.03324167547581</v>
      </c>
      <c r="L127" s="43">
        <v>217.06000000000009</v>
      </c>
      <c r="M127" s="43">
        <v>7</v>
      </c>
      <c r="N127" s="43">
        <v>6.9600000000000364</v>
      </c>
      <c r="O127" s="43">
        <v>6.5399999999999636</v>
      </c>
      <c r="P127" s="43">
        <v>0</v>
      </c>
      <c r="Q127" s="43">
        <v>36.36</v>
      </c>
      <c r="R127" s="43">
        <v>39.760000000000012</v>
      </c>
      <c r="S127" s="43">
        <v>111.7</v>
      </c>
      <c r="T127" s="37">
        <v>0.1145769133258662</v>
      </c>
      <c r="U127" s="17">
        <v>45804</v>
      </c>
      <c r="V127" s="5" t="s">
        <v>248</v>
      </c>
      <c r="W127" s="45">
        <f>IFERROR(Tabela11[[#This Row],[Lucro]]*1/Tabela11[[#This Row],[Capital total]],"")</f>
        <v>-0.15667833309062321</v>
      </c>
      <c r="X127" s="39">
        <f>Tabela11[[#This Row],[Lucro]]-C126</f>
        <v>3.6962416754757896</v>
      </c>
      <c r="Y127" s="21" t="str">
        <f>PROPER(TEXT(DATE(2024,MONTH(Tabela11[[#This Row],[Data]]),1),"mmmm"))</f>
        <v>Maio</v>
      </c>
      <c r="Z127" s="21">
        <f>YEAR(Tabela11[[#This Row],[Data]])</f>
        <v>2025</v>
      </c>
      <c r="AA127" s="35">
        <f>Tabela11[[#This Row],[Capital investido]]-A126</f>
        <v>5.4192912555131443</v>
      </c>
    </row>
    <row r="128" spans="1:27" hidden="1" x14ac:dyDescent="0.25">
      <c r="A128" s="42">
        <v>1060.2290649314541</v>
      </c>
      <c r="B128" s="43">
        <v>798.1595805967255</v>
      </c>
      <c r="C128" s="43">
        <v>-262.06948433472809</v>
      </c>
      <c r="D128" s="43">
        <v>6.3069999999999986</v>
      </c>
      <c r="E128" s="43"/>
      <c r="F128" s="43">
        <v>798.1595805967255</v>
      </c>
      <c r="G128" s="43">
        <v>359.9983375133333</v>
      </c>
      <c r="H128" s="43">
        <v>244.63906493145359</v>
      </c>
      <c r="I128" s="43"/>
      <c r="J128" s="43">
        <v>184.78</v>
      </c>
      <c r="K128" s="43">
        <v>228.52751566527181</v>
      </c>
      <c r="L128" s="43">
        <v>216.25</v>
      </c>
      <c r="M128" s="43">
        <v>7</v>
      </c>
      <c r="N128" s="43">
        <v>6.9600000000000364</v>
      </c>
      <c r="O128" s="43">
        <v>6.5399999999999636</v>
      </c>
      <c r="P128" s="43">
        <v>0</v>
      </c>
      <c r="Q128" s="43">
        <v>36.729999999999997</v>
      </c>
      <c r="R128" s="43">
        <v>39.760000000000012</v>
      </c>
      <c r="S128" s="43">
        <v>111.7</v>
      </c>
      <c r="T128" s="37">
        <v>9.9769947574590692E-2</v>
      </c>
      <c r="U128" s="17">
        <v>45805</v>
      </c>
      <c r="V128" s="5" t="s">
        <v>249</v>
      </c>
      <c r="W128" s="45">
        <f>IFERROR(Tabela11[[#This Row],[Lucro]]*1/Tabela11[[#This Row],[Capital total]],"")</f>
        <v>-0.32834221464684782</v>
      </c>
      <c r="X128" s="39">
        <f>Tabela11[[#This Row],[Lucro]]-C127</f>
        <v>-118.45572601020388</v>
      </c>
      <c r="Y128" s="21" t="str">
        <f>PROPER(TEXT(DATE(2024,MONTH(Tabela11[[#This Row],[Data]]),1),"mmmm"))</f>
        <v>Maio</v>
      </c>
      <c r="Z128" s="21">
        <f>YEAR(Tabela11[[#This Row],[Data]])</f>
        <v>2025</v>
      </c>
      <c r="AA128" s="35">
        <f>Tabela11[[#This Row],[Capital investido]]-A127</f>
        <v>0</v>
      </c>
    </row>
    <row r="129" spans="1:27" hidden="1" x14ac:dyDescent="0.25">
      <c r="A129" s="42">
        <v>1060.2290649314541</v>
      </c>
      <c r="B129" s="43">
        <v>518.13239014379633</v>
      </c>
      <c r="C129" s="43">
        <v>-542.09667478765732</v>
      </c>
      <c r="D129" s="43">
        <v>6.3069999999999986</v>
      </c>
      <c r="E129" s="43"/>
      <c r="F129" s="43">
        <v>518.13239014379633</v>
      </c>
      <c r="G129" s="43">
        <v>716.40359333333333</v>
      </c>
      <c r="H129" s="43">
        <v>244.6390649314535</v>
      </c>
      <c r="I129" s="43"/>
      <c r="J129" s="43">
        <v>183.15</v>
      </c>
      <c r="K129" s="43">
        <v>228.72032521234249</v>
      </c>
      <c r="L129" s="43">
        <v>213.41</v>
      </c>
      <c r="M129" s="43">
        <v>7</v>
      </c>
      <c r="N129" s="43">
        <v>6.9600000000000364</v>
      </c>
      <c r="O129" s="43">
        <v>6.5399999999999636</v>
      </c>
      <c r="P129" s="43">
        <v>0</v>
      </c>
      <c r="Q129" s="43">
        <v>36.69</v>
      </c>
      <c r="R129" s="43">
        <v>39.760000000000012</v>
      </c>
      <c r="S129" s="43">
        <v>111.7</v>
      </c>
      <c r="T129" s="37">
        <v>6.4766548767974538E-2</v>
      </c>
      <c r="U129" s="17">
        <v>45811</v>
      </c>
      <c r="V129" s="5" t="s">
        <v>250</v>
      </c>
      <c r="W129" s="45">
        <f>IFERROR(Tabela11[[#This Row],[Lucro]]*1/Tabela11[[#This Row],[Capital total]],"")</f>
        <v>-1.0462512768931704</v>
      </c>
      <c r="X129" s="39">
        <f>Tabela11[[#This Row],[Lucro]]-C128</f>
        <v>-280.02719045292923</v>
      </c>
      <c r="Y129" s="21" t="str">
        <f>PROPER(TEXT(DATE(2024,MONTH(Tabela11[[#This Row],[Data]]),1),"mmmm"))</f>
        <v>Junho</v>
      </c>
      <c r="Z129" s="21">
        <f>YEAR(Tabela11[[#This Row],[Data]])</f>
        <v>2025</v>
      </c>
      <c r="AA129" s="35">
        <f>Tabela11[[#This Row],[Capital investido]]-A128</f>
        <v>0</v>
      </c>
    </row>
    <row r="130" spans="1:27" hidden="1" x14ac:dyDescent="0.25">
      <c r="A130" s="42">
        <v>1060.2290649314541</v>
      </c>
      <c r="B130" s="43">
        <v>518.13239014379633</v>
      </c>
      <c r="C130" s="43">
        <v>-542.09667478765732</v>
      </c>
      <c r="D130" s="43">
        <v>6.3069999999999986</v>
      </c>
      <c r="E130" s="43"/>
      <c r="F130" s="43">
        <v>518.13239014379633</v>
      </c>
      <c r="G130" s="43">
        <v>716.40359333333333</v>
      </c>
      <c r="H130" s="43">
        <v>244.6390649314535</v>
      </c>
      <c r="I130" s="43"/>
      <c r="J130" s="43">
        <v>183.15</v>
      </c>
      <c r="K130" s="43">
        <v>228.72032521234249</v>
      </c>
      <c r="L130" s="43">
        <v>213.41</v>
      </c>
      <c r="M130" s="43">
        <v>7</v>
      </c>
      <c r="N130" s="43">
        <v>6.9600000000000364</v>
      </c>
      <c r="O130" s="43">
        <v>6.5399999999999636</v>
      </c>
      <c r="P130" s="43">
        <v>0</v>
      </c>
      <c r="Q130" s="43">
        <v>36.69</v>
      </c>
      <c r="R130" s="43">
        <v>39.760000000000012</v>
      </c>
      <c r="S130" s="43">
        <v>111.7</v>
      </c>
      <c r="T130" s="37">
        <v>6.4766548767974538E-2</v>
      </c>
      <c r="U130" s="17">
        <v>45813</v>
      </c>
      <c r="V130" s="5" t="s">
        <v>251</v>
      </c>
      <c r="W130" s="45">
        <f>IFERROR(Tabela11[[#This Row],[Lucro]]*1/Tabela11[[#This Row],[Capital total]],"")</f>
        <v>-1.0462512768931704</v>
      </c>
      <c r="X130" s="39">
        <f>Tabela11[[#This Row],[Lucro]]-C129</f>
        <v>0</v>
      </c>
      <c r="Y130" s="21" t="str">
        <f>PROPER(TEXT(DATE(2024,MONTH(Tabela11[[#This Row],[Data]]),1),"mmmm"))</f>
        <v>Junho</v>
      </c>
      <c r="Z130" s="21">
        <f>YEAR(Tabela11[[#This Row],[Data]])</f>
        <v>2025</v>
      </c>
      <c r="AA130" s="35">
        <f>Tabela11[[#This Row],[Capital investido]]-A129</f>
        <v>0</v>
      </c>
    </row>
    <row r="131" spans="1:27" hidden="1" x14ac:dyDescent="0.25">
      <c r="A131" s="42">
        <v>1060.2290649314541</v>
      </c>
      <c r="B131" s="43">
        <v>513.0544900577471</v>
      </c>
      <c r="C131" s="43">
        <v>-547.17457487370655</v>
      </c>
      <c r="D131" s="43">
        <v>6.3069999999999986</v>
      </c>
      <c r="E131" s="43"/>
      <c r="F131" s="43">
        <v>513.0544900577471</v>
      </c>
      <c r="G131" s="43">
        <v>716.40359333333333</v>
      </c>
      <c r="H131" s="43">
        <v>244.6390649314535</v>
      </c>
      <c r="I131" s="43"/>
      <c r="J131" s="43">
        <v>180.77</v>
      </c>
      <c r="K131" s="43">
        <v>226.36242512629309</v>
      </c>
      <c r="L131" s="43">
        <v>212.88</v>
      </c>
      <c r="M131" s="43">
        <v>7</v>
      </c>
      <c r="N131" s="43">
        <v>6.9600000000000364</v>
      </c>
      <c r="O131" s="43">
        <v>6.5399999999999636</v>
      </c>
      <c r="P131" s="43">
        <v>0</v>
      </c>
      <c r="Q131" s="43">
        <v>36.67</v>
      </c>
      <c r="R131" s="43">
        <v>39.760000000000012</v>
      </c>
      <c r="S131" s="43">
        <v>111.7</v>
      </c>
      <c r="T131" s="37">
        <v>6.4131811257218382E-2</v>
      </c>
      <c r="U131" s="17">
        <v>45813</v>
      </c>
      <c r="V131" s="5" t="s">
        <v>252</v>
      </c>
      <c r="W131" s="45">
        <f>IFERROR(Tabela11[[#This Row],[Lucro]]*1/Tabela11[[#This Row],[Capital total]],"")</f>
        <v>-1.0665038226487775</v>
      </c>
      <c r="X131" s="39">
        <f>Tabela11[[#This Row],[Lucro]]-C130</f>
        <v>-5.077900086049226</v>
      </c>
      <c r="Y131" s="21" t="str">
        <f>PROPER(TEXT(DATE(2024,MONTH(Tabela11[[#This Row],[Data]]),1),"mmmm"))</f>
        <v>Junho</v>
      </c>
      <c r="Z131" s="21">
        <f>YEAR(Tabela11[[#This Row],[Data]])</f>
        <v>2025</v>
      </c>
      <c r="AA131" s="35">
        <f>Tabela11[[#This Row],[Capital investido]]-A130</f>
        <v>0</v>
      </c>
    </row>
    <row r="132" spans="1:27" hidden="1" x14ac:dyDescent="0.25">
      <c r="A132" s="42">
        <v>1060.2290649314541</v>
      </c>
      <c r="B132" s="43">
        <v>508.63468130162983</v>
      </c>
      <c r="C132" s="43">
        <v>-551.59438362982382</v>
      </c>
      <c r="D132" s="43">
        <v>6.3069999999999986</v>
      </c>
      <c r="E132" s="43"/>
      <c r="F132" s="43">
        <v>508.63468130162983</v>
      </c>
      <c r="G132" s="43">
        <v>716.40359333333333</v>
      </c>
      <c r="H132" s="43">
        <v>244.6390649314535</v>
      </c>
      <c r="I132" s="43"/>
      <c r="J132" s="43">
        <v>179.04</v>
      </c>
      <c r="K132" s="43">
        <v>224.5026163701759</v>
      </c>
      <c r="L132" s="43">
        <v>212.81999999999991</v>
      </c>
      <c r="M132" s="43">
        <v>7</v>
      </c>
      <c r="N132" s="43">
        <v>6.9600000000000364</v>
      </c>
      <c r="O132" s="43">
        <v>6.5399999999999636</v>
      </c>
      <c r="P132" s="43">
        <v>0</v>
      </c>
      <c r="Q132" s="43">
        <v>36.24</v>
      </c>
      <c r="R132" s="43">
        <v>39.760000000000012</v>
      </c>
      <c r="S132" s="43">
        <v>111.7</v>
      </c>
      <c r="T132" s="37">
        <v>6.3579335162703726E-2</v>
      </c>
      <c r="U132" s="17">
        <v>45814</v>
      </c>
      <c r="V132" s="5" t="s">
        <v>253</v>
      </c>
      <c r="W132" s="45">
        <f>IFERROR(Tabela11[[#This Row],[Lucro]]*1/Tabela11[[#This Row],[Capital total]],"")</f>
        <v>-1.0844608201278318</v>
      </c>
      <c r="X132" s="39">
        <f>Tabela11[[#This Row],[Lucro]]-C131</f>
        <v>-4.419808756117277</v>
      </c>
      <c r="Y132" s="21" t="str">
        <f>PROPER(TEXT(DATE(2024,MONTH(Tabela11[[#This Row],[Data]]),1),"mmmm"))</f>
        <v>Junho</v>
      </c>
      <c r="Z132" s="21">
        <f>YEAR(Tabela11[[#This Row],[Data]])</f>
        <v>2025</v>
      </c>
      <c r="AA132" s="35">
        <f>Tabela11[[#This Row],[Capital investido]]-A131</f>
        <v>0</v>
      </c>
    </row>
    <row r="133" spans="1:27" x14ac:dyDescent="0.25">
      <c r="A133" s="42">
        <v>1057.699064931453</v>
      </c>
      <c r="B133" s="43">
        <v>1054.077571035747</v>
      </c>
      <c r="C133" s="43">
        <v>-3.621493895706215</v>
      </c>
      <c r="D133" s="43">
        <v>6.3069999999999986</v>
      </c>
      <c r="E133" s="43"/>
      <c r="F133" s="43">
        <v>1054.077571035747</v>
      </c>
      <c r="G133" s="43">
        <v>716.40359333333333</v>
      </c>
      <c r="H133" s="43">
        <v>244.6390649314535</v>
      </c>
      <c r="I133" s="43"/>
      <c r="J133" s="43">
        <v>173.69000000000011</v>
      </c>
      <c r="K133" s="43">
        <v>223.28550610429349</v>
      </c>
      <c r="L133" s="43">
        <v>212.93000000000009</v>
      </c>
      <c r="M133" s="43">
        <v>15.190000000000049</v>
      </c>
      <c r="N133" s="43">
        <v>6.9600000000000364</v>
      </c>
      <c r="O133" s="43">
        <v>0</v>
      </c>
      <c r="P133" s="43">
        <v>0</v>
      </c>
      <c r="Q133" s="43">
        <v>36.39</v>
      </c>
      <c r="R133" s="43">
        <v>42.02</v>
      </c>
      <c r="S133" s="43">
        <v>108.06</v>
      </c>
      <c r="T133" s="37">
        <v>0.13175969637946841</v>
      </c>
      <c r="U133" s="17">
        <v>45816</v>
      </c>
      <c r="V133" s="5" t="s">
        <v>254</v>
      </c>
      <c r="W133" s="45">
        <f>IFERROR(Tabela11[[#This Row],[Lucro]]*1/Tabela11[[#This Row],[Capital total]],"")</f>
        <v>-3.4356996061947315E-3</v>
      </c>
      <c r="X133" s="39">
        <f>Tabela11[[#This Row],[Lucro]]-C132</f>
        <v>547.97288973411764</v>
      </c>
      <c r="Y133" s="21" t="str">
        <f>PROPER(TEXT(DATE(2024,MONTH(Tabela11[[#This Row],[Data]]),1),"mmmm"))</f>
        <v>Junho</v>
      </c>
      <c r="Z133" s="21">
        <f>YEAR(Tabela11[[#This Row],[Data]])</f>
        <v>2025</v>
      </c>
      <c r="AA133" s="35">
        <f>Tabela11[[#This Row],[Capital investido]]-A132</f>
        <v>-2.5300000000011096</v>
      </c>
    </row>
    <row r="134" spans="1:27" x14ac:dyDescent="0.25">
      <c r="A134" s="42">
        <v>1057.699064931453</v>
      </c>
      <c r="B134" s="43">
        <v>1054.077571035747</v>
      </c>
      <c r="C134" s="43">
        <v>-3.621493895706215</v>
      </c>
      <c r="D134" s="43">
        <v>6.3069999999999986</v>
      </c>
      <c r="E134" s="43"/>
      <c r="F134" s="43">
        <v>1054.077571035747</v>
      </c>
      <c r="G134" s="43">
        <v>716.40359333333333</v>
      </c>
      <c r="H134" s="43">
        <v>244.6390649314535</v>
      </c>
      <c r="I134" s="43"/>
      <c r="J134" s="43">
        <v>173.69000000000011</v>
      </c>
      <c r="K134" s="43">
        <v>223.28550610429349</v>
      </c>
      <c r="L134" s="43">
        <v>212.93000000000009</v>
      </c>
      <c r="M134" s="43">
        <v>15.190000000000049</v>
      </c>
      <c r="N134" s="43">
        <v>6.9600000000000364</v>
      </c>
      <c r="O134" s="43">
        <v>0</v>
      </c>
      <c r="P134" s="43">
        <v>0</v>
      </c>
      <c r="Q134" s="43">
        <v>36.39</v>
      </c>
      <c r="R134" s="43">
        <v>42.02</v>
      </c>
      <c r="S134" s="43">
        <v>108.06</v>
      </c>
      <c r="T134" s="37">
        <v>0.13175969637946841</v>
      </c>
      <c r="U134" s="17" t="s">
        <v>32</v>
      </c>
      <c r="V134" s="5" t="s">
        <v>255</v>
      </c>
      <c r="W134" s="45">
        <f>IFERROR(Tabela11[[#This Row],[Lucro]]*1/Tabela11[[#This Row],[Capital total]],"")</f>
        <v>-3.4356996061947315E-3</v>
      </c>
      <c r="X134" s="39">
        <f>Tabela11[[#This Row],[Lucro]]-C133</f>
        <v>0</v>
      </c>
      <c r="Y134" s="21" t="str">
        <f>PROPER(TEXT(DATE(2024,MONTH(Tabela11[[#This Row],[Data]]),1),"mmmm"))</f>
        <v>Junho</v>
      </c>
      <c r="Z134" s="21">
        <f>YEAR(Tabela11[[#This Row],[Data]])</f>
        <v>2025</v>
      </c>
      <c r="AA134" s="35">
        <f>Tabela11[[#This Row],[Capital investido]]-A133</f>
        <v>0</v>
      </c>
    </row>
    <row r="135" spans="1:27" x14ac:dyDescent="0.25">
      <c r="A135" s="42">
        <v>1117.699064931453</v>
      </c>
      <c r="B135" s="43">
        <v>1102.5487938203501</v>
      </c>
      <c r="C135" s="43">
        <v>-15.15027111110326</v>
      </c>
      <c r="D135" s="43">
        <v>7.968</v>
      </c>
      <c r="E135" s="43"/>
      <c r="F135" s="43">
        <v>1102.5487938203501</v>
      </c>
      <c r="G135" s="43">
        <v>716.40359333333333</v>
      </c>
      <c r="H135" s="43">
        <v>244.6390649314535</v>
      </c>
      <c r="I135" s="43"/>
      <c r="J135" s="43">
        <v>172.30999999999989</v>
      </c>
      <c r="K135" s="43">
        <v>277.9077288888966</v>
      </c>
      <c r="L135" s="43">
        <v>210.72</v>
      </c>
      <c r="M135" s="43">
        <v>15.190000000000049</v>
      </c>
      <c r="N135" s="43">
        <v>6.9600000000000364</v>
      </c>
      <c r="O135" s="43">
        <v>0</v>
      </c>
      <c r="P135" s="43">
        <v>0</v>
      </c>
      <c r="Q135" s="43" t="e">
        <v>#REF!</v>
      </c>
      <c r="R135" s="43">
        <v>42.02</v>
      </c>
      <c r="S135" s="43">
        <v>108.06</v>
      </c>
      <c r="T135" s="37">
        <v>0.13781859922754369</v>
      </c>
      <c r="U135" s="17" t="s">
        <v>33</v>
      </c>
      <c r="V135" s="5" t="s">
        <v>256</v>
      </c>
      <c r="W135" s="45">
        <f>IFERROR(Tabela11[[#This Row],[Lucro]]*1/Tabela11[[#This Row],[Capital total]],"")</f>
        <v>-1.374113435706307E-2</v>
      </c>
      <c r="X135" s="39">
        <f>Tabela11[[#This Row],[Lucro]]-C134</f>
        <v>-11.528777215397046</v>
      </c>
      <c r="Y135" s="21" t="str">
        <f>PROPER(TEXT(DATE(2024,MONTH(Tabela11[[#This Row],[Data]]),1),"mmmm"))</f>
        <v>Junho</v>
      </c>
      <c r="Z135" s="21">
        <f>YEAR(Tabela11[[#This Row],[Data]])</f>
        <v>2025</v>
      </c>
      <c r="AA135" s="35">
        <f>Tabela11[[#This Row],[Capital investido]]-A134</f>
        <v>60</v>
      </c>
    </row>
    <row r="136" spans="1:27" x14ac:dyDescent="0.25">
      <c r="A136" s="42">
        <v>1117.699064931453</v>
      </c>
      <c r="B136" s="43">
        <v>1102.5487938203501</v>
      </c>
      <c r="C136" s="43">
        <v>-15.15027111110326</v>
      </c>
      <c r="D136" s="43">
        <v>7.968</v>
      </c>
      <c r="E136" s="43"/>
      <c r="F136" s="43">
        <v>1102.5487938203501</v>
      </c>
      <c r="G136" s="43">
        <v>716.40359333333333</v>
      </c>
      <c r="H136" s="43">
        <v>244.6390649314535</v>
      </c>
      <c r="I136" s="43"/>
      <c r="J136" s="43">
        <v>172.30999999999989</v>
      </c>
      <c r="K136" s="43">
        <v>277.9077288888966</v>
      </c>
      <c r="L136" s="43">
        <v>210.72</v>
      </c>
      <c r="M136" s="43">
        <v>15.190000000000049</v>
      </c>
      <c r="N136" s="43">
        <v>6.9600000000000364</v>
      </c>
      <c r="O136" s="43">
        <v>0</v>
      </c>
      <c r="P136" s="43">
        <v>0</v>
      </c>
      <c r="Q136" s="43" t="e">
        <v>#REF!</v>
      </c>
      <c r="R136" s="43">
        <v>42.02</v>
      </c>
      <c r="S136" s="43">
        <v>108.06</v>
      </c>
      <c r="T136" s="37">
        <v>0.13781859922754369</v>
      </c>
      <c r="U136" s="17" t="s">
        <v>33</v>
      </c>
      <c r="V136" s="5" t="s">
        <v>257</v>
      </c>
      <c r="W136" s="45">
        <f>IFERROR(Tabela11[[#This Row],[Lucro]]*1/Tabela11[[#This Row],[Capital total]],"")</f>
        <v>-1.374113435706307E-2</v>
      </c>
      <c r="X136" s="39">
        <f>Tabela11[[#This Row],[Lucro]]-C135</f>
        <v>0</v>
      </c>
      <c r="Y136" s="21" t="str">
        <f>PROPER(TEXT(DATE(2024,MONTH(Tabela11[[#This Row],[Data]]),1),"mmmm"))</f>
        <v>Junho</v>
      </c>
      <c r="Z136" s="21">
        <f>YEAR(Tabela11[[#This Row],[Data]])</f>
        <v>2025</v>
      </c>
      <c r="AA136" s="35">
        <f>Tabela11[[#This Row],[Capital investido]]-A135</f>
        <v>0</v>
      </c>
    </row>
    <row r="137" spans="1:27" x14ac:dyDescent="0.25">
      <c r="A137" s="34">
        <v>1129.699064931453</v>
      </c>
      <c r="B137" s="35">
        <v>1114.5485099003499</v>
      </c>
      <c r="C137" s="35">
        <v>-15.150555031103259</v>
      </c>
      <c r="D137" s="35">
        <v>7.968</v>
      </c>
      <c r="E137" s="35"/>
      <c r="F137" s="35">
        <v>1114.5485099003499</v>
      </c>
      <c r="G137" s="43">
        <v>716.40359333333333</v>
      </c>
      <c r="H137" s="35">
        <v>244.6390649314535</v>
      </c>
      <c r="I137" s="35"/>
      <c r="J137" s="35">
        <v>172.30999999999989</v>
      </c>
      <c r="K137" s="35">
        <v>277.9077288888966</v>
      </c>
      <c r="L137" s="35">
        <v>210.72</v>
      </c>
      <c r="M137" s="35">
        <v>15.190000000000049</v>
      </c>
      <c r="N137" s="35">
        <v>6.9600000000000364</v>
      </c>
      <c r="O137" s="35">
        <v>11.999716080000001</v>
      </c>
      <c r="P137" s="35">
        <v>0</v>
      </c>
      <c r="Q137" s="35">
        <v>36.31</v>
      </c>
      <c r="R137" s="35">
        <v>42.02</v>
      </c>
      <c r="S137" s="43">
        <v>108.06</v>
      </c>
      <c r="T137" s="37">
        <v>0.13931856373754381</v>
      </c>
      <c r="U137" s="18" t="s">
        <v>33</v>
      </c>
      <c r="V137" s="4" t="s">
        <v>258</v>
      </c>
      <c r="W137" s="38">
        <f>IFERROR(Tabela11[[#This Row],[Lucro]]*1/Tabela11[[#This Row],[Capital total]],"")</f>
        <v>-1.3593446042521601E-2</v>
      </c>
      <c r="X137" s="39">
        <f>Tabela11[[#This Row],[Lucro]]-C136</f>
        <v>-2.8391999999932693E-4</v>
      </c>
      <c r="Y137" s="21" t="str">
        <f>PROPER(TEXT(DATE(2024,MONTH(Tabela11[[#This Row],[Data]]),1),"mmmm"))</f>
        <v>Junho</v>
      </c>
      <c r="Z137" s="21">
        <f>YEAR(Tabela11[[#This Row],[Data]])</f>
        <v>2025</v>
      </c>
      <c r="AA137" s="35">
        <f>Tabela11[[#This Row],[Capital investido]]-A136</f>
        <v>12</v>
      </c>
    </row>
    <row r="138" spans="1:27" x14ac:dyDescent="0.25">
      <c r="A138" s="42">
        <v>1129.829064931454</v>
      </c>
      <c r="B138" s="43">
        <v>1113.66626524035</v>
      </c>
      <c r="C138" s="43">
        <v>-16.16279969110326</v>
      </c>
      <c r="D138" s="43">
        <v>7.968</v>
      </c>
      <c r="E138" s="43"/>
      <c r="F138" s="43">
        <v>1113.66626524035</v>
      </c>
      <c r="G138" s="43">
        <v>716.40359333333333</v>
      </c>
      <c r="H138" s="43">
        <v>244.76906493145361</v>
      </c>
      <c r="I138" s="43"/>
      <c r="J138" s="43">
        <v>172.30999999999989</v>
      </c>
      <c r="K138" s="43">
        <v>277.9077288888966</v>
      </c>
      <c r="L138" s="43">
        <v>210.72</v>
      </c>
      <c r="M138" s="43">
        <v>15.190000000000049</v>
      </c>
      <c r="N138" s="43">
        <v>6.9600000000000364</v>
      </c>
      <c r="O138" s="43">
        <v>11.99747142</v>
      </c>
      <c r="P138" s="43">
        <v>0</v>
      </c>
      <c r="Q138" s="43">
        <v>36.31</v>
      </c>
      <c r="R138" s="43">
        <v>42.02</v>
      </c>
      <c r="S138" s="47">
        <v>107.11</v>
      </c>
      <c r="T138" s="37">
        <v>0.13920828315504369</v>
      </c>
      <c r="U138" s="17" t="s">
        <v>33</v>
      </c>
      <c r="V138" s="5" t="s">
        <v>259</v>
      </c>
      <c r="W138" s="45">
        <f>IFERROR(Tabela11[[#This Row],[Lucro]]*1/Tabela11[[#This Row],[Capital total]],"")</f>
        <v>-1.4513144732470661E-2</v>
      </c>
      <c r="X138" s="39">
        <f>Tabela11[[#This Row],[Lucro]]-C137</f>
        <v>-1.0122446600000004</v>
      </c>
      <c r="Y138" s="21" t="str">
        <f>PROPER(TEXT(DATE(2024,MONTH(Tabela11[[#This Row],[Data]]),1),"mmmm"))</f>
        <v>Junho</v>
      </c>
      <c r="Z138" s="21">
        <f>YEAR(Tabela11[[#This Row],[Data]])</f>
        <v>2025</v>
      </c>
      <c r="AA138" s="35">
        <f>Tabela11[[#This Row],[Capital investido]]-A137</f>
        <v>0.13000000000101863</v>
      </c>
    </row>
    <row r="139" spans="1:27" x14ac:dyDescent="0.25">
      <c r="A139" s="42">
        <v>1129.959064931453</v>
      </c>
      <c r="B139" s="43">
        <v>593.28997842147032</v>
      </c>
      <c r="C139" s="43">
        <v>-536.66908650998312</v>
      </c>
      <c r="D139" s="43">
        <v>7.968</v>
      </c>
      <c r="E139" s="43"/>
      <c r="F139" s="43">
        <v>593.28997842147032</v>
      </c>
      <c r="G139" s="43">
        <v>232.36326658666661</v>
      </c>
      <c r="H139" s="43">
        <v>244.89906493145349</v>
      </c>
      <c r="I139" s="43"/>
      <c r="J139" s="43">
        <v>174.38</v>
      </c>
      <c r="K139" s="43">
        <v>278.68269467001682</v>
      </c>
      <c r="L139" s="43">
        <v>209.92999999999989</v>
      </c>
      <c r="M139" s="43">
        <v>15.190000000000049</v>
      </c>
      <c r="N139" s="43">
        <v>6.9600000000000364</v>
      </c>
      <c r="O139" s="43">
        <v>12.02621882</v>
      </c>
      <c r="P139" s="43">
        <v>0</v>
      </c>
      <c r="Q139" s="43">
        <v>36.51</v>
      </c>
      <c r="R139" s="43">
        <v>42.02</v>
      </c>
      <c r="S139" s="43">
        <v>107.11</v>
      </c>
      <c r="T139" s="37">
        <v>7.4161247302683794E-2</v>
      </c>
      <c r="U139" s="17" t="s">
        <v>34</v>
      </c>
      <c r="V139" s="5" t="s">
        <v>260</v>
      </c>
      <c r="W139" s="45">
        <f>IFERROR(Tabela11[[#This Row],[Lucro]]*1/Tabela11[[#This Row],[Capital total]],"")</f>
        <v>-0.90456455701116867</v>
      </c>
      <c r="X139" s="39">
        <f>Tabela11[[#This Row],[Lucro]]-C138</f>
        <v>-520.50628681887986</v>
      </c>
      <c r="Y139" s="21" t="str">
        <f>PROPER(TEXT(DATE(2024,MONTH(Tabela11[[#This Row],[Data]]),1),"mmmm"))</f>
        <v>Junho</v>
      </c>
      <c r="Z139" s="21">
        <f>YEAR(Tabela11[[#This Row],[Data]])</f>
        <v>2025</v>
      </c>
      <c r="AA139" s="35">
        <f>Tabela11[[#This Row],[Capital investido]]-A138</f>
        <v>0.12999999999897227</v>
      </c>
    </row>
    <row r="140" spans="1:27" x14ac:dyDescent="0.25">
      <c r="A140" s="42">
        <v>1130.0090649314529</v>
      </c>
      <c r="B140" s="43">
        <v>593.35725670265083</v>
      </c>
      <c r="C140" s="43">
        <v>-536.65180822880257</v>
      </c>
      <c r="D140" s="43">
        <v>7.968</v>
      </c>
      <c r="E140" s="43"/>
      <c r="F140" s="43">
        <v>593.35725670265083</v>
      </c>
      <c r="G140" s="43">
        <v>232.36326658666661</v>
      </c>
      <c r="H140" s="43">
        <v>244.89906493145349</v>
      </c>
      <c r="I140" s="43"/>
      <c r="J140" s="43">
        <v>174.77</v>
      </c>
      <c r="K140" s="43">
        <v>277.89272955119759</v>
      </c>
      <c r="L140" s="43">
        <v>210.21</v>
      </c>
      <c r="M140" s="43">
        <v>15.190000000000049</v>
      </c>
      <c r="N140" s="43">
        <v>7.0099999999999909</v>
      </c>
      <c r="O140" s="43">
        <v>12.023462220000001</v>
      </c>
      <c r="P140" s="43">
        <v>0</v>
      </c>
      <c r="Q140" s="43">
        <v>36.56</v>
      </c>
      <c r="R140" s="43">
        <v>42.02</v>
      </c>
      <c r="S140" s="43">
        <v>107.11</v>
      </c>
      <c r="T140" s="37">
        <v>7.4169657087831353E-2</v>
      </c>
      <c r="U140" s="17" t="s">
        <v>35</v>
      </c>
      <c r="V140" s="5" t="s">
        <v>261</v>
      </c>
      <c r="W140" s="45">
        <f>IFERROR(Tabela11[[#This Row],[Lucro]]*1/Tabela11[[#This Row],[Capital total]],"")</f>
        <v>-0.90443287271994199</v>
      </c>
      <c r="X140" s="39">
        <f>Tabela11[[#This Row],[Lucro]]-C139</f>
        <v>1.7278281180551858E-2</v>
      </c>
      <c r="Y140" s="21" t="str">
        <f>PROPER(TEXT(DATE(2024,MONTH(Tabela11[[#This Row],[Data]]),1),"mmmm"))</f>
        <v>Junho</v>
      </c>
      <c r="Z140" s="21">
        <f>YEAR(Tabela11[[#This Row],[Data]])</f>
        <v>2025</v>
      </c>
      <c r="AA140" s="35">
        <f>Tabela11[[#This Row],[Capital investido]]-A139</f>
        <v>4.9999999999954525E-2</v>
      </c>
    </row>
    <row r="141" spans="1:27" x14ac:dyDescent="0.25">
      <c r="A141" s="42">
        <v>1130.139064931454</v>
      </c>
      <c r="B141" s="43">
        <v>594.40964920601482</v>
      </c>
      <c r="C141" s="43">
        <v>-535.72941572543868</v>
      </c>
      <c r="D141" s="43">
        <v>7.968</v>
      </c>
      <c r="E141" s="43"/>
      <c r="F141" s="43">
        <v>594.40964920601482</v>
      </c>
      <c r="G141" s="43">
        <v>232.36326658666661</v>
      </c>
      <c r="H141" s="43">
        <v>245.0290649314536</v>
      </c>
      <c r="I141" s="43"/>
      <c r="J141" s="43">
        <v>177.48</v>
      </c>
      <c r="K141" s="43">
        <v>276.82777657456148</v>
      </c>
      <c r="L141" s="43">
        <v>210.12</v>
      </c>
      <c r="M141" s="43">
        <v>15.190000000000049</v>
      </c>
      <c r="N141" s="43">
        <v>7.0099999999999909</v>
      </c>
      <c r="O141" s="43">
        <v>11.8008077</v>
      </c>
      <c r="P141" s="43">
        <v>0</v>
      </c>
      <c r="Q141" s="43">
        <v>36.29</v>
      </c>
      <c r="R141" s="43">
        <v>42.02</v>
      </c>
      <c r="S141" s="43">
        <v>106.27</v>
      </c>
      <c r="T141" s="37">
        <v>7.430120615075185E-2</v>
      </c>
      <c r="U141" s="17" t="s">
        <v>36</v>
      </c>
      <c r="V141" s="5" t="s">
        <v>262</v>
      </c>
      <c r="W141" s="45">
        <f>IFERROR(Tabela11[[#This Row],[Lucro]]*1/Tabela11[[#This Row],[Capital total]],"")</f>
        <v>-0.90127981004521296</v>
      </c>
      <c r="X141" s="39">
        <f>Tabela11[[#This Row],[Lucro]]-C140</f>
        <v>0.92239250336388068</v>
      </c>
      <c r="Y141" s="21" t="str">
        <f>PROPER(TEXT(DATE(2024,MONTH(Tabela11[[#This Row],[Data]]),1),"mmmm"))</f>
        <v>Junho</v>
      </c>
      <c r="Z141" s="21">
        <f>YEAR(Tabela11[[#This Row],[Data]])</f>
        <v>2025</v>
      </c>
      <c r="AA141" s="35">
        <f>Tabela11[[#This Row],[Capital investido]]-A140</f>
        <v>0.13000000000101863</v>
      </c>
    </row>
    <row r="142" spans="1:27" x14ac:dyDescent="0.25">
      <c r="A142" s="42">
        <v>1130.139064931454</v>
      </c>
      <c r="B142" s="43">
        <v>594.48961973371388</v>
      </c>
      <c r="C142" s="43">
        <v>-535.64944519773962</v>
      </c>
      <c r="D142" s="43">
        <v>7.968</v>
      </c>
      <c r="E142" s="43"/>
      <c r="F142" s="43">
        <v>594.48961973371388</v>
      </c>
      <c r="G142" s="43">
        <v>232.36326658666661</v>
      </c>
      <c r="H142" s="43">
        <v>245.02906493145349</v>
      </c>
      <c r="I142" s="43"/>
      <c r="J142" s="43">
        <v>178.75</v>
      </c>
      <c r="K142" s="43">
        <v>276.84277591226049</v>
      </c>
      <c r="L142" s="43">
        <v>209.74</v>
      </c>
      <c r="M142" s="43">
        <v>15.190000000000049</v>
      </c>
      <c r="N142" s="43">
        <v>7.0099999999999909</v>
      </c>
      <c r="O142" s="43">
        <v>11.295778889999999</v>
      </c>
      <c r="P142" s="43">
        <v>0</v>
      </c>
      <c r="Q142" s="43">
        <v>36.369999999999997</v>
      </c>
      <c r="R142" s="43">
        <v>42.02</v>
      </c>
      <c r="S142" s="43">
        <v>106.27</v>
      </c>
      <c r="T142" s="37">
        <v>7.431120246671423E-2</v>
      </c>
      <c r="U142" s="17" t="s">
        <v>36</v>
      </c>
      <c r="V142" s="5" t="s">
        <v>263</v>
      </c>
      <c r="W142" s="45">
        <f>IFERROR(Tabela11[[#This Row],[Lucro]]*1/Tabela11[[#This Row],[Capital total]],"")</f>
        <v>-0.90102405057580282</v>
      </c>
      <c r="X142" s="39">
        <f>Tabela11[[#This Row],[Lucro]]-C141</f>
        <v>7.9970527699060767E-2</v>
      </c>
      <c r="Y142" s="21" t="str">
        <f>PROPER(TEXT(DATE(2024,MONTH(Tabela11[[#This Row],[Data]]),1),"mmmm"))</f>
        <v>Junho</v>
      </c>
      <c r="Z142" s="21">
        <f>YEAR(Tabela11[[#This Row],[Data]])</f>
        <v>2025</v>
      </c>
      <c r="AA142" s="35">
        <f>Tabela11[[#This Row],[Capital investido]]-A141</f>
        <v>0</v>
      </c>
    </row>
    <row r="143" spans="1:27" x14ac:dyDescent="0.25">
      <c r="A143" s="42">
        <v>1130.139064931454</v>
      </c>
      <c r="B143" s="43">
        <v>598.51628101309416</v>
      </c>
      <c r="C143" s="43">
        <v>-531.62278391835935</v>
      </c>
      <c r="D143" s="43">
        <v>7.968</v>
      </c>
      <c r="E143" s="43"/>
      <c r="F143" s="43">
        <v>598.51628101309416</v>
      </c>
      <c r="G143" s="43">
        <v>232.36326658666661</v>
      </c>
      <c r="H143" s="43">
        <v>245.02906493145349</v>
      </c>
      <c r="I143" s="43"/>
      <c r="J143" s="43">
        <v>179.11</v>
      </c>
      <c r="K143" s="43">
        <v>277.17276134164081</v>
      </c>
      <c r="L143" s="43">
        <v>212.61999999999989</v>
      </c>
      <c r="M143" s="43">
        <v>15.190000000000049</v>
      </c>
      <c r="N143" s="43">
        <v>7.0099999999999909</v>
      </c>
      <c r="O143" s="43">
        <v>11.46245474</v>
      </c>
      <c r="P143" s="43">
        <v>0</v>
      </c>
      <c r="Q143" s="43">
        <v>36.159999999999997</v>
      </c>
      <c r="R143" s="43">
        <v>42.02</v>
      </c>
      <c r="S143" s="43">
        <v>106.27</v>
      </c>
      <c r="T143" s="37">
        <v>7.4814535126636772E-2</v>
      </c>
      <c r="U143" s="17" t="s">
        <v>37</v>
      </c>
      <c r="V143" s="5" t="s">
        <v>264</v>
      </c>
      <c r="W143" s="45">
        <f>IFERROR(Tabela11[[#This Row],[Lucro]]*1/Tabela11[[#This Row],[Capital total]],"")</f>
        <v>-0.88823445707858473</v>
      </c>
      <c r="X143" s="39">
        <f>Tabela11[[#This Row],[Lucro]]-C142</f>
        <v>4.0266612793802778</v>
      </c>
      <c r="Y143" s="21" t="str">
        <f>PROPER(TEXT(DATE(2024,MONTH(Tabela11[[#This Row],[Data]]),1),"mmmm"))</f>
        <v>Junho</v>
      </c>
      <c r="Z143" s="21">
        <f>YEAR(Tabela11[[#This Row],[Data]])</f>
        <v>2025</v>
      </c>
      <c r="AA143" s="35">
        <f>Tabela11[[#This Row],[Capital investido]]-A142</f>
        <v>0</v>
      </c>
    </row>
    <row r="144" spans="1:27" x14ac:dyDescent="0.25">
      <c r="A144" s="42">
        <v>1131.619064931454</v>
      </c>
      <c r="B144" s="43">
        <v>601.55508039309416</v>
      </c>
      <c r="C144" s="43">
        <v>-530.06398453835936</v>
      </c>
      <c r="D144" s="43">
        <v>7.968</v>
      </c>
      <c r="E144" s="43"/>
      <c r="F144" s="43">
        <v>601.55508039309416</v>
      </c>
      <c r="G144" s="43">
        <v>232.36326658666661</v>
      </c>
      <c r="H144" s="43">
        <v>245.02906493145349</v>
      </c>
      <c r="I144" s="43"/>
      <c r="J144" s="43">
        <v>179.11</v>
      </c>
      <c r="K144" s="43">
        <v>277.17276134164081</v>
      </c>
      <c r="L144" s="43">
        <v>212.61999999999989</v>
      </c>
      <c r="M144" s="43">
        <v>15.190000000000049</v>
      </c>
      <c r="N144" s="43">
        <v>8.4900000000000091</v>
      </c>
      <c r="O144" s="43">
        <v>11.54125412</v>
      </c>
      <c r="P144" s="43">
        <v>0</v>
      </c>
      <c r="Q144" s="43">
        <v>36.159999999999997</v>
      </c>
      <c r="R144" s="43">
        <v>42.02</v>
      </c>
      <c r="S144" s="43">
        <v>106.27</v>
      </c>
      <c r="T144" s="37">
        <v>7.5194385049136767E-2</v>
      </c>
      <c r="U144" s="17" t="s">
        <v>38</v>
      </c>
      <c r="V144" s="5" t="s">
        <v>265</v>
      </c>
      <c r="W144" s="45">
        <f>IFERROR(Tabela11[[#This Row],[Lucro]]*1/Tabela11[[#This Row],[Capital total]],"")</f>
        <v>-0.88115619303220249</v>
      </c>
      <c r="X144" s="39">
        <f>Tabela11[[#This Row],[Lucro]]-C143</f>
        <v>1.5587993799999822</v>
      </c>
      <c r="Y144" s="21" t="str">
        <f>PROPER(TEXT(DATE(2024,MONTH(Tabela11[[#This Row],[Data]]),1),"mmmm"))</f>
        <v>Junho</v>
      </c>
      <c r="Z144" s="21">
        <f>YEAR(Tabela11[[#This Row],[Data]])</f>
        <v>2025</v>
      </c>
      <c r="AA144" s="35">
        <f>Tabela11[[#This Row],[Capital investido]]-A143</f>
        <v>1.4800000000000182</v>
      </c>
    </row>
    <row r="145" spans="1:27" x14ac:dyDescent="0.25">
      <c r="A145" s="42">
        <v>1131.619064931454</v>
      </c>
      <c r="B145" s="43">
        <v>701.54043476465949</v>
      </c>
      <c r="C145" s="43">
        <v>-430.07863016679408</v>
      </c>
      <c r="D145" s="43">
        <v>7.968</v>
      </c>
      <c r="E145" s="43"/>
      <c r="F145" s="43">
        <v>701.54043476465949</v>
      </c>
      <c r="G145" s="43" t="e">
        <v>#REF!</v>
      </c>
      <c r="H145" s="43">
        <v>245.02906493145349</v>
      </c>
      <c r="I145" s="43"/>
      <c r="J145" s="43">
        <v>176.4200000000001</v>
      </c>
      <c r="K145" s="43">
        <v>275.53283375320609</v>
      </c>
      <c r="L145" s="43">
        <v>214.08999999999989</v>
      </c>
      <c r="M145" s="43">
        <v>15.190000000000049</v>
      </c>
      <c r="N145" s="43">
        <v>8.4900000000000091</v>
      </c>
      <c r="O145" s="43">
        <v>11.566536080000001</v>
      </c>
      <c r="P145" s="43">
        <v>0</v>
      </c>
      <c r="Q145" s="43">
        <v>36.5</v>
      </c>
      <c r="R145" s="43">
        <v>42.02</v>
      </c>
      <c r="S145" s="43">
        <v>106.27</v>
      </c>
      <c r="T145" s="37">
        <v>8.7692554345582444E-2</v>
      </c>
      <c r="U145" s="17" t="s">
        <v>39</v>
      </c>
      <c r="V145" s="5" t="s">
        <v>266</v>
      </c>
      <c r="W145" s="45">
        <f>IFERROR(Tabela11[[#This Row],[Lucro]]*1/Tabela11[[#This Row],[Capital total]],"")</f>
        <v>-0.61304895463519415</v>
      </c>
      <c r="X145" s="39">
        <f>Tabela11[[#This Row],[Lucro]]-C144</f>
        <v>99.985354371565279</v>
      </c>
      <c r="Y145" s="21" t="str">
        <f>PROPER(TEXT(DATE(2024,MONTH(Tabela11[[#This Row],[Data]]),1),"mmmm"))</f>
        <v>Junho</v>
      </c>
      <c r="Z145" s="21">
        <f>YEAR(Tabela11[[#This Row],[Data]])</f>
        <v>2025</v>
      </c>
      <c r="AA145" s="35">
        <f>Tabela11[[#This Row],[Capital investido]]-A144</f>
        <v>0</v>
      </c>
    </row>
    <row r="146" spans="1:27" x14ac:dyDescent="0.25">
      <c r="A146" s="42">
        <v>1131.619064931454</v>
      </c>
      <c r="B146" s="43">
        <v>550.76452979197961</v>
      </c>
      <c r="C146" s="43">
        <v>-580.85453513947391</v>
      </c>
      <c r="D146" s="43">
        <v>7.968</v>
      </c>
      <c r="E146" s="43"/>
      <c r="F146" s="43">
        <v>550.76452979197961</v>
      </c>
      <c r="G146" s="43" t="e">
        <v>#REF!</v>
      </c>
      <c r="H146" s="43">
        <v>245.02906493145349</v>
      </c>
      <c r="I146" s="43"/>
      <c r="J146" s="43">
        <v>182.93000000000009</v>
      </c>
      <c r="K146" s="43">
        <v>271.31302008052643</v>
      </c>
      <c r="L146" s="43">
        <v>214.99</v>
      </c>
      <c r="M146" s="43">
        <v>15.190000000000049</v>
      </c>
      <c r="N146" s="43">
        <v>8.4900000000000091</v>
      </c>
      <c r="O146" s="43">
        <v>11.61044478</v>
      </c>
      <c r="P146" s="43">
        <v>0</v>
      </c>
      <c r="Q146" s="43">
        <v>36.64</v>
      </c>
      <c r="R146" s="43">
        <v>42.02</v>
      </c>
      <c r="S146" s="43">
        <v>106.27</v>
      </c>
      <c r="T146" s="37">
        <v>6.8845566223997456E-2</v>
      </c>
      <c r="U146" s="17" t="s">
        <v>267</v>
      </c>
      <c r="V146" s="5" t="s">
        <v>96</v>
      </c>
      <c r="W146" s="45">
        <f>IFERROR(Tabela11[[#This Row],[Lucro]]*1/Tabela11[[#This Row],[Capital total]],"")</f>
        <v>-1.0546331575834398</v>
      </c>
      <c r="X146" s="39">
        <f>Tabela11[[#This Row],[Lucro]]-C145</f>
        <v>-150.77590497267983</v>
      </c>
      <c r="Y146" s="21" t="str">
        <f>PROPER(TEXT(DATE(2024,MONTH(Tabela11[[#This Row],[Data]]),1),"mmmm"))</f>
        <v>Julho</v>
      </c>
      <c r="Z146" s="21">
        <f>YEAR(Tabela11[[#This Row],[Data]])</f>
        <v>2025</v>
      </c>
      <c r="AA146" s="35">
        <f>Tabela11[[#This Row],[Capital investido]]-A145</f>
        <v>0</v>
      </c>
    </row>
    <row r="147" spans="1:27" x14ac:dyDescent="0.25">
      <c r="A147" s="42">
        <v>1131.619064931454</v>
      </c>
      <c r="B147" s="43">
        <v>851.24594027262924</v>
      </c>
      <c r="C147" s="43">
        <v>-280.37312465882428</v>
      </c>
      <c r="D147" s="43">
        <v>7.968</v>
      </c>
      <c r="E147" s="43"/>
      <c r="F147" s="43">
        <v>851.24594027262924</v>
      </c>
      <c r="G147" s="43">
        <v>203.42138800000001</v>
      </c>
      <c r="H147" s="43">
        <v>245.0290649314536</v>
      </c>
      <c r="I147" s="43"/>
      <c r="J147" s="43">
        <v>184.16000000000011</v>
      </c>
      <c r="K147" s="43">
        <v>271.0480317811755</v>
      </c>
      <c r="L147" s="43">
        <v>215.3900000000001</v>
      </c>
      <c r="M147" s="43">
        <v>15.190000000000049</v>
      </c>
      <c r="N147" s="43">
        <v>8.4900000000000091</v>
      </c>
      <c r="O147" s="43">
        <v>11.536843559999999</v>
      </c>
      <c r="P147" s="43">
        <v>0</v>
      </c>
      <c r="Q147" s="43">
        <v>36.790000000000013</v>
      </c>
      <c r="R147" s="43">
        <v>42.02</v>
      </c>
      <c r="S147" s="43">
        <v>106.27</v>
      </c>
      <c r="T147" s="37">
        <v>0.1064057425340787</v>
      </c>
      <c r="U147" s="17" t="s">
        <v>268</v>
      </c>
      <c r="V147" s="5" t="s">
        <v>269</v>
      </c>
      <c r="W147" s="45">
        <f>IFERROR(Tabela11[[#This Row],[Lucro]]*1/Tabela11[[#This Row],[Capital total]],"")</f>
        <v>-0.32936794338076836</v>
      </c>
      <c r="X147" s="39">
        <f>Tabela11[[#This Row],[Lucro]]-C146</f>
        <v>300.48141048064963</v>
      </c>
      <c r="Y147" s="21" t="str">
        <f>PROPER(TEXT(DATE(2024,MONTH(Tabela11[[#This Row],[Data]]),1),"mmmm"))</f>
        <v>Julho</v>
      </c>
      <c r="Z147" s="21">
        <f>YEAR(Tabela11[[#This Row],[Data]])</f>
        <v>2025</v>
      </c>
      <c r="AA147" s="35">
        <f>Tabela11[[#This Row],[Capital investido]]-A146</f>
        <v>0</v>
      </c>
    </row>
    <row r="148" spans="1:27" x14ac:dyDescent="0.25">
      <c r="A148" s="42">
        <v>1131.619064931454</v>
      </c>
      <c r="B148" s="43">
        <v>854.71214010262906</v>
      </c>
      <c r="C148" s="43">
        <v>-276.9069248288244</v>
      </c>
      <c r="D148" s="43">
        <v>7.968</v>
      </c>
      <c r="E148" s="43"/>
      <c r="F148" s="43">
        <v>854.71214010262906</v>
      </c>
      <c r="G148" s="43">
        <v>203.42138800000001</v>
      </c>
      <c r="H148" s="43">
        <v>245.0290649314536</v>
      </c>
      <c r="I148" s="43"/>
      <c r="J148" s="43">
        <v>184.16000000000011</v>
      </c>
      <c r="K148" s="43">
        <v>271.0480317811755</v>
      </c>
      <c r="L148" s="43">
        <v>215.3900000000001</v>
      </c>
      <c r="M148" s="43">
        <v>15.190000000000049</v>
      </c>
      <c r="N148" s="43">
        <v>8.4900000000000091</v>
      </c>
      <c r="O148" s="43">
        <v>11.53304339</v>
      </c>
      <c r="P148" s="43">
        <v>0</v>
      </c>
      <c r="Q148" s="43">
        <v>36.790000000000013</v>
      </c>
      <c r="R148" s="43">
        <v>42.02</v>
      </c>
      <c r="S148" s="43">
        <v>106.27</v>
      </c>
      <c r="T148" s="37">
        <v>0.10683901751282859</v>
      </c>
      <c r="U148" s="17" t="s">
        <v>268</v>
      </c>
      <c r="V148" s="5" t="s">
        <v>270</v>
      </c>
      <c r="W148" s="45">
        <f>IFERROR(Tabela11[[#This Row],[Lucro]]*1/Tabela11[[#This Row],[Capital total]],"")</f>
        <v>-0.32397682428563018</v>
      </c>
      <c r="X148" s="39">
        <f>Tabela11[[#This Row],[Lucro]]-C147</f>
        <v>3.46619982999988</v>
      </c>
      <c r="Y148" s="21" t="str">
        <f>PROPER(TEXT(DATE(2024,MONTH(Tabela11[[#This Row],[Data]]),1),"mmmm"))</f>
        <v>Julho</v>
      </c>
      <c r="Z148" s="21">
        <f>YEAR(Tabela11[[#This Row],[Data]])</f>
        <v>2025</v>
      </c>
      <c r="AA148" s="35">
        <f>Tabela11[[#This Row],[Capital investido]]-A147</f>
        <v>0</v>
      </c>
    </row>
    <row r="149" spans="1:27" x14ac:dyDescent="0.25">
      <c r="A149" s="34">
        <v>1137.649064931453</v>
      </c>
      <c r="B149" s="35">
        <v>593.38325395645643</v>
      </c>
      <c r="C149" s="35">
        <v>-544.26581097499707</v>
      </c>
      <c r="D149" s="35">
        <v>7.968</v>
      </c>
      <c r="E149" s="35"/>
      <c r="F149" s="35">
        <v>593.38325395645643</v>
      </c>
      <c r="G149" s="35">
        <v>489.46363280000003</v>
      </c>
      <c r="H149" s="35">
        <v>245.02906493145349</v>
      </c>
      <c r="I149" s="35"/>
      <c r="J149" s="35">
        <v>182.23</v>
      </c>
      <c r="K149" s="35">
        <v>277.80273352500308</v>
      </c>
      <c r="L149" s="35">
        <v>215.75</v>
      </c>
      <c r="M149" s="35">
        <v>21.220000000000031</v>
      </c>
      <c r="N149" s="35">
        <v>8.4900000000000091</v>
      </c>
      <c r="O149" s="35">
        <v>13.3094555</v>
      </c>
      <c r="P149" s="35">
        <v>0</v>
      </c>
      <c r="Q149" s="35">
        <v>37.659999999999997</v>
      </c>
      <c r="R149" s="35">
        <v>42.02</v>
      </c>
      <c r="S149" s="43">
        <v>106.27</v>
      </c>
      <c r="T149" s="37">
        <v>7.4172906744557052E-2</v>
      </c>
      <c r="U149" s="18" t="s">
        <v>40</v>
      </c>
      <c r="V149" s="4" t="s">
        <v>271</v>
      </c>
      <c r="W149" s="38">
        <f>IFERROR(Tabela11[[#This Row],[Lucro]]*1/Tabela11[[#This Row],[Capital total]],"")</f>
        <v>-0.91722475709591955</v>
      </c>
      <c r="X149" s="39">
        <f>Tabela11[[#This Row],[Lucro]]-C148</f>
        <v>-267.35888614617267</v>
      </c>
      <c r="Y149" s="21" t="str">
        <f>PROPER(TEXT(DATE(2024,MONTH(Tabela11[[#This Row],[Data]]),1),"mmmm"))</f>
        <v>Julho</v>
      </c>
      <c r="Z149" s="21">
        <f>YEAR(Tabela11[[#This Row],[Data]])</f>
        <v>2025</v>
      </c>
      <c r="AA149" s="35">
        <f>Tabela11[[#This Row],[Capital investido]]-A148</f>
        <v>6.0299999999990632</v>
      </c>
    </row>
    <row r="150" spans="1:27" x14ac:dyDescent="0.25">
      <c r="A150" s="34">
        <v>1137.649064931453</v>
      </c>
      <c r="B150" s="35">
        <v>591.98253918627984</v>
      </c>
      <c r="C150" s="35">
        <v>-545.66652574517366</v>
      </c>
      <c r="D150" s="35">
        <v>7.968</v>
      </c>
      <c r="E150" s="35"/>
      <c r="F150" s="35">
        <v>591.98253918627984</v>
      </c>
      <c r="G150" s="35" t="e">
        <v>#REF!</v>
      </c>
      <c r="H150" s="35">
        <v>245.02906493145349</v>
      </c>
      <c r="I150" s="35"/>
      <c r="J150" s="35">
        <v>179.06999999999991</v>
      </c>
      <c r="K150" s="35">
        <v>277.41275074482638</v>
      </c>
      <c r="L150" s="35">
        <v>217.24</v>
      </c>
      <c r="M150" s="35">
        <v>21.220000000000031</v>
      </c>
      <c r="N150" s="35">
        <v>8.4900000000000091</v>
      </c>
      <c r="O150" s="35">
        <v>13.13872351</v>
      </c>
      <c r="P150" s="35">
        <v>0</v>
      </c>
      <c r="Q150" s="35">
        <v>37.96</v>
      </c>
      <c r="R150" s="35">
        <v>42.02</v>
      </c>
      <c r="S150" s="47">
        <v>106.27</v>
      </c>
      <c r="T150" s="37">
        <v>7.3997817398284982E-2</v>
      </c>
      <c r="U150" s="18" t="s">
        <v>41</v>
      </c>
      <c r="V150" s="4" t="s">
        <v>272</v>
      </c>
      <c r="W150" s="38">
        <f>IFERROR(Tabela11[[#This Row],[Lucro]]*1/Tabela11[[#This Row],[Capital total]],"")</f>
        <v>-0.92176118318494549</v>
      </c>
      <c r="X150" s="39">
        <f>Tabela11[[#This Row],[Lucro]]-C149</f>
        <v>-1.4007147701765916</v>
      </c>
      <c r="Y150" s="21" t="str">
        <f>PROPER(TEXT(DATE(2024,MONTH(Tabela11[[#This Row],[Data]]),1),"mmmm"))</f>
        <v>Julho</v>
      </c>
      <c r="Z150" s="21">
        <f>YEAR(Tabela11[[#This Row],[Data]])</f>
        <v>2025</v>
      </c>
      <c r="AA150" s="35">
        <f>Tabela11[[#This Row],[Capital investido]]-A149</f>
        <v>0</v>
      </c>
    </row>
    <row r="151" spans="1:27" x14ac:dyDescent="0.25">
      <c r="A151" s="42">
        <v>1137.649064931453</v>
      </c>
      <c r="B151" s="43">
        <v>183.23487029629311</v>
      </c>
      <c r="C151" s="43">
        <v>-954.41419463516036</v>
      </c>
      <c r="D151" s="43">
        <v>7.968</v>
      </c>
      <c r="E151" s="43"/>
      <c r="F151" s="43">
        <v>183.23487029629311</v>
      </c>
      <c r="G151" s="43">
        <v>0</v>
      </c>
      <c r="H151" s="43">
        <v>245.02906493145349</v>
      </c>
      <c r="I151" s="43"/>
      <c r="J151" s="43">
        <v>184.67</v>
      </c>
      <c r="K151" s="43">
        <v>265.54827462483962</v>
      </c>
      <c r="L151" s="43">
        <v>214.93999999999991</v>
      </c>
      <c r="M151" s="43">
        <v>21.22</v>
      </c>
      <c r="N151" s="43">
        <v>8.4900000000000091</v>
      </c>
      <c r="O151" s="43">
        <v>13.04553074</v>
      </c>
      <c r="P151" s="43">
        <v>0</v>
      </c>
      <c r="Q151" s="43">
        <v>38.630000000000003</v>
      </c>
      <c r="R151" s="43">
        <v>42.02</v>
      </c>
      <c r="S151" s="47">
        <v>106.27</v>
      </c>
      <c r="T151" s="37">
        <v>2.290435878703664E-2</v>
      </c>
      <c r="U151" s="17" t="s">
        <v>273</v>
      </c>
      <c r="V151" s="5" t="s">
        <v>274</v>
      </c>
      <c r="W151" s="45">
        <f>IFERROR(Tabela11[[#This Row],[Lucro]]*1/Tabela11[[#This Row],[Capital total]],"")</f>
        <v>-5.2086930456624358</v>
      </c>
      <c r="X151" s="39">
        <f>Tabela11[[#This Row],[Lucro]]-C150</f>
        <v>-408.7476688899867</v>
      </c>
      <c r="Y151" s="21" t="str">
        <f>PROPER(TEXT(DATE(2024,MONTH(Tabela11[[#This Row],[Data]]),1),"mmmm"))</f>
        <v>Outubro</v>
      </c>
      <c r="Z151" s="21">
        <f>YEAR(Tabela11[[#This Row],[Data]])</f>
        <v>2025</v>
      </c>
      <c r="AA151" s="35">
        <f>Tabela11[[#This Row],[Capital investido]]-A150</f>
        <v>0</v>
      </c>
    </row>
    <row r="152" spans="1:27" x14ac:dyDescent="0.25">
      <c r="A152" s="42">
        <v>1137.649064931453</v>
      </c>
      <c r="B152" s="43">
        <v>196.80517769599689</v>
      </c>
      <c r="C152" s="43">
        <v>-940.84388723545658</v>
      </c>
      <c r="D152" s="43">
        <v>7.968</v>
      </c>
      <c r="E152" s="43"/>
      <c r="F152" s="43">
        <v>196.80517769599689</v>
      </c>
      <c r="G152" s="43">
        <v>0</v>
      </c>
      <c r="H152" s="43">
        <v>245.02906493145349</v>
      </c>
      <c r="I152" s="43"/>
      <c r="J152" s="43">
        <v>198.31</v>
      </c>
      <c r="K152" s="43">
        <v>266.59322848454337</v>
      </c>
      <c r="L152" s="43">
        <v>215.46999999999991</v>
      </c>
      <c r="M152" s="43">
        <v>21.22</v>
      </c>
      <c r="N152" s="43">
        <v>8.4900000000000091</v>
      </c>
      <c r="O152" s="43">
        <v>11.010884280000001</v>
      </c>
      <c r="P152" s="43">
        <v>0</v>
      </c>
      <c r="Q152" s="43">
        <v>38.770000000000003</v>
      </c>
      <c r="R152" s="43">
        <v>42.02</v>
      </c>
      <c r="S152" s="43">
        <v>106.27</v>
      </c>
      <c r="T152" s="37">
        <v>2.4600647211999609E-2</v>
      </c>
      <c r="U152" s="17" t="s">
        <v>42</v>
      </c>
      <c r="V152" s="5" t="s">
        <v>275</v>
      </c>
      <c r="W152" s="45">
        <f>IFERROR(Tabela11[[#This Row],[Lucro]]*1/Tabela11[[#This Row],[Capital total]],"")</f>
        <v>-4.7805850346517271</v>
      </c>
      <c r="X152" s="39">
        <f>Tabela11[[#This Row],[Lucro]]-C151</f>
        <v>13.570307399703779</v>
      </c>
      <c r="Y152" s="21" t="str">
        <f>PROPER(TEXT(DATE(2024,MONTH(Tabela11[[#This Row],[Data]]),1),"mmmm"))</f>
        <v>Novembro</v>
      </c>
      <c r="Z152" s="21">
        <f>YEAR(Tabela11[[#This Row],[Data]])</f>
        <v>2025</v>
      </c>
      <c r="AA152" s="35">
        <f>Tabela11[[#This Row],[Capital investido]]-A151</f>
        <v>0</v>
      </c>
    </row>
    <row r="153" spans="1:27" x14ac:dyDescent="0.25">
      <c r="A153" s="42">
        <v>1137.649064931453</v>
      </c>
      <c r="B153" s="43">
        <v>284.20036577599672</v>
      </c>
      <c r="C153" s="43">
        <v>-853.44869915545678</v>
      </c>
      <c r="D153" s="43">
        <v>7.968</v>
      </c>
      <c r="E153" s="43"/>
      <c r="F153" s="43">
        <v>284.20036577599672</v>
      </c>
      <c r="G153" s="43">
        <v>0</v>
      </c>
      <c r="H153" s="43">
        <v>245.02906493145349</v>
      </c>
      <c r="I153" s="43"/>
      <c r="J153" s="43">
        <v>198.31</v>
      </c>
      <c r="K153" s="43">
        <v>266.59322848454337</v>
      </c>
      <c r="L153" s="43">
        <v>215.46999999999991</v>
      </c>
      <c r="M153" s="43">
        <v>21.220000000000031</v>
      </c>
      <c r="N153" s="43">
        <v>8.4900000000000091</v>
      </c>
      <c r="O153" s="43">
        <v>10.97607236</v>
      </c>
      <c r="P153" s="43">
        <v>0</v>
      </c>
      <c r="Q153" s="43">
        <v>38.770000000000003</v>
      </c>
      <c r="R153" s="43">
        <v>42.02</v>
      </c>
      <c r="S153" s="43">
        <v>106.27</v>
      </c>
      <c r="T153" s="37">
        <v>3.552504572199959E-2</v>
      </c>
      <c r="U153" s="17" t="s">
        <v>42</v>
      </c>
      <c r="V153" s="5" t="s">
        <v>276</v>
      </c>
      <c r="W153" s="45">
        <f>IFERROR(Tabela11[[#This Row],[Lucro]]*1/Tabela11[[#This Row],[Capital total]],"")</f>
        <v>-3.0029824093475472</v>
      </c>
      <c r="X153" s="39">
        <f>Tabela11[[#This Row],[Lucro]]-C152</f>
        <v>87.395188079999798</v>
      </c>
      <c r="Y153" s="21" t="str">
        <f>PROPER(TEXT(DATE(2024,MONTH(Tabela11[[#This Row],[Data]]),1),"mmmm"))</f>
        <v>Novembro</v>
      </c>
      <c r="Z153" s="21">
        <f>YEAR(Tabela11[[#This Row],[Data]])</f>
        <v>2025</v>
      </c>
      <c r="AA153" s="35">
        <f>Tabela11[[#This Row],[Capital investido]]-A152</f>
        <v>0</v>
      </c>
    </row>
    <row r="154" spans="1:27" x14ac:dyDescent="0.25">
      <c r="A154" s="42">
        <v>1244.605066841197</v>
      </c>
      <c r="B154" s="43">
        <v>393.86894235261508</v>
      </c>
      <c r="C154" s="43">
        <v>-850.73612448858159</v>
      </c>
      <c r="D154" s="43">
        <v>7.968</v>
      </c>
      <c r="E154" s="43"/>
      <c r="F154" s="43">
        <v>393.86894235261508</v>
      </c>
      <c r="G154" s="43" t="e">
        <v>#REF!</v>
      </c>
      <c r="H154" s="43">
        <v>351.98506684119661</v>
      </c>
      <c r="I154" s="43"/>
      <c r="J154" s="43">
        <v>202.31000000000009</v>
      </c>
      <c r="K154" s="43">
        <v>264.78830818141847</v>
      </c>
      <c r="L154" s="43">
        <v>214.93999999999991</v>
      </c>
      <c r="M154" s="43">
        <v>21.220000000000031</v>
      </c>
      <c r="N154" s="43">
        <v>8.4900000000000091</v>
      </c>
      <c r="O154" s="43">
        <v>10.64356733</v>
      </c>
      <c r="P154" s="43">
        <v>0</v>
      </c>
      <c r="Q154" s="43">
        <v>39.11</v>
      </c>
      <c r="R154" s="43">
        <v>42.02</v>
      </c>
      <c r="S154" s="43">
        <v>106.27</v>
      </c>
      <c r="T154" s="37">
        <v>4.9233617794076888E-2</v>
      </c>
      <c r="U154" s="17" t="s">
        <v>43</v>
      </c>
      <c r="V154" s="5" t="s">
        <v>277</v>
      </c>
      <c r="W154" s="45">
        <f>IFERROR(Tabela11[[#This Row],[Lucro]]*1/Tabela11[[#This Row],[Capital total]],"")</f>
        <v>-2.1599472134234734</v>
      </c>
      <c r="X154" s="39">
        <f>Tabela11[[#This Row],[Lucro]]-C153</f>
        <v>2.7125746668751844</v>
      </c>
      <c r="Y154" s="21" t="str">
        <f>PROPER(TEXT(DATE(2024,MONTH(Tabela11[[#This Row],[Data]]),1),"mmmm"))</f>
        <v>Novembro</v>
      </c>
      <c r="Z154" s="21">
        <f>YEAR(Tabela11[[#This Row],[Data]])</f>
        <v>2025</v>
      </c>
      <c r="AA154" s="35">
        <f>Tabela11[[#This Row],[Capital investido]]-A153</f>
        <v>106.95600190974392</v>
      </c>
    </row>
    <row r="155" spans="1:27" x14ac:dyDescent="0.25">
      <c r="A155" s="42">
        <v>1246.075066841197</v>
      </c>
      <c r="B155" s="43">
        <v>407.69946217585198</v>
      </c>
      <c r="C155" s="43">
        <v>-838.37560466534455</v>
      </c>
      <c r="D155" s="43">
        <v>7.968</v>
      </c>
      <c r="E155" s="43"/>
      <c r="F155" s="43">
        <v>407.69946217585198</v>
      </c>
      <c r="G155" s="43">
        <v>1292.5421644800001</v>
      </c>
      <c r="H155" s="43">
        <v>353.45506684119658</v>
      </c>
      <c r="I155" s="43"/>
      <c r="J155" s="43">
        <v>201.33</v>
      </c>
      <c r="K155" s="43">
        <v>271.93799248465552</v>
      </c>
      <c r="L155" s="43">
        <v>213.9</v>
      </c>
      <c r="M155" s="43">
        <v>21.220000000000031</v>
      </c>
      <c r="N155" s="43">
        <v>8.4900000000000091</v>
      </c>
      <c r="O155" s="43">
        <v>9.58440285</v>
      </c>
      <c r="P155" s="43">
        <v>0</v>
      </c>
      <c r="Q155" s="43">
        <v>40.33</v>
      </c>
      <c r="R155" s="43">
        <v>42.02</v>
      </c>
      <c r="S155" s="43">
        <v>106.27</v>
      </c>
      <c r="T155" s="37">
        <v>5.0962432771981488E-2</v>
      </c>
      <c r="U155" s="17" t="s">
        <v>278</v>
      </c>
      <c r="V155" s="5" t="s">
        <v>279</v>
      </c>
      <c r="W155" s="45">
        <f>IFERROR(Tabela11[[#This Row],[Lucro]]*1/Tabela11[[#This Row],[Capital total]],"")</f>
        <v>-2.0563569061166191</v>
      </c>
      <c r="X155" s="39">
        <f>Tabela11[[#This Row],[Lucro]]-C154</f>
        <v>12.360519823237041</v>
      </c>
      <c r="Y155" s="21" t="str">
        <f>PROPER(TEXT(DATE(2024,MONTH(Tabela11[[#This Row],[Data]]),1),"mmmm"))</f>
        <v>Dezembro</v>
      </c>
      <c r="Z155" s="21">
        <f>YEAR(Tabela11[[#This Row],[Data]])</f>
        <v>2025</v>
      </c>
      <c r="AA155" s="35">
        <f>Tabela11[[#This Row],[Capital investido]]-A154</f>
        <v>1.4700000000000273</v>
      </c>
    </row>
    <row r="156" spans="1:27" x14ac:dyDescent="0.25">
      <c r="A156" s="42">
        <v>1246.075066841197</v>
      </c>
      <c r="B156" s="43">
        <v>996.49767876585213</v>
      </c>
      <c r="C156" s="43">
        <v>-249.5773880753444</v>
      </c>
      <c r="D156" s="43">
        <v>7.968</v>
      </c>
      <c r="E156" s="43"/>
      <c r="F156" s="43">
        <v>376.35706684119663</v>
      </c>
      <c r="G156" s="43" t="e">
        <v>#REF!</v>
      </c>
      <c r="H156" s="43">
        <v>353.45506684119653</v>
      </c>
      <c r="I156" s="43"/>
      <c r="J156" s="43">
        <v>201.33</v>
      </c>
      <c r="K156" s="43">
        <v>271.93799248465541</v>
      </c>
      <c r="L156" s="43">
        <v>213.9</v>
      </c>
      <c r="M156" s="43">
        <v>21.220000000000031</v>
      </c>
      <c r="N156" s="43">
        <v>8.4900000000000091</v>
      </c>
      <c r="O156" s="43">
        <v>9.5846194399999991</v>
      </c>
      <c r="P156" s="43">
        <v>0</v>
      </c>
      <c r="Q156" s="43">
        <v>40.33</v>
      </c>
      <c r="R156" s="43">
        <v>42.02</v>
      </c>
      <c r="S156" s="43">
        <v>106.27</v>
      </c>
      <c r="T156" s="37">
        <v>0.12456220984573151</v>
      </c>
      <c r="U156" s="17" t="s">
        <v>278</v>
      </c>
      <c r="V156" s="5" t="s">
        <v>280</v>
      </c>
      <c r="W156" s="45">
        <f>IFERROR(Tabela11[[#This Row],[Lucro]]*1/Tabela11[[#This Row],[Capital total]],"")</f>
        <v>-0.25045456040042396</v>
      </c>
      <c r="X156" s="39">
        <f>Tabela11[[#This Row],[Lucro]]-C155</f>
        <v>588.79821659000015</v>
      </c>
      <c r="Y156" s="21" t="str">
        <f>PROPER(TEXT(DATE(2024,MONTH(Tabela11[[#This Row],[Data]]),1),"mmmm"))</f>
        <v>Dezembro</v>
      </c>
      <c r="Z156" s="21">
        <f>YEAR(Tabela11[[#This Row],[Data]])</f>
        <v>2025</v>
      </c>
      <c r="AA156" s="35">
        <f>Tabela11[[#This Row],[Capital investido]]-A155</f>
        <v>0</v>
      </c>
    </row>
    <row r="157" spans="1:27" x14ac:dyDescent="0.25">
      <c r="A157" s="34">
        <v>1246.075066841197</v>
      </c>
      <c r="B157" s="35">
        <v>996.4442204158521</v>
      </c>
      <c r="C157" s="35">
        <v>-249.6308464253444</v>
      </c>
      <c r="D157" s="35">
        <v>7.968</v>
      </c>
      <c r="E157" s="35"/>
      <c r="F157" s="35">
        <v>376.35706684119663</v>
      </c>
      <c r="G157" s="35" t="e">
        <v>#REF!</v>
      </c>
      <c r="H157" s="35">
        <v>353.45506684119681</v>
      </c>
      <c r="I157" s="35"/>
      <c r="J157" s="35">
        <v>201.33</v>
      </c>
      <c r="K157" s="35">
        <v>271.93799248465541</v>
      </c>
      <c r="L157" s="35">
        <v>213.9</v>
      </c>
      <c r="M157" s="35">
        <v>21.220000000000031</v>
      </c>
      <c r="N157" s="35">
        <v>8.4900000000000091</v>
      </c>
      <c r="O157" s="35">
        <v>9.5311610899999994</v>
      </c>
      <c r="P157" s="35">
        <v>0</v>
      </c>
      <c r="Q157" s="35">
        <v>40.33</v>
      </c>
      <c r="R157" s="35">
        <v>42.02</v>
      </c>
      <c r="S157" s="43">
        <v>106.27</v>
      </c>
      <c r="T157" s="37">
        <v>0.1245555275519815</v>
      </c>
      <c r="U157" s="18" t="s">
        <v>44</v>
      </c>
      <c r="V157" s="4" t="s">
        <v>281</v>
      </c>
      <c r="W157" s="38">
        <f>IFERROR(Tabela11[[#This Row],[Lucro]]*1/Tabela11[[#This Row],[Capital total]],"")</f>
        <v>-0.25052164618021916</v>
      </c>
      <c r="X157" s="39">
        <f>Tabela11[[#This Row],[Lucro]]-C156</f>
        <v>-5.3458349999999655E-2</v>
      </c>
      <c r="Y157" s="21" t="str">
        <f>PROPER(TEXT(DATE(2024,MONTH(Tabela11[[#This Row],[Data]]),1),"mmmm"))</f>
        <v>Dezembro</v>
      </c>
      <c r="Z157" s="21">
        <f>YEAR(Tabela11[[#This Row],[Data]])</f>
        <v>2025</v>
      </c>
      <c r="AA157" s="35">
        <f>Tabela11[[#This Row],[Capital investido]]-A156</f>
        <v>0</v>
      </c>
    </row>
    <row r="158" spans="1:27" x14ac:dyDescent="0.25">
      <c r="A158" s="42">
        <v>1246.075066841197</v>
      </c>
      <c r="B158" s="43">
        <v>996.4442204158521</v>
      </c>
      <c r="C158" s="43">
        <v>-249.6308464253444</v>
      </c>
      <c r="D158" s="43">
        <v>7.968</v>
      </c>
      <c r="E158" s="43"/>
      <c r="F158" s="43">
        <v>376.35706684119663</v>
      </c>
      <c r="G158" s="43" t="e">
        <v>#REF!</v>
      </c>
      <c r="H158" s="43">
        <v>353.45506684119681</v>
      </c>
      <c r="I158" s="43"/>
      <c r="J158" s="43">
        <v>201.33</v>
      </c>
      <c r="K158" s="43">
        <v>271.93799248465541</v>
      </c>
      <c r="L158" s="43">
        <v>213.9</v>
      </c>
      <c r="M158" s="43">
        <v>21.220000000000031</v>
      </c>
      <c r="N158" s="43">
        <v>8.4900000000000091</v>
      </c>
      <c r="O158" s="43">
        <v>9.5311610899999994</v>
      </c>
      <c r="P158" s="43">
        <v>0</v>
      </c>
      <c r="Q158" s="43">
        <v>40.33</v>
      </c>
      <c r="R158" s="43">
        <v>42.02</v>
      </c>
      <c r="S158" s="47">
        <v>106.27</v>
      </c>
      <c r="T158" s="37">
        <v>0.1245555275519815</v>
      </c>
      <c r="U158" s="17" t="s">
        <v>44</v>
      </c>
      <c r="V158" s="5" t="s">
        <v>282</v>
      </c>
      <c r="W158" s="45">
        <f>IFERROR(Tabela11[[#This Row],[Lucro]]*1/Tabela11[[#This Row],[Capital total]],"")</f>
        <v>-0.25052164618021916</v>
      </c>
      <c r="X158" s="39">
        <f>Tabela11[[#This Row],[Lucro]]-C157</f>
        <v>0</v>
      </c>
      <c r="Y158" s="21" t="str">
        <f>PROPER(TEXT(DATE(2024,MONTH(Tabela11[[#This Row],[Data]]),1),"mmmm"))</f>
        <v>Dezembro</v>
      </c>
      <c r="Z158" s="21">
        <f>YEAR(Tabela11[[#This Row],[Data]])</f>
        <v>2025</v>
      </c>
      <c r="AA158" s="35">
        <f>Tabela11[[#This Row],[Capital investido]]-A157</f>
        <v>0</v>
      </c>
    </row>
    <row r="159" spans="1:27" x14ac:dyDescent="0.25">
      <c r="A159" s="42">
        <v>1224.0832767861471</v>
      </c>
      <c r="B159" s="43">
        <v>382.03527678614728</v>
      </c>
      <c r="C159" s="43">
        <v>-842.04799999999955</v>
      </c>
      <c r="D159" s="43"/>
      <c r="E159" s="43"/>
      <c r="F159" s="43"/>
      <c r="G159" s="43"/>
      <c r="H159" s="43">
        <v>361.17327678614703</v>
      </c>
      <c r="I159" s="43"/>
      <c r="J159" s="43">
        <v>201.33</v>
      </c>
      <c r="K159" s="43">
        <v>271.93799248465552</v>
      </c>
      <c r="L159" s="43">
        <v>213.9</v>
      </c>
      <c r="M159" s="43"/>
      <c r="N159" s="43"/>
      <c r="O159" s="43">
        <v>9.6850975100000003</v>
      </c>
      <c r="P159" s="43"/>
      <c r="Q159" s="43">
        <v>40.33</v>
      </c>
      <c r="R159" s="43">
        <v>43.67</v>
      </c>
      <c r="S159" s="43">
        <v>106.27</v>
      </c>
      <c r="T159" s="37">
        <v>4.7754409598268412E-2</v>
      </c>
      <c r="U159" s="26" t="s">
        <v>45</v>
      </c>
      <c r="V159" s="4"/>
      <c r="W159" s="45">
        <f>IFERROR(Tabela11[[#This Row],[Lucro]]*1/Tabela11[[#This Row],[Capital total]],"")</f>
        <v>-2.2041105917853616</v>
      </c>
      <c r="X159" s="39">
        <f>Tabela11[[#This Row],[Lucro]]-C158</f>
        <v>-592.41715357465512</v>
      </c>
      <c r="Y159" s="21" t="str">
        <f>PROPER(TEXT(DATE(2024,MONTH(Tabela11[[#This Row],[Data]]),1),"mmmm"))</f>
        <v>Dezembro</v>
      </c>
      <c r="Z159" s="21">
        <f>YEAR(Tabela11[[#This Row],[Data]])</f>
        <v>2025</v>
      </c>
      <c r="AA159" s="35">
        <f>Tabela11[[#This Row],[Capital investido]]-A158</f>
        <v>-21.991790055049933</v>
      </c>
    </row>
    <row r="160" spans="1:27" x14ac:dyDescent="0.25">
      <c r="A160" s="42">
        <v>1224.0832767861471</v>
      </c>
      <c r="B160" s="43">
        <v>382.03527678614728</v>
      </c>
      <c r="C160" s="43">
        <v>-842.04799999999955</v>
      </c>
      <c r="D160" s="43"/>
      <c r="E160" s="43"/>
      <c r="F160" s="43"/>
      <c r="G160" s="43"/>
      <c r="H160" s="43">
        <v>361.17327678614703</v>
      </c>
      <c r="I160" s="43"/>
      <c r="J160" s="43">
        <v>201.33</v>
      </c>
      <c r="K160" s="43">
        <v>271.93799248465552</v>
      </c>
      <c r="L160" s="43">
        <v>213.9</v>
      </c>
      <c r="M160" s="43"/>
      <c r="N160" s="43"/>
      <c r="O160" s="43">
        <v>9.6850975100000003</v>
      </c>
      <c r="P160" s="43"/>
      <c r="Q160" s="43">
        <v>40.33</v>
      </c>
      <c r="R160" s="43">
        <v>43.67</v>
      </c>
      <c r="S160" s="43">
        <v>106.27</v>
      </c>
      <c r="T160" s="37">
        <v>4.7754409598268412E-2</v>
      </c>
      <c r="U160" s="17" t="s">
        <v>45</v>
      </c>
      <c r="V160" s="5" t="s">
        <v>283</v>
      </c>
      <c r="W160" s="45">
        <f>IFERROR(Tabela11[[#This Row],[Lucro]]*1/Tabela11[[#This Row],[Capital total]],"")</f>
        <v>-2.2041105917853616</v>
      </c>
      <c r="X160" s="39">
        <f>Tabela11[[#This Row],[Lucro]]-C159</f>
        <v>0</v>
      </c>
      <c r="Y160" s="21" t="str">
        <f>PROPER(TEXT(DATE(2024,MONTH(Tabela11[[#This Row],[Data]]),1),"mmmm"))</f>
        <v>Dezembro</v>
      </c>
      <c r="Z160" s="21">
        <f>YEAR(Tabela11[[#This Row],[Data]])</f>
        <v>2025</v>
      </c>
      <c r="AA160" s="35">
        <f>Tabela11[[#This Row],[Capital investido]]-A159</f>
        <v>0</v>
      </c>
    </row>
    <row r="161" spans="1:27" x14ac:dyDescent="0.25">
      <c r="A161" s="34">
        <v>1235.300779843976</v>
      </c>
      <c r="B161" s="35">
        <v>393.25277984397638</v>
      </c>
      <c r="C161" s="35">
        <v>-842.04799999999977</v>
      </c>
      <c r="D161" s="35"/>
      <c r="E161" s="35"/>
      <c r="F161" s="35"/>
      <c r="G161" s="35"/>
      <c r="H161" s="35">
        <v>372.39077984397642</v>
      </c>
      <c r="I161" s="35"/>
      <c r="J161" s="35">
        <v>201.65</v>
      </c>
      <c r="K161" s="35">
        <v>271.64300550990652</v>
      </c>
      <c r="L161" s="35">
        <v>214.57</v>
      </c>
      <c r="M161" s="35"/>
      <c r="N161" s="35"/>
      <c r="O161" s="35">
        <v>9.8983205200000004</v>
      </c>
      <c r="P161" s="35"/>
      <c r="Q161" s="35">
        <v>40.229999999999997</v>
      </c>
      <c r="R161" s="35">
        <v>43.67</v>
      </c>
      <c r="S161" s="43">
        <v>106.27</v>
      </c>
      <c r="T161" s="37">
        <v>4.9156597480497048E-2</v>
      </c>
      <c r="U161" s="18" t="s">
        <v>46</v>
      </c>
      <c r="V161" s="4" t="s">
        <v>284</v>
      </c>
      <c r="W161" s="45">
        <f>IFERROR(Tabela11[[#This Row],[Lucro]]*1/Tabela11[[#This Row],[Capital total]],"")</f>
        <v>-2.1412385192396695</v>
      </c>
      <c r="X161" s="39">
        <f>Tabela11[[#This Row],[Lucro]]-C160</f>
        <v>0</v>
      </c>
      <c r="Y161" s="21" t="str">
        <f>PROPER(TEXT(DATE(2024,MONTH(Tabela11[[#This Row],[Data]]),1),"mmmm"))</f>
        <v>Dezembro</v>
      </c>
      <c r="Z161" s="21">
        <f>YEAR(Tabela11[[#This Row],[Data]])</f>
        <v>2025</v>
      </c>
      <c r="AA161" s="35">
        <f>Tabela11[[#This Row],[Capital investido]]-A160</f>
        <v>11.217503057828935</v>
      </c>
    </row>
    <row r="162" spans="1:27" x14ac:dyDescent="0.25">
      <c r="A162" s="34">
        <v>1235.300779843976</v>
      </c>
      <c r="B162" s="35">
        <v>393.25277984397638</v>
      </c>
      <c r="C162" s="35">
        <v>-842.04799999999977</v>
      </c>
      <c r="D162" s="35"/>
      <c r="E162" s="35"/>
      <c r="F162" s="35"/>
      <c r="G162" s="35"/>
      <c r="H162" s="35">
        <v>372.39077984397642</v>
      </c>
      <c r="I162" s="35"/>
      <c r="J162" s="35">
        <v>201.65</v>
      </c>
      <c r="K162" s="35">
        <v>271.64300550990652</v>
      </c>
      <c r="L162" s="35">
        <v>214.57</v>
      </c>
      <c r="M162" s="35"/>
      <c r="N162" s="35"/>
      <c r="O162" s="35">
        <v>9.8983205200000004</v>
      </c>
      <c r="P162" s="35"/>
      <c r="Q162" s="35">
        <v>40.229999999999997</v>
      </c>
      <c r="R162" s="35">
        <v>43.67</v>
      </c>
      <c r="S162" s="43">
        <v>106.27</v>
      </c>
      <c r="T162" s="37">
        <v>4.9156597480497048E-2</v>
      </c>
      <c r="U162" s="18" t="s">
        <v>46</v>
      </c>
      <c r="V162" s="4" t="s">
        <v>285</v>
      </c>
      <c r="W162" s="45">
        <f>IFERROR(Tabela11[[#This Row],[Lucro]]*1/Tabela11[[#This Row],[Capital total]],"")</f>
        <v>-2.1412385192396695</v>
      </c>
      <c r="X162" s="39">
        <f>Tabela11[[#This Row],[Lucro]]-C161</f>
        <v>0</v>
      </c>
      <c r="Y162" s="21" t="str">
        <f>PROPER(TEXT(DATE(2024,MONTH(Tabela11[[#This Row],[Data]]),1),"mmmm"))</f>
        <v>Dezembro</v>
      </c>
      <c r="Z162" s="21">
        <f>YEAR(Tabela11[[#This Row],[Data]])</f>
        <v>2025</v>
      </c>
      <c r="AA162" s="35">
        <f>Tabela11[[#This Row],[Capital investido]]-A161</f>
        <v>0</v>
      </c>
    </row>
    <row r="163" spans="1:27" x14ac:dyDescent="0.25">
      <c r="A163" s="42">
        <v>1235.300779843976</v>
      </c>
      <c r="B163" s="43">
        <v>393.25277984397638</v>
      </c>
      <c r="C163" s="43">
        <v>-842.04799999999977</v>
      </c>
      <c r="D163" s="43" t="s">
        <v>71</v>
      </c>
      <c r="E163" s="43"/>
      <c r="F163" s="43"/>
      <c r="G163" s="43"/>
      <c r="H163" s="43">
        <v>372.39077984397642</v>
      </c>
      <c r="I163" s="43"/>
      <c r="J163" s="43">
        <v>201.65</v>
      </c>
      <c r="K163" s="43">
        <v>271.64300550990652</v>
      </c>
      <c r="L163" s="43">
        <v>214.57</v>
      </c>
      <c r="M163" s="43"/>
      <c r="N163" s="43"/>
      <c r="O163" s="43">
        <v>9.8983205200000004</v>
      </c>
      <c r="P163" s="43"/>
      <c r="Q163" s="43">
        <v>40.229999999999997</v>
      </c>
      <c r="R163" s="43">
        <v>43.67</v>
      </c>
      <c r="S163" s="47">
        <v>106.27</v>
      </c>
      <c r="T163" s="37">
        <v>4.9156597480497048E-2</v>
      </c>
      <c r="U163" s="17" t="s">
        <v>46</v>
      </c>
      <c r="V163" s="5" t="s">
        <v>286</v>
      </c>
      <c r="W163" s="45">
        <f>IFERROR(Tabela11[[#This Row],[Lucro]]*1/Tabela11[[#This Row],[Capital total]],"")</f>
        <v>-2.1412385192396695</v>
      </c>
      <c r="X163" s="39">
        <f>Tabela11[[#This Row],[Lucro]]-C162</f>
        <v>0</v>
      </c>
      <c r="Y163" s="28" t="str">
        <f>PROPER(TEXT(DATE(2024,MONTH(Tabela11[[#This Row],[Data]]),1),"mmmm"))</f>
        <v>Dezembro</v>
      </c>
      <c r="Z163" s="28">
        <f>YEAR(Tabela11[[#This Row],[Data]])</f>
        <v>2025</v>
      </c>
      <c r="AA163" s="35">
        <f>Tabela11[[#This Row],[Capital investido]]-A162</f>
        <v>0</v>
      </c>
    </row>
    <row r="164" spans="1:27" x14ac:dyDescent="0.25">
      <c r="A164" s="42">
        <v>1235.300779843976</v>
      </c>
      <c r="B164" s="43">
        <v>393.25277984397638</v>
      </c>
      <c r="C164" s="43">
        <v>-842.04799999999977</v>
      </c>
      <c r="D164" s="43">
        <v>208.07</v>
      </c>
      <c r="E164" s="43"/>
      <c r="F164" s="43"/>
      <c r="G164" s="43"/>
      <c r="H164" s="43">
        <v>372.39077984397642</v>
      </c>
      <c r="I164" s="43"/>
      <c r="J164" s="43">
        <v>201.65</v>
      </c>
      <c r="K164" s="43">
        <v>271.64300550990652</v>
      </c>
      <c r="L164" s="43">
        <v>214.57</v>
      </c>
      <c r="M164" s="43"/>
      <c r="N164" s="43"/>
      <c r="O164" s="43">
        <v>9.8983205200000004</v>
      </c>
      <c r="P164" s="43"/>
      <c r="Q164" s="43">
        <v>40.229999999999997</v>
      </c>
      <c r="R164" s="43">
        <v>43.67</v>
      </c>
      <c r="S164" s="43">
        <v>106.27</v>
      </c>
      <c r="T164" s="37">
        <v>4.9156597480497048E-2</v>
      </c>
      <c r="U164" s="17" t="s">
        <v>46</v>
      </c>
      <c r="V164" s="5" t="s">
        <v>287</v>
      </c>
      <c r="W164" s="45">
        <f>IFERROR(Tabela11[[#This Row],[Lucro]]*1/Tabela11[[#This Row],[Capital total]],"")</f>
        <v>-2.1412385192396695</v>
      </c>
      <c r="X164" s="39">
        <f>Tabela11[[#This Row],[Lucro]]-C163</f>
        <v>0</v>
      </c>
      <c r="Y164" s="28" t="str">
        <f>PROPER(TEXT(DATE(2024,MONTH(Tabela11[[#This Row],[Data]]),1),"mmmm"))</f>
        <v>Dezembro</v>
      </c>
      <c r="Z164" s="28">
        <f>YEAR(Tabela11[[#This Row],[Data]])</f>
        <v>2025</v>
      </c>
      <c r="AA164" s="35">
        <f>Tabela11[[#This Row],[Capital investido]]-A163</f>
        <v>0</v>
      </c>
    </row>
    <row r="165" spans="1:27" x14ac:dyDescent="0.25">
      <c r="A165" s="42">
        <v>1246.6082925054809</v>
      </c>
      <c r="B165" s="43">
        <v>404.97029250548121</v>
      </c>
      <c r="C165" s="43">
        <v>-841.63800000000015</v>
      </c>
      <c r="D165" s="43">
        <v>361.17327678614703</v>
      </c>
      <c r="E165" s="43"/>
      <c r="F165" s="43">
        <v>296.74</v>
      </c>
      <c r="G165" s="43">
        <v>208.07</v>
      </c>
      <c r="H165" s="43">
        <v>383.69829250548128</v>
      </c>
      <c r="I165" s="43"/>
      <c r="J165" s="43">
        <v>204.44</v>
      </c>
      <c r="K165" s="43">
        <v>270.25306688312338</v>
      </c>
      <c r="L165" s="43">
        <v>214.83</v>
      </c>
      <c r="M165" s="43" t="s">
        <v>44</v>
      </c>
      <c r="N165" s="43"/>
      <c r="O165" s="43">
        <v>9.7679136500000006</v>
      </c>
      <c r="P165" s="43"/>
      <c r="Q165" s="43">
        <v>40.36</v>
      </c>
      <c r="R165" s="43">
        <v>43.67</v>
      </c>
      <c r="S165" s="43">
        <v>106.27</v>
      </c>
      <c r="T165" s="37">
        <v>5.0621286563185153E-2</v>
      </c>
      <c r="U165" s="17" t="s">
        <v>46</v>
      </c>
      <c r="V165" s="5" t="s">
        <v>288</v>
      </c>
      <c r="W165" s="45">
        <f>IFERROR(Tabela11[[#This Row],[Lucro]]*1/Tabela11[[#This Row],[Capital total]],"")</f>
        <v>-2.0782709635142154</v>
      </c>
      <c r="X165" s="39">
        <f>Tabela11[[#This Row],[Lucro]]-C164</f>
        <v>0.40999999999962711</v>
      </c>
      <c r="Y165" s="28" t="str">
        <f>PROPER(TEXT(DATE(2024,MONTH(Tabela11[[#This Row],[Data]]),1),"mmmm"))</f>
        <v>Dezembro</v>
      </c>
      <c r="Z165" s="28">
        <f>YEAR(Tabela11[[#This Row],[Data]])</f>
        <v>2025</v>
      </c>
      <c r="AA165" s="35">
        <f>Tabela11[[#This Row],[Capital investido]]-A164</f>
        <v>11.307512661504916</v>
      </c>
    </row>
    <row r="166" spans="1:27" hidden="1" x14ac:dyDescent="0.25">
      <c r="A166" s="42">
        <v>1252.296027911759</v>
      </c>
      <c r="B166" s="43">
        <v>411.07802791175851</v>
      </c>
      <c r="C166" s="43">
        <v>-841.21800000000053</v>
      </c>
      <c r="D166" s="43">
        <v>361.17327678614703</v>
      </c>
      <c r="E166" s="43"/>
      <c r="F166" s="43">
        <v>296.74</v>
      </c>
      <c r="G166" s="43">
        <v>208.07</v>
      </c>
      <c r="H166" s="43">
        <v>389.38602791175907</v>
      </c>
      <c r="I166" s="43"/>
      <c r="J166" s="43">
        <v>202.1</v>
      </c>
      <c r="K166" s="43">
        <v>270.91803752111679</v>
      </c>
      <c r="L166" s="43">
        <v>215.57</v>
      </c>
      <c r="M166" s="43"/>
      <c r="N166" s="43"/>
      <c r="O166" s="43">
        <v>9.6389047699999999</v>
      </c>
      <c r="P166" s="43"/>
      <c r="Q166" s="43">
        <v>40.159999999999997</v>
      </c>
      <c r="R166" s="43">
        <v>43.67</v>
      </c>
      <c r="S166" s="43">
        <v>106.27</v>
      </c>
      <c r="T166" s="37">
        <v>5.1384753488969807E-2</v>
      </c>
      <c r="U166" s="17">
        <v>46003</v>
      </c>
      <c r="V166" s="5" t="s">
        <v>289</v>
      </c>
      <c r="W166" s="45">
        <f>IFERROR(Tabela11[[#This Row],[Lucro]]*1/Tabela11[[#This Row],[Capital total]],"")</f>
        <v>-2.0463706228068586</v>
      </c>
      <c r="X166" s="39">
        <f>Tabela11[[#This Row],[Lucro]]-C165</f>
        <v>0.41999999999961801</v>
      </c>
      <c r="Y166" s="28" t="str">
        <f>PROPER(TEXT(DATE(2024,MONTH(Tabela11[[#This Row],[Data]]),1),"mmmm"))</f>
        <v>Dezembro</v>
      </c>
      <c r="Z166" s="28">
        <f>YEAR(Tabela11[[#This Row],[Data]])</f>
        <v>2025</v>
      </c>
      <c r="AA166" s="35">
        <f>Tabela11[[#This Row],[Capital investido]]-A165</f>
        <v>5.6877354062780796</v>
      </c>
    </row>
    <row r="167" spans="1:27" hidden="1" x14ac:dyDescent="0.25">
      <c r="A167" s="42">
        <v>1263.73991098788</v>
      </c>
      <c r="B167" s="43">
        <v>422.76191098787922</v>
      </c>
      <c r="C167" s="43">
        <v>-840.97800000000052</v>
      </c>
      <c r="D167" s="43">
        <v>361.17327678614703</v>
      </c>
      <c r="E167" s="43"/>
      <c r="F167" s="43">
        <v>296.74</v>
      </c>
      <c r="G167" s="43">
        <v>208.07</v>
      </c>
      <c r="H167" s="43">
        <v>400.82991098787988</v>
      </c>
      <c r="I167" s="43"/>
      <c r="J167" s="43">
        <v>202.27</v>
      </c>
      <c r="K167" s="43">
        <v>270.91803752111679</v>
      </c>
      <c r="L167" s="43">
        <v>215.68</v>
      </c>
      <c r="M167" s="43"/>
      <c r="N167" s="43"/>
      <c r="O167" s="43">
        <v>9.5180672400000006</v>
      </c>
      <c r="P167" s="43"/>
      <c r="Q167" s="43">
        <v>40.159999999999997</v>
      </c>
      <c r="R167" s="43">
        <v>43.67</v>
      </c>
      <c r="S167" s="43">
        <v>106.27</v>
      </c>
      <c r="T167" s="37">
        <v>5.2845238873484912E-2</v>
      </c>
      <c r="U167" s="17">
        <v>46005</v>
      </c>
      <c r="V167" s="5" t="s">
        <v>290</v>
      </c>
      <c r="W167" s="45">
        <f>IFERROR(Tabela11[[#This Row],[Lucro]]*1/Tabela11[[#This Row],[Capital total]],"")</f>
        <v>-1.9892473237119788</v>
      </c>
      <c r="X167" s="39">
        <f>Tabela11[[#This Row],[Lucro]]-C166</f>
        <v>0.24000000000000909</v>
      </c>
      <c r="Y167" s="28" t="str">
        <f>PROPER(TEXT(DATE(2024,MONTH(Tabela11[[#This Row],[Data]]),1),"mmmm"))</f>
        <v>Dezembro</v>
      </c>
      <c r="Z167" s="28">
        <f>YEAR(Tabela11[[#This Row],[Data]])</f>
        <v>2025</v>
      </c>
      <c r="AA167" s="35">
        <f>Tabela11[[#This Row],[Capital investido]]-A166</f>
        <v>11.443883076120983</v>
      </c>
    </row>
    <row r="168" spans="1:27" hidden="1" x14ac:dyDescent="0.25">
      <c r="A168" s="42">
        <v>1269.4962413945609</v>
      </c>
      <c r="B168" s="43">
        <v>428.51824139456079</v>
      </c>
      <c r="C168" s="43">
        <v>-840.97800000000029</v>
      </c>
      <c r="D168" s="43"/>
      <c r="E168" s="43"/>
      <c r="F168" s="43"/>
      <c r="G168" s="43"/>
      <c r="H168" s="43">
        <v>406.58624139456123</v>
      </c>
      <c r="I168" s="43"/>
      <c r="J168" s="43">
        <v>203.6</v>
      </c>
      <c r="K168" s="43">
        <v>270.70304701409628</v>
      </c>
      <c r="L168" s="43">
        <v>215.71</v>
      </c>
      <c r="M168" s="43">
        <v>12</v>
      </c>
      <c r="N168" s="43">
        <v>34.75</v>
      </c>
      <c r="O168" s="43">
        <v>9.1592563699999996</v>
      </c>
      <c r="P168" s="43">
        <v>102</v>
      </c>
      <c r="Q168" s="43">
        <v>40.299999999999997</v>
      </c>
      <c r="R168" s="43">
        <v>43.67</v>
      </c>
      <c r="S168" s="43">
        <v>106.27</v>
      </c>
      <c r="T168" s="37">
        <v>5.3564780174320099E-2</v>
      </c>
      <c r="U168" s="17">
        <v>46006</v>
      </c>
      <c r="V168" s="5" t="s">
        <v>291</v>
      </c>
      <c r="W168" s="45">
        <f>IFERROR(Tabela11[[#This Row],[Lucro]]*1/Tabela11[[#This Row],[Capital total]],"")</f>
        <v>-1.9625255561190094</v>
      </c>
      <c r="X168" s="39">
        <f>Tabela11[[#This Row],[Lucro]]-C167</f>
        <v>0</v>
      </c>
      <c r="Y168" s="28" t="str">
        <f>PROPER(TEXT(DATE(2024,MONTH(Tabela11[[#This Row],[Data]]),1),"mmmm"))</f>
        <v>Dezembro</v>
      </c>
      <c r="Z168" s="28">
        <f>YEAR(Tabela11[[#This Row],[Data]])</f>
        <v>2025</v>
      </c>
      <c r="AA168" s="35">
        <f>Tabela11[[#This Row],[Capital investido]]-A167</f>
        <v>5.7563304066809451</v>
      </c>
    </row>
    <row r="169" spans="1:27" hidden="1" x14ac:dyDescent="0.25">
      <c r="A169" s="42">
        <v>1723.9582993642141</v>
      </c>
      <c r="B169" s="43">
        <v>882.98029936421381</v>
      </c>
      <c r="C169" s="43">
        <v>-840.97800000000029</v>
      </c>
      <c r="D169" s="43"/>
      <c r="E169" s="43"/>
      <c r="F169" s="43"/>
      <c r="G169" s="43"/>
      <c r="H169" s="43">
        <v>861.04829936421413</v>
      </c>
      <c r="I169" s="43"/>
      <c r="J169" s="43">
        <v>199.69</v>
      </c>
      <c r="K169" s="43">
        <v>275.4278383893124</v>
      </c>
      <c r="L169" s="43">
        <v>215.78</v>
      </c>
      <c r="M169" s="43"/>
      <c r="N169" s="43"/>
      <c r="O169" s="43">
        <v>9.4914069799999989</v>
      </c>
      <c r="P169" s="43" t="s">
        <v>292</v>
      </c>
      <c r="Q169" s="43">
        <v>40.380000000000003</v>
      </c>
      <c r="R169" s="43">
        <v>43.67</v>
      </c>
      <c r="S169" s="43">
        <v>106.27</v>
      </c>
      <c r="T169" s="37">
        <v>0.1103725374205267</v>
      </c>
      <c r="U169" s="17">
        <v>46007</v>
      </c>
      <c r="V169" s="5" t="s">
        <v>293</v>
      </c>
      <c r="W169" s="45">
        <f>IFERROR(Tabela11[[#This Row],[Lucro]]*1/Tabela11[[#This Row],[Capital total]],"")</f>
        <v>-0.95243121574234768</v>
      </c>
      <c r="X169" s="39">
        <f>Tabela11[[#This Row],[Lucro]]-C168</f>
        <v>0</v>
      </c>
      <c r="Y169" s="28" t="str">
        <f>PROPER(TEXT(DATE(2024,MONTH(Tabela11[[#This Row],[Data]]),1),"mmmm"))</f>
        <v>Dezembro</v>
      </c>
      <c r="Z169" s="28">
        <f>YEAR(Tabela11[[#This Row],[Data]])</f>
        <v>2025</v>
      </c>
      <c r="AA169" s="35">
        <f>Tabela11[[#This Row],[Capital investido]]-A168</f>
        <v>454.46205796965319</v>
      </c>
    </row>
    <row r="170" spans="1:27" hidden="1" x14ac:dyDescent="0.25">
      <c r="A170" s="42">
        <v>1731.5573441979541</v>
      </c>
      <c r="B170" s="43">
        <v>890.99934419795363</v>
      </c>
      <c r="C170" s="43">
        <v>-840.55800000000045</v>
      </c>
      <c r="D170" s="43"/>
      <c r="E170" s="43"/>
      <c r="F170" s="43"/>
      <c r="G170" s="43"/>
      <c r="H170" s="43">
        <v>868.64734419795423</v>
      </c>
      <c r="I170" s="43"/>
      <c r="J170" s="43">
        <v>199.82</v>
      </c>
      <c r="K170" s="43">
        <v>276.40279533975382</v>
      </c>
      <c r="L170" s="43">
        <v>215.79</v>
      </c>
      <c r="M170" s="43">
        <v>9.6850975100000003</v>
      </c>
      <c r="N170" s="43">
        <v>40.33</v>
      </c>
      <c r="O170" s="43">
        <v>9.5456529299999993</v>
      </c>
      <c r="P170" s="43">
        <v>106.27</v>
      </c>
      <c r="Q170" s="43">
        <v>40.729999999999997</v>
      </c>
      <c r="R170" s="43">
        <v>43.67</v>
      </c>
      <c r="S170" s="43">
        <v>106.27</v>
      </c>
      <c r="T170" s="37">
        <v>0.1113749180247442</v>
      </c>
      <c r="U170" s="17">
        <v>46008</v>
      </c>
      <c r="V170" s="5" t="s">
        <v>294</v>
      </c>
      <c r="W170" s="45">
        <f>IFERROR(Tabela11[[#This Row],[Lucro]]*1/Tabela11[[#This Row],[Capital total]],"")</f>
        <v>-0.94338789974827786</v>
      </c>
      <c r="X170" s="39">
        <f>Tabela11[[#This Row],[Lucro]]-C169</f>
        <v>0.41999999999984539</v>
      </c>
      <c r="Y170" s="28" t="str">
        <f>PROPER(TEXT(DATE(2024,MONTH(Tabela11[[#This Row],[Data]]),1),"mmmm"))</f>
        <v>Dezembro</v>
      </c>
      <c r="Z170" s="28">
        <f>YEAR(Tabela11[[#This Row],[Data]])</f>
        <v>2025</v>
      </c>
      <c r="AA170" s="35">
        <f>Tabela11[[#This Row],[Capital investido]]-A169</f>
        <v>7.5990448337399812</v>
      </c>
    </row>
    <row r="171" spans="1:27" hidden="1" x14ac:dyDescent="0.25">
      <c r="A171" s="42">
        <v>1785.6094587725529</v>
      </c>
      <c r="B171" s="43">
        <v>947.99145877255205</v>
      </c>
      <c r="C171" s="43">
        <v>-837.61800000000085</v>
      </c>
      <c r="D171" s="43"/>
      <c r="E171" s="43"/>
      <c r="F171" s="43"/>
      <c r="G171" s="43"/>
      <c r="H171" s="43">
        <v>922.69945877255304</v>
      </c>
      <c r="I171" s="43"/>
      <c r="J171" s="43">
        <v>199.82</v>
      </c>
      <c r="K171" s="43">
        <v>276.40279533975382</v>
      </c>
      <c r="L171" s="43">
        <v>215.79</v>
      </c>
      <c r="M171" s="43">
        <v>9.6850975100000003</v>
      </c>
      <c r="N171" s="43">
        <v>40.33</v>
      </c>
      <c r="O171" s="43">
        <v>9.5456529299999993</v>
      </c>
      <c r="P171" s="43">
        <v>106.27</v>
      </c>
      <c r="Q171" s="43">
        <v>40.729999999999997</v>
      </c>
      <c r="R171" s="43">
        <v>43.67</v>
      </c>
      <c r="S171" s="43">
        <v>106.27</v>
      </c>
      <c r="T171" s="37">
        <v>0.118498932346569</v>
      </c>
      <c r="U171" s="17">
        <v>46022</v>
      </c>
      <c r="V171" s="5" t="s">
        <v>295</v>
      </c>
      <c r="W171" s="45">
        <f>IFERROR(Tabela11[[#This Row],[Lucro]]*1/Tabela11[[#This Row],[Capital total]],"")</f>
        <v>-0.88357125188083296</v>
      </c>
      <c r="X171" s="39">
        <f>Tabela11[[#This Row],[Lucro]]-C170</f>
        <v>2.9399999999995998</v>
      </c>
      <c r="Y171" s="28" t="str">
        <f>PROPER(TEXT(DATE(2024,MONTH(Tabela11[[#This Row],[Data]]),1),"mmmm"))</f>
        <v>Dezembro</v>
      </c>
      <c r="Z171" s="28">
        <f>YEAR(Tabela11[[#This Row],[Data]])</f>
        <v>2025</v>
      </c>
      <c r="AA171" s="35">
        <f>Tabela11[[#This Row],[Capital investido]]-A170</f>
        <v>54.052114574598818</v>
      </c>
    </row>
    <row r="172" spans="1:27" hidden="1" x14ac:dyDescent="0.25">
      <c r="A172" s="42">
        <v>1805.2831413157</v>
      </c>
      <c r="B172" s="43">
        <v>417.66514131569971</v>
      </c>
      <c r="C172" s="43">
        <v>-1387.6179999999999</v>
      </c>
      <c r="D172" s="43"/>
      <c r="E172" s="43"/>
      <c r="F172" s="43"/>
      <c r="G172" s="43"/>
      <c r="H172" s="43">
        <v>948.76314131569995</v>
      </c>
      <c r="I172" s="43"/>
      <c r="J172" s="43">
        <v>202.06</v>
      </c>
      <c r="K172" s="43">
        <v>273.83790859320789</v>
      </c>
      <c r="L172" s="43">
        <v>219.26</v>
      </c>
      <c r="M172" s="43">
        <v>9.6850975100000003</v>
      </c>
      <c r="N172" s="43">
        <v>40.33</v>
      </c>
      <c r="O172" s="43">
        <v>9.4402129800000001</v>
      </c>
      <c r="P172" s="43">
        <v>106.27</v>
      </c>
      <c r="Q172" s="43">
        <v>41.54</v>
      </c>
      <c r="R172" s="43">
        <v>43.67</v>
      </c>
      <c r="S172" s="43">
        <v>106.27</v>
      </c>
      <c r="T172" s="37">
        <v>5.2208142664462463E-2</v>
      </c>
      <c r="U172" s="17">
        <v>46022</v>
      </c>
      <c r="V172" s="5" t="s">
        <v>296</v>
      </c>
      <c r="W172" s="45">
        <f>IFERROR(Tabela11[[#This Row],[Lucro]]*1/Tabela11[[#This Row],[Capital total]],"")</f>
        <v>-3.3223217901997328</v>
      </c>
      <c r="X172" s="39">
        <f>Tabela11[[#This Row],[Lucro]]-C171</f>
        <v>-549.99999999999909</v>
      </c>
      <c r="Y172" s="28" t="str">
        <f>PROPER(TEXT(DATE(2024,MONTH(Tabela11[[#This Row],[Data]]),1),"mmmm"))</f>
        <v>Dezembro</v>
      </c>
      <c r="Z172" s="28">
        <f>YEAR(Tabela11[[#This Row],[Data]])</f>
        <v>2025</v>
      </c>
      <c r="AA172" s="35">
        <f>Tabela11[[#This Row],[Capital investido]]-A171</f>
        <v>19.673682543147152</v>
      </c>
    </row>
    <row r="173" spans="1:27" hidden="1" x14ac:dyDescent="0.25">
      <c r="A173" s="42">
        <v>1813.2097900048011</v>
      </c>
      <c r="B173" s="43">
        <v>425.59179000480071</v>
      </c>
      <c r="C173" s="43">
        <v>-1387.6179999999999</v>
      </c>
      <c r="D173" s="43"/>
      <c r="E173" s="43"/>
      <c r="F173" s="43"/>
      <c r="G173" s="43"/>
      <c r="H173" s="43">
        <v>956.6897900048009</v>
      </c>
      <c r="I173" s="43"/>
      <c r="J173" s="43">
        <v>202.06</v>
      </c>
      <c r="K173" s="43">
        <v>273.83790859320789</v>
      </c>
      <c r="L173" s="43">
        <v>219.26</v>
      </c>
      <c r="M173" s="43"/>
      <c r="N173" s="43"/>
      <c r="O173" s="43">
        <v>9.4512393800000005</v>
      </c>
      <c r="P173" s="43"/>
      <c r="Q173" s="43">
        <v>41.54</v>
      </c>
      <c r="R173" s="43">
        <v>43.67</v>
      </c>
      <c r="S173" s="43">
        <v>106.27</v>
      </c>
      <c r="T173" s="37">
        <v>5.3198973750600093E-2</v>
      </c>
      <c r="U173" s="17">
        <v>46024</v>
      </c>
      <c r="V173" s="5" t="s">
        <v>297</v>
      </c>
      <c r="W173" s="45">
        <f>IFERROR(Tabela11[[#This Row],[Lucro]]*1/Tabela11[[#This Row],[Capital total]],"")</f>
        <v>-3.2604435343650486</v>
      </c>
      <c r="X173" s="39">
        <f>Tabela11[[#This Row],[Lucro]]-C172</f>
        <v>0</v>
      </c>
      <c r="Y173" s="28" t="str">
        <f>PROPER(TEXT(DATE(2024,MONTH(Tabela11[[#This Row],[Data]]),1),"mmmm"))</f>
        <v>Janeiro</v>
      </c>
      <c r="Z173" s="28">
        <f>YEAR(Tabela11[[#This Row],[Data]])</f>
        <v>2026</v>
      </c>
      <c r="AA173" s="35">
        <f>Tabela11[[#This Row],[Capital investido]]-A172</f>
        <v>7.9266486891010572</v>
      </c>
    </row>
    <row r="174" spans="1:27" hidden="1" x14ac:dyDescent="0.25">
      <c r="A174" s="42">
        <v>1831.202334399944</v>
      </c>
      <c r="B174" s="43">
        <v>3442.146728224945</v>
      </c>
      <c r="C174" s="43">
        <v>296.59239382500027</v>
      </c>
      <c r="D174" s="43"/>
      <c r="E174" s="43"/>
      <c r="F174" s="43">
        <v>669.65433439994467</v>
      </c>
      <c r="G174" s="43"/>
      <c r="H174" s="43">
        <v>972.66233439994448</v>
      </c>
      <c r="I174" s="43">
        <v>2.02</v>
      </c>
      <c r="J174" s="43">
        <v>205.92</v>
      </c>
      <c r="K174" s="43">
        <v>269.3781055173427</v>
      </c>
      <c r="L174" s="43"/>
      <c r="M174" s="43"/>
      <c r="N174" s="43">
        <v>216.37</v>
      </c>
      <c r="O174" s="43"/>
      <c r="P174" s="43">
        <v>9.6787573299999998</v>
      </c>
      <c r="Q174" s="43">
        <v>40.78</v>
      </c>
      <c r="R174" s="43">
        <v>43.67</v>
      </c>
      <c r="S174" s="43"/>
      <c r="T174" s="37">
        <v>0.43026834102811812</v>
      </c>
      <c r="U174" s="17">
        <v>46030</v>
      </c>
      <c r="V174" s="5" t="s">
        <v>298</v>
      </c>
      <c r="W174" s="45">
        <f>IFERROR(Tabela11[[#This Row],[Lucro]]*1/Tabela11[[#This Row],[Capital total]],"")</f>
        <v>8.6164947993936272E-2</v>
      </c>
      <c r="X174" s="39">
        <f>Tabela11[[#This Row],[Lucro]]-C173</f>
        <v>1684.2103938250002</v>
      </c>
      <c r="Y174" s="28" t="str">
        <f>PROPER(TEXT(DATE(2024,MONTH(Tabela11[[#This Row],[Data]]),1),"mmmm"))</f>
        <v>Janeiro</v>
      </c>
      <c r="Z174" s="28">
        <f>YEAR(Tabela11[[#This Row],[Data]])</f>
        <v>2026</v>
      </c>
      <c r="AA174" s="35">
        <f>Tabela11[[#This Row],[Capital investido]]-A173</f>
        <v>17.992544395142886</v>
      </c>
    </row>
    <row r="175" spans="1:27" hidden="1" x14ac:dyDescent="0.25">
      <c r="A175" s="42">
        <v>1831.202334399944</v>
      </c>
      <c r="B175" s="43">
        <v>3442.146728224945</v>
      </c>
      <c r="C175" s="43">
        <v>296.59239382500027</v>
      </c>
      <c r="D175" s="43"/>
      <c r="E175" s="43"/>
      <c r="F175" s="43">
        <v>669.65433439994467</v>
      </c>
      <c r="G175" s="43">
        <v>361.17327678614703</v>
      </c>
      <c r="H175" s="43">
        <v>972.66233439994448</v>
      </c>
      <c r="I175" s="43">
        <v>2.02</v>
      </c>
      <c r="J175" s="43">
        <v>205.92</v>
      </c>
      <c r="K175" s="43">
        <v>269.3781055173427</v>
      </c>
      <c r="L175" s="43"/>
      <c r="M175" s="43">
        <v>40.33</v>
      </c>
      <c r="N175" s="43">
        <v>216.37</v>
      </c>
      <c r="O175" s="43">
        <v>106.27</v>
      </c>
      <c r="P175" s="43">
        <v>9.6792495800000005</v>
      </c>
      <c r="Q175" s="43">
        <v>40.78</v>
      </c>
      <c r="R175" s="43">
        <v>43.67</v>
      </c>
      <c r="S175" s="43">
        <v>106.27</v>
      </c>
      <c r="T175" s="37">
        <v>0.43026834102811812</v>
      </c>
      <c r="U175" s="17">
        <v>46030</v>
      </c>
      <c r="V175" s="5" t="s">
        <v>299</v>
      </c>
      <c r="W175" s="45">
        <f>IFERROR(Tabela11[[#This Row],[Lucro]]*1/Tabela11[[#This Row],[Capital total]],"")</f>
        <v>8.6164947993936272E-2</v>
      </c>
      <c r="X175" s="39">
        <f>Tabela11[[#This Row],[Lucro]]-C174</f>
        <v>0</v>
      </c>
      <c r="Y175" s="28" t="str">
        <f>PROPER(TEXT(DATE(2024,MONTH(Tabela11[[#This Row],[Data]]),1),"mmmm"))</f>
        <v>Janeiro</v>
      </c>
      <c r="Z175" s="28">
        <f>YEAR(Tabela11[[#This Row],[Data]])</f>
        <v>2026</v>
      </c>
      <c r="AA175" s="35">
        <f>Tabela11[[#This Row],[Capital investido]]-A174</f>
        <v>0</v>
      </c>
    </row>
    <row r="176" spans="1:27" hidden="1" x14ac:dyDescent="0.25">
      <c r="A176" s="42">
        <v>1839.3329608078359</v>
      </c>
      <c r="B176" s="43">
        <v>3450.2773546328358</v>
      </c>
      <c r="C176" s="43">
        <v>296.59239382500027</v>
      </c>
      <c r="D176" s="43"/>
      <c r="E176" s="43"/>
      <c r="F176" s="43">
        <v>677.78496080783589</v>
      </c>
      <c r="G176" s="43">
        <v>361.17327678614703</v>
      </c>
      <c r="H176" s="43">
        <v>972.66233439994448</v>
      </c>
      <c r="I176" s="43">
        <v>10.15062640789141</v>
      </c>
      <c r="J176" s="43">
        <v>205.4</v>
      </c>
      <c r="K176" s="43">
        <v>268.5281430477271</v>
      </c>
      <c r="L176" s="43"/>
      <c r="M176" s="43">
        <v>40.33</v>
      </c>
      <c r="N176" s="43">
        <v>217.12</v>
      </c>
      <c r="O176" s="43">
        <v>106.27</v>
      </c>
      <c r="P176" s="43">
        <v>9.5830442399999995</v>
      </c>
      <c r="Q176" s="43">
        <v>41.13</v>
      </c>
      <c r="R176" s="43">
        <v>43.67</v>
      </c>
      <c r="S176" s="43">
        <v>106.27</v>
      </c>
      <c r="T176" s="37">
        <v>0.43128466932910448</v>
      </c>
      <c r="U176" s="17">
        <v>46031</v>
      </c>
      <c r="V176" s="5" t="s">
        <v>300</v>
      </c>
      <c r="W176" s="45">
        <f>IFERROR(Tabela11[[#This Row],[Lucro]]*1/Tabela11[[#This Row],[Capital total]],"")</f>
        <v>8.5961899099721045E-2</v>
      </c>
      <c r="X176" s="39">
        <f>Tabela11[[#This Row],[Lucro]]-C175</f>
        <v>0</v>
      </c>
      <c r="Y176" s="28" t="str">
        <f>PROPER(TEXT(DATE(2024,MONTH(Tabela11[[#This Row],[Data]]),1),"mmmm"))</f>
        <v>Janeiro</v>
      </c>
      <c r="Z176" s="28">
        <f>YEAR(Tabela11[[#This Row],[Data]])</f>
        <v>2026</v>
      </c>
      <c r="AA176" s="35">
        <f>Tabela11[[#This Row],[Capital investido]]-A175</f>
        <v>8.1306264078918957</v>
      </c>
    </row>
    <row r="177" spans="1:27" x14ac:dyDescent="0.25">
      <c r="A177" s="42">
        <v>1863.335072117836</v>
      </c>
      <c r="B177" s="43">
        <v>3474.2794659428359</v>
      </c>
      <c r="C177" s="43">
        <v>296.59239382500027</v>
      </c>
      <c r="D177" s="43"/>
      <c r="E177" s="43"/>
      <c r="F177" s="43">
        <v>701.78707211783603</v>
      </c>
      <c r="G177" s="43">
        <v>361.17327678614703</v>
      </c>
      <c r="H177" s="43">
        <v>972.66233439994448</v>
      </c>
      <c r="I177" s="43">
        <v>10.15062640789141</v>
      </c>
      <c r="J177" s="43">
        <v>205.4</v>
      </c>
      <c r="K177" s="43">
        <v>268.5281430477271</v>
      </c>
      <c r="L177" s="43">
        <v>9.6850975100000003</v>
      </c>
      <c r="M177" s="43">
        <v>40.33</v>
      </c>
      <c r="N177" s="43">
        <v>217.12</v>
      </c>
      <c r="O177" s="43">
        <v>106.27</v>
      </c>
      <c r="P177" s="43">
        <v>33.369721239999997</v>
      </c>
      <c r="Q177" s="43">
        <v>41.13</v>
      </c>
      <c r="R177" s="43">
        <v>43.67</v>
      </c>
      <c r="S177" s="43">
        <v>106.27</v>
      </c>
      <c r="T177" s="37">
        <v>0.4342849332428545</v>
      </c>
      <c r="U177" s="17" t="s">
        <v>47</v>
      </c>
      <c r="V177" s="5" t="s">
        <v>301</v>
      </c>
      <c r="W177" s="45">
        <f>IFERROR(Tabela11[[#This Row],[Lucro]]*1/Tabela11[[#This Row],[Capital total]],"")</f>
        <v>8.5368030042601142E-2</v>
      </c>
      <c r="X177" s="39">
        <f>Tabela11[[#This Row],[Lucro]]-C176</f>
        <v>0</v>
      </c>
      <c r="Y177" s="28" t="str">
        <f>PROPER(TEXT(DATE(2024,MONTH(Tabela11[[#This Row],[Data]]),1),"mmmm"))</f>
        <v>Janeiro</v>
      </c>
      <c r="Z177" s="28">
        <f>YEAR(Tabela11[[#This Row],[Data]])</f>
        <v>2026</v>
      </c>
      <c r="AA177" s="35">
        <f>Tabela11[[#This Row],[Capital investido]]-A176</f>
        <v>24.002111310000146</v>
      </c>
    </row>
    <row r="178" spans="1:27" x14ac:dyDescent="0.25">
      <c r="A178" s="42">
        <v>1867.4309386912901</v>
      </c>
      <c r="B178" s="43">
        <v>3478.785332516291</v>
      </c>
      <c r="C178" s="43">
        <v>296.59239382500027</v>
      </c>
      <c r="D178" s="43"/>
      <c r="E178" s="43"/>
      <c r="F178" s="43">
        <v>706.29293869129015</v>
      </c>
      <c r="G178" s="43">
        <v>361.17327678614703</v>
      </c>
      <c r="H178" s="43">
        <v>972.66233439994448</v>
      </c>
      <c r="I178" s="43">
        <v>14.246492981345909</v>
      </c>
      <c r="J178" s="43">
        <v>205.4</v>
      </c>
      <c r="K178" s="43">
        <v>268.5281430477271</v>
      </c>
      <c r="L178" s="43">
        <v>9.6850975100000003</v>
      </c>
      <c r="M178" s="43">
        <v>40.33</v>
      </c>
      <c r="N178" s="43">
        <v>217.12</v>
      </c>
      <c r="O178" s="43">
        <v>106.27</v>
      </c>
      <c r="P178" s="43">
        <v>33.833725520000002</v>
      </c>
      <c r="Q178" s="43">
        <v>41.13</v>
      </c>
      <c r="R178" s="43">
        <v>43.67</v>
      </c>
      <c r="S178" s="43">
        <v>106.27</v>
      </c>
      <c r="T178" s="37">
        <v>0.4348481665645364</v>
      </c>
      <c r="U178" s="17" t="s">
        <v>48</v>
      </c>
      <c r="V178" s="5" t="s">
        <v>302</v>
      </c>
      <c r="W178" s="45">
        <f>IFERROR(Tabela11[[#This Row],[Lucro]]*1/Tabela11[[#This Row],[Capital total]],"")</f>
        <v>8.5257457841029727E-2</v>
      </c>
      <c r="X178" s="39">
        <f>Tabela11[[#This Row],[Lucro]]-C177</f>
        <v>0</v>
      </c>
      <c r="Y178" s="28" t="str">
        <f>PROPER(TEXT(DATE(2024,MONTH(Tabela11[[#This Row],[Data]]),1),"mmmm"))</f>
        <v>Janeiro</v>
      </c>
      <c r="Z178" s="28">
        <f>YEAR(Tabela11[[#This Row],[Data]])</f>
        <v>2026</v>
      </c>
      <c r="AA178" s="35">
        <f>Tabela11[[#This Row],[Capital investido]]-A177</f>
        <v>4.0958665734540318</v>
      </c>
    </row>
    <row r="179" spans="1:27" x14ac:dyDescent="0.25">
      <c r="A179" s="42">
        <v>1867.4309386912901</v>
      </c>
      <c r="B179" s="43">
        <v>3415.2553325162912</v>
      </c>
      <c r="C179" s="43">
        <v>296.59239382500027</v>
      </c>
      <c r="D179" s="43"/>
      <c r="E179" s="43"/>
      <c r="F179" s="43">
        <v>642.7629386912904</v>
      </c>
      <c r="G179" s="43">
        <v>361.17327678614703</v>
      </c>
      <c r="H179" s="43">
        <v>972.66233439994448</v>
      </c>
      <c r="I179" s="43">
        <v>14.246492981345909</v>
      </c>
      <c r="J179" s="43">
        <v>205.15</v>
      </c>
      <c r="K179" s="43">
        <v>268.74813333398049</v>
      </c>
      <c r="L179" s="43"/>
      <c r="M179" s="43"/>
      <c r="N179" s="43">
        <v>216.94</v>
      </c>
      <c r="O179" s="43">
        <v>40.33</v>
      </c>
      <c r="P179" s="43">
        <v>33.667431000000001</v>
      </c>
      <c r="Q179" s="43">
        <v>41.24</v>
      </c>
      <c r="R179" s="43">
        <v>43.67</v>
      </c>
      <c r="S179" s="43">
        <v>106.27</v>
      </c>
      <c r="T179" s="37">
        <v>0.42690691656453639</v>
      </c>
      <c r="U179" s="17" t="s">
        <v>49</v>
      </c>
      <c r="V179" s="5" t="s">
        <v>303</v>
      </c>
      <c r="W179" s="45">
        <f>IFERROR(Tabela11[[#This Row],[Lucro]]*1/Tabela11[[#This Row],[Capital total]],"")</f>
        <v>8.6843402600436603E-2</v>
      </c>
      <c r="X179" s="39">
        <f>Tabela11[[#This Row],[Lucro]]-C178</f>
        <v>0</v>
      </c>
      <c r="Y179" s="28" t="str">
        <f>PROPER(TEXT(DATE(2024,MONTH(Tabela11[[#This Row],[Data]]),1),"mmmm"))</f>
        <v>Janeiro</v>
      </c>
      <c r="Z179" s="28">
        <f>YEAR(Tabela11[[#This Row],[Data]])</f>
        <v>2026</v>
      </c>
      <c r="AA179" s="35">
        <f>Tabela11[[#This Row],[Capital investido]]-A178</f>
        <v>0</v>
      </c>
    </row>
    <row r="180" spans="1:27" x14ac:dyDescent="0.25">
      <c r="A180" s="42">
        <v>1871.547310196778</v>
      </c>
      <c r="B180" s="43">
        <v>3419.3717040217789</v>
      </c>
      <c r="C180" s="43">
        <v>296.59239382500027</v>
      </c>
      <c r="D180" s="43"/>
      <c r="E180" s="43"/>
      <c r="F180" s="43">
        <v>646.87931019677853</v>
      </c>
      <c r="G180" s="43">
        <v>361.17327678614703</v>
      </c>
      <c r="H180" s="43">
        <v>972.66233439994448</v>
      </c>
      <c r="I180" s="43">
        <v>18.362864486833779</v>
      </c>
      <c r="J180" s="43">
        <v>206.51</v>
      </c>
      <c r="K180" s="43">
        <v>268.6031397362226</v>
      </c>
      <c r="L180" s="43"/>
      <c r="M180" s="43"/>
      <c r="N180" s="43">
        <v>216.86</v>
      </c>
      <c r="O180" s="43"/>
      <c r="P180" s="43">
        <v>35.058413940000001</v>
      </c>
      <c r="Q180" s="43">
        <v>41.13</v>
      </c>
      <c r="R180" s="43">
        <v>43.67</v>
      </c>
      <c r="S180" s="43">
        <v>106.27</v>
      </c>
      <c r="T180" s="37">
        <v>0.42742146300272238</v>
      </c>
      <c r="U180" s="17" t="s">
        <v>50</v>
      </c>
      <c r="V180" s="5" t="s">
        <v>304</v>
      </c>
      <c r="W180" s="45">
        <f>IFERROR(Tabela11[[#This Row],[Lucro]]*1/Tabela11[[#This Row],[Capital total]],"")</f>
        <v>8.6738857163775371E-2</v>
      </c>
      <c r="X180" s="39">
        <f>Tabela11[[#This Row],[Lucro]]-C179</f>
        <v>0</v>
      </c>
      <c r="Y180" s="28" t="str">
        <f>PROPER(TEXT(DATE(2024,MONTH(Tabela11[[#This Row],[Data]]),1),"mmmm"))</f>
        <v>Janeiro</v>
      </c>
      <c r="Z180" s="28">
        <f>YEAR(Tabela11[[#This Row],[Data]])</f>
        <v>2026</v>
      </c>
      <c r="AA180" s="35">
        <f>Tabela11[[#This Row],[Capital investido]]-A179</f>
        <v>4.1163715054879049</v>
      </c>
    </row>
    <row r="181" spans="1:27" x14ac:dyDescent="0.25">
      <c r="A181" s="42">
        <v>1875.684289287115</v>
      </c>
      <c r="B181" s="43">
        <v>3423.5086831121162</v>
      </c>
      <c r="C181" s="43">
        <v>296.59239382500027</v>
      </c>
      <c r="D181" s="43"/>
      <c r="E181" s="43"/>
      <c r="F181" s="43">
        <v>651.0162892871158</v>
      </c>
      <c r="G181" s="43"/>
      <c r="H181" s="43">
        <v>972.66233439994448</v>
      </c>
      <c r="I181" s="43">
        <v>22.499843577170989</v>
      </c>
      <c r="J181" s="43">
        <v>214.09</v>
      </c>
      <c r="K181" s="43">
        <v>268.40814834613428</v>
      </c>
      <c r="L181" s="43"/>
      <c r="M181" s="43"/>
      <c r="N181" s="43">
        <v>217.57000000000011</v>
      </c>
      <c r="O181" s="43"/>
      <c r="P181" s="43">
        <v>34.992431680000003</v>
      </c>
      <c r="Q181" s="43">
        <v>41.27</v>
      </c>
      <c r="R181" s="43">
        <v>43.67</v>
      </c>
      <c r="S181" s="43">
        <v>106.27</v>
      </c>
      <c r="T181" s="37">
        <v>0.42793858538901453</v>
      </c>
      <c r="U181" s="17" t="s">
        <v>51</v>
      </c>
      <c r="V181" s="5" t="s">
        <v>305</v>
      </c>
      <c r="W181" s="45">
        <f>IFERROR(Tabela11[[#This Row],[Lucro]]*1/Tabela11[[#This Row],[Capital total]],"")</f>
        <v>8.663404164507188E-2</v>
      </c>
      <c r="X181" s="39">
        <f>Tabela11[[#This Row],[Lucro]]-C180</f>
        <v>0</v>
      </c>
      <c r="Y181" s="28" t="str">
        <f>PROPER(TEXT(DATE(2024,MONTH(Tabela11[[#This Row],[Data]]),1),"mmmm"))</f>
        <v>Janeiro</v>
      </c>
      <c r="Z181" s="28">
        <f>YEAR(Tabela11[[#This Row],[Data]])</f>
        <v>2026</v>
      </c>
      <c r="AA181" s="35">
        <f>Tabela11[[#This Row],[Capital investido]]-A180</f>
        <v>4.1369790903370358</v>
      </c>
    </row>
    <row r="182" spans="1:27" x14ac:dyDescent="0.25">
      <c r="A182" s="42">
        <v>1877.7605388960581</v>
      </c>
      <c r="B182" s="43">
        <v>3425.6149327210592</v>
      </c>
      <c r="C182" s="43">
        <v>296.59239382500027</v>
      </c>
      <c r="D182" s="43"/>
      <c r="E182" s="43"/>
      <c r="F182" s="43">
        <v>653.12253889605836</v>
      </c>
      <c r="G182" s="43"/>
      <c r="H182" s="43">
        <v>972.66233439994448</v>
      </c>
      <c r="I182" s="43">
        <v>24.576093186113908</v>
      </c>
      <c r="J182" s="43">
        <v>214.93</v>
      </c>
      <c r="K182" s="43">
        <v>268.4581461384646</v>
      </c>
      <c r="L182" s="43"/>
      <c r="M182" s="43"/>
      <c r="N182" s="43">
        <v>217.23</v>
      </c>
      <c r="O182" s="43"/>
      <c r="P182" s="43">
        <v>35.064387359999998</v>
      </c>
      <c r="Q182" s="43">
        <v>41.22</v>
      </c>
      <c r="R182" s="43">
        <v>43.67</v>
      </c>
      <c r="S182" s="43">
        <v>106.27</v>
      </c>
      <c r="T182" s="37">
        <v>0.42820186659013237</v>
      </c>
      <c r="U182" s="17" t="s">
        <v>52</v>
      </c>
      <c r="V182" s="5" t="s">
        <v>306</v>
      </c>
      <c r="W182" s="45">
        <f>IFERROR(Tabela11[[#This Row],[Lucro]]*1/Tabela11[[#This Row],[Capital total]],"")</f>
        <v>8.6580774444899117E-2</v>
      </c>
      <c r="X182" s="39">
        <f>Tabela11[[#This Row],[Lucro]]-C181</f>
        <v>0</v>
      </c>
      <c r="Y182" s="28" t="str">
        <f>PROPER(TEXT(DATE(2024,MONTH(Tabela11[[#This Row],[Data]]),1),"mmmm"))</f>
        <v>Janeiro</v>
      </c>
      <c r="Z182" s="28">
        <f>YEAR(Tabela11[[#This Row],[Data]])</f>
        <v>2026</v>
      </c>
      <c r="AA182" s="35">
        <f>Tabela11[[#This Row],[Capital investido]]-A181</f>
        <v>2.0762496089430442</v>
      </c>
    </row>
    <row r="183" spans="1:27" x14ac:dyDescent="0.25">
      <c r="A183" s="42">
        <v>1879.841979129023</v>
      </c>
      <c r="B183" s="43">
        <v>4295.1377296890232</v>
      </c>
      <c r="C183" s="43">
        <v>967.4437505599999</v>
      </c>
      <c r="D183" s="43"/>
      <c r="E183" s="43"/>
      <c r="F183" s="43">
        <v>555.20397912902354</v>
      </c>
      <c r="G183" s="43"/>
      <c r="H183" s="43">
        <v>972.66233439994448</v>
      </c>
      <c r="I183" s="43">
        <v>26.657533419079201</v>
      </c>
      <c r="J183" s="43">
        <v>214.93</v>
      </c>
      <c r="K183" s="43">
        <v>268.4581461384646</v>
      </c>
      <c r="L183" s="43"/>
      <c r="M183" s="43"/>
      <c r="N183" s="43">
        <v>217.23</v>
      </c>
      <c r="O183" s="43"/>
      <c r="P183" s="43">
        <v>35.073313159999998</v>
      </c>
      <c r="Q183" s="43">
        <v>41.22</v>
      </c>
      <c r="R183" s="43">
        <v>43.67</v>
      </c>
      <c r="S183" s="43">
        <v>106.27</v>
      </c>
      <c r="T183" s="37">
        <v>0.53689221621112793</v>
      </c>
      <c r="U183" s="17">
        <v>46040</v>
      </c>
      <c r="V183" s="5" t="s">
        <v>307</v>
      </c>
      <c r="W183" s="45">
        <f>IFERROR(Tabela11[[#This Row],[Lucro]]*1/Tabela11[[#This Row],[Capital total]],"")</f>
        <v>0.2252416130623231</v>
      </c>
      <c r="X183" s="39">
        <f>Tabela11[[#This Row],[Lucro]]-C182</f>
        <v>670.85135673499963</v>
      </c>
      <c r="Y183" s="28" t="str">
        <f>PROPER(TEXT(DATE(2024,MONTH(Tabela11[[#This Row],[Data]]),1),"mmmm"))</f>
        <v>Janeiro</v>
      </c>
      <c r="Z183" s="28">
        <f>YEAR(Tabela11[[#This Row],[Data]])</f>
        <v>2026</v>
      </c>
      <c r="AA183" s="35">
        <f>Tabela11[[#This Row],[Capital investido]]-A182</f>
        <v>2.0814402329649511</v>
      </c>
    </row>
    <row r="184" spans="1:27" x14ac:dyDescent="0.25">
      <c r="A184" s="42">
        <v>1879.841979129023</v>
      </c>
      <c r="B184" s="43">
        <v>4295.1377296890232</v>
      </c>
      <c r="C184" s="43">
        <v>967.4437505599999</v>
      </c>
      <c r="D184" s="43"/>
      <c r="E184" s="43"/>
      <c r="F184" s="43">
        <v>555.20397912902354</v>
      </c>
      <c r="G184" s="43"/>
      <c r="H184" s="43">
        <v>972.66233439994448</v>
      </c>
      <c r="I184" s="43">
        <v>26.657533419079201</v>
      </c>
      <c r="J184" s="43">
        <v>214.93</v>
      </c>
      <c r="K184" s="43">
        <v>268.41314812536729</v>
      </c>
      <c r="L184" s="43"/>
      <c r="M184" s="43"/>
      <c r="N184" s="43">
        <v>217.23</v>
      </c>
      <c r="O184" s="43"/>
      <c r="P184" s="43">
        <v>35.098580040000002</v>
      </c>
      <c r="Q184" s="43">
        <v>41.22</v>
      </c>
      <c r="R184" s="43">
        <v>43.67</v>
      </c>
      <c r="S184" s="43">
        <v>106.27</v>
      </c>
      <c r="T184" s="37">
        <v>0.53689221621112793</v>
      </c>
      <c r="U184" s="17" t="s">
        <v>53</v>
      </c>
      <c r="V184" s="5" t="s">
        <v>308</v>
      </c>
      <c r="W184" s="45">
        <f>IFERROR(Tabela11[[#This Row],[Lucro]]*1/Tabela11[[#This Row],[Capital total]],"")</f>
        <v>0.2252416130623231</v>
      </c>
      <c r="X184" s="39">
        <f>Tabela11[[#This Row],[Lucro]]-C183</f>
        <v>0</v>
      </c>
      <c r="Y184" s="28" t="str">
        <f>PROPER(TEXT(DATE(2024,MONTH(Tabela11[[#This Row],[Data]]),1),"mmmm"))</f>
        <v>Janeiro</v>
      </c>
      <c r="Z184" s="28">
        <f>YEAR(Tabela11[[#This Row],[Data]])</f>
        <v>2026</v>
      </c>
      <c r="AA184" s="35">
        <f>Tabela11[[#This Row],[Capital investido]]-A183</f>
        <v>0</v>
      </c>
    </row>
    <row r="185" spans="1:27" x14ac:dyDescent="0.25">
      <c r="A185" s="34">
        <v>1879.841979129023</v>
      </c>
      <c r="B185" s="35">
        <v>4295.1377296890232</v>
      </c>
      <c r="C185" s="35">
        <v>967.4437505599999</v>
      </c>
      <c r="D185" s="35"/>
      <c r="E185" s="35"/>
      <c r="F185" s="35">
        <v>555.20397912902354</v>
      </c>
      <c r="G185" s="35"/>
      <c r="H185" s="35">
        <v>972.66233439994448</v>
      </c>
      <c r="I185" s="43">
        <v>26.657533419079201</v>
      </c>
      <c r="J185" s="35">
        <v>214.93</v>
      </c>
      <c r="K185" s="35">
        <v>268.5281430477271</v>
      </c>
      <c r="L185" s="35"/>
      <c r="M185" s="35"/>
      <c r="N185" s="35">
        <v>217.23</v>
      </c>
      <c r="O185" s="35"/>
      <c r="P185" s="35">
        <v>34.330617940000003</v>
      </c>
      <c r="Q185" s="35">
        <v>41.22</v>
      </c>
      <c r="R185" s="35">
        <v>43.67</v>
      </c>
      <c r="S185" s="43">
        <v>106.27</v>
      </c>
      <c r="T185" s="37">
        <v>0.53689221621112793</v>
      </c>
      <c r="U185" s="18" t="s">
        <v>54</v>
      </c>
      <c r="V185" s="4" t="s">
        <v>309</v>
      </c>
      <c r="W185" s="38">
        <f>IFERROR(Tabela11[[#This Row],[Lucro]]*1/Tabela11[[#This Row],[Capital total]],"")</f>
        <v>0.2252416130623231</v>
      </c>
      <c r="X185" s="39">
        <f>Tabela11[[#This Row],[Lucro]]-C184</f>
        <v>0</v>
      </c>
      <c r="Y185" s="21" t="str">
        <f>PROPER(TEXT(DATE(2024,MONTH(Tabela11[[#This Row],[Data]]),1),"mmmm"))</f>
        <v>Janeiro</v>
      </c>
      <c r="Z185" s="21">
        <f>YEAR(Tabela11[[#This Row],[Data]])</f>
        <v>2026</v>
      </c>
      <c r="AA185" s="35">
        <f>Tabela11[[#This Row],[Capital investido]]-A184</f>
        <v>0</v>
      </c>
    </row>
    <row r="186" spans="1:27" x14ac:dyDescent="0.25">
      <c r="A186" s="42">
        <v>1896.681927477932</v>
      </c>
      <c r="B186" s="43">
        <v>4311.9776780379316</v>
      </c>
      <c r="C186" s="43">
        <v>967.4437505599999</v>
      </c>
      <c r="D186" s="43"/>
      <c r="E186" s="43"/>
      <c r="F186" s="43">
        <v>572.04392747793281</v>
      </c>
      <c r="G186" s="43"/>
      <c r="H186" s="43">
        <v>972.66233439994448</v>
      </c>
      <c r="I186" s="47">
        <v>43.497481767987807</v>
      </c>
      <c r="J186" s="43">
        <v>232.11</v>
      </c>
      <c r="K186" s="43">
        <v>264.03834129646361</v>
      </c>
      <c r="L186" s="43"/>
      <c r="M186" s="43"/>
      <c r="N186" s="43">
        <v>220.94</v>
      </c>
      <c r="O186" s="43"/>
      <c r="P186" s="43">
        <v>32.034284239999998</v>
      </c>
      <c r="Q186" s="43">
        <v>40.960000000000008</v>
      </c>
      <c r="R186" s="43">
        <v>43.67</v>
      </c>
      <c r="S186" s="47">
        <v>106.27</v>
      </c>
      <c r="T186" s="51">
        <v>0.53899720975474152</v>
      </c>
      <c r="U186" s="17" t="s">
        <v>55</v>
      </c>
      <c r="V186" s="5" t="s">
        <v>310</v>
      </c>
      <c r="W186" s="45">
        <f>IFERROR(Tabela11[[#This Row],[Lucro]]*1/Tabela11[[#This Row],[Capital total]],"")</f>
        <v>0.22436195704060635</v>
      </c>
      <c r="X186" s="39">
        <f>Tabela11[[#This Row],[Lucro]]-C185</f>
        <v>0</v>
      </c>
      <c r="Y186" s="28" t="str">
        <f>PROPER(TEXT(DATE(2024,MONTH(Tabela11[[#This Row],[Data]]),1),"mmmm"))</f>
        <v>Janeiro</v>
      </c>
      <c r="Z186" s="28">
        <f>YEAR(Tabela11[[#This Row],[Data]])</f>
        <v>2026</v>
      </c>
      <c r="AA186" s="35">
        <f>Tabela11[[#This Row],[Capital investido]]-A185</f>
        <v>16.839948348909047</v>
      </c>
    </row>
    <row r="187" spans="1:27" x14ac:dyDescent="0.25">
      <c r="A187" s="42">
        <v>1903.0841374736231</v>
      </c>
      <c r="B187" s="43">
        <v>12166.96746947362</v>
      </c>
      <c r="C187" s="43">
        <v>9516.0313320000005</v>
      </c>
      <c r="D187" s="43"/>
      <c r="E187" s="43"/>
      <c r="F187" s="43">
        <v>355.64196373896641</v>
      </c>
      <c r="G187" s="43"/>
      <c r="H187" s="43">
        <v>972.66233439994448</v>
      </c>
      <c r="I187" s="43">
        <v>49.899691763679023</v>
      </c>
      <c r="J187" s="43">
        <v>244.33</v>
      </c>
      <c r="K187" s="43">
        <v>261.97843225245413</v>
      </c>
      <c r="L187" s="43"/>
      <c r="M187" s="43"/>
      <c r="N187" s="43">
        <v>221.84</v>
      </c>
      <c r="O187" s="43"/>
      <c r="P187" s="43">
        <v>30.426884980000001</v>
      </c>
      <c r="Q187" s="43">
        <v>40.54</v>
      </c>
      <c r="R187" s="43">
        <v>43.67</v>
      </c>
      <c r="S187" s="43">
        <v>106.27</v>
      </c>
      <c r="T187" s="51">
        <v>1.520870933684203</v>
      </c>
      <c r="U187" s="17" t="s">
        <v>56</v>
      </c>
      <c r="V187" s="5" t="s">
        <v>311</v>
      </c>
      <c r="W187" s="45">
        <f>IFERROR(Tabela11[[#This Row],[Lucro]]*1/Tabela11[[#This Row],[Capital total]],"")</f>
        <v>0.78212022477049437</v>
      </c>
      <c r="X187" s="39">
        <f>Tabela11[[#This Row],[Lucro]]-C186</f>
        <v>8548.5875814400006</v>
      </c>
      <c r="Y187" s="28" t="str">
        <f>PROPER(TEXT(DATE(2024,MONTH(Tabela11[[#This Row],[Data]]),1),"mmmm"))</f>
        <v>Janeiro</v>
      </c>
      <c r="Z187" s="28">
        <f>YEAR(Tabela11[[#This Row],[Data]])</f>
        <v>2026</v>
      </c>
      <c r="AA187" s="35">
        <f>Tabela11[[#This Row],[Capital investido]]-A186</f>
        <v>6.4022099956910097</v>
      </c>
    </row>
    <row r="188" spans="1:27" hidden="1" x14ac:dyDescent="0.25">
      <c r="A188" s="42">
        <v>1905.228886703032</v>
      </c>
      <c r="B188" s="43">
        <v>12169.112218703031</v>
      </c>
      <c r="C188" s="43">
        <v>9516.0313320000023</v>
      </c>
      <c r="D188" s="43"/>
      <c r="E188" s="43"/>
      <c r="F188" s="43">
        <v>247.44340150215339</v>
      </c>
      <c r="G188" s="43"/>
      <c r="H188" s="43">
        <v>972.66233439994448</v>
      </c>
      <c r="I188" s="43">
        <v>52.044440993088223</v>
      </c>
      <c r="J188" s="43">
        <v>244.38</v>
      </c>
      <c r="K188" s="43">
        <v>261.54345145918018</v>
      </c>
      <c r="L188" s="43"/>
      <c r="M188" s="43"/>
      <c r="N188" s="43">
        <v>223.36</v>
      </c>
      <c r="O188" s="43"/>
      <c r="P188" s="43">
        <v>29.748730160000001</v>
      </c>
      <c r="Q188" s="43">
        <v>40.75</v>
      </c>
      <c r="R188" s="43">
        <v>43.67</v>
      </c>
      <c r="S188" s="43">
        <v>106.27</v>
      </c>
      <c r="T188" s="51">
        <v>1.5211390273378791</v>
      </c>
      <c r="U188" s="17">
        <v>46052</v>
      </c>
      <c r="V188" s="5" t="s">
        <v>312</v>
      </c>
      <c r="W188" s="45">
        <f>IFERROR(Tabela11[[#This Row],[Lucro]]*1/Tabela11[[#This Row],[Capital total]],"")</f>
        <v>0.78198237973141227</v>
      </c>
      <c r="X188" s="39">
        <f>Tabela11[[#This Row],[Lucro]]-C187</f>
        <v>0</v>
      </c>
      <c r="Y188" s="28" t="str">
        <f>PROPER(TEXT(DATE(2024,MONTH(Tabela11[[#This Row],[Data]]),1),"mmmm"))</f>
        <v>Janeiro</v>
      </c>
      <c r="Z188" s="28">
        <f>YEAR(Tabela11[[#This Row],[Data]])</f>
        <v>2026</v>
      </c>
      <c r="AA188" s="35">
        <f>Tabela11[[#This Row],[Capital investido]]-A187</f>
        <v>2.1447492294089443</v>
      </c>
    </row>
    <row r="189" spans="1:27" x14ac:dyDescent="0.25">
      <c r="A189" s="42">
        <v>1909.5184225707351</v>
      </c>
      <c r="B189" s="43">
        <v>13036.30853857074</v>
      </c>
      <c r="C189" s="43">
        <v>9628.9381160000012</v>
      </c>
      <c r="D189" s="43"/>
      <c r="E189" s="43"/>
      <c r="F189" s="43">
        <v>139.24</v>
      </c>
      <c r="G189" s="43"/>
      <c r="H189" s="43">
        <v>972.66233439994448</v>
      </c>
      <c r="I189" s="43">
        <v>56.333976860790251</v>
      </c>
      <c r="J189" s="43">
        <v>239.56</v>
      </c>
      <c r="K189" s="43">
        <v>262.8433940597688</v>
      </c>
      <c r="L189" s="43"/>
      <c r="M189" s="43"/>
      <c r="N189" s="43">
        <v>223.68999999999991</v>
      </c>
      <c r="O189" s="43"/>
      <c r="P189" s="43">
        <v>27.71179394</v>
      </c>
      <c r="Q189" s="43">
        <v>40.619999999999997</v>
      </c>
      <c r="R189" s="43">
        <v>43.67</v>
      </c>
      <c r="S189" s="43">
        <v>106.27</v>
      </c>
      <c r="T189" s="51">
        <v>1.6295385673213421</v>
      </c>
      <c r="U189" s="17" t="s">
        <v>313</v>
      </c>
      <c r="V189" s="5" t="s">
        <v>314</v>
      </c>
      <c r="W189" s="45">
        <f>IFERROR(Tabela11[[#This Row],[Lucro]]*1/Tabela11[[#This Row],[Capital total]],"")</f>
        <v>0.73862459510763367</v>
      </c>
      <c r="X189" s="39">
        <f>Tabela11[[#This Row],[Lucro]]-C188</f>
        <v>112.90678399999888</v>
      </c>
      <c r="Y189" s="28" t="str">
        <f>PROPER(TEXT(DATE(2024,MONTH(Tabela11[[#This Row],[Data]]),1),"mmmm"))</f>
        <v>Fevereiro</v>
      </c>
      <c r="Z189" s="28">
        <f>YEAR(Tabela11[[#This Row],[Data]])</f>
        <v>2026</v>
      </c>
      <c r="AA189" s="35">
        <f>Tabela11[[#This Row],[Capital investido]]-A188</f>
        <v>4.2895358677030799</v>
      </c>
    </row>
    <row r="190" spans="1:27" x14ac:dyDescent="0.25">
      <c r="A190" s="42">
        <v>1911.6728392653399</v>
      </c>
      <c r="B190" s="43">
        <v>12540.67295526534</v>
      </c>
      <c r="C190" s="43">
        <v>9628.9381160000012</v>
      </c>
      <c r="D190" s="43"/>
      <c r="E190" s="43">
        <v>48.658944950281509</v>
      </c>
      <c r="F190" s="43">
        <v>139.24483926534049</v>
      </c>
      <c r="G190" s="43"/>
      <c r="H190" s="43">
        <v>972.66233439994448</v>
      </c>
      <c r="I190" s="43">
        <v>58.488393555395817</v>
      </c>
      <c r="J190" s="43">
        <v>239.71</v>
      </c>
      <c r="K190" s="43">
        <v>263.03338567062411</v>
      </c>
      <c r="L190" s="43"/>
      <c r="M190" s="43"/>
      <c r="N190" s="43">
        <v>219.52</v>
      </c>
      <c r="O190" s="43"/>
      <c r="P190" s="43">
        <v>28.40931088</v>
      </c>
      <c r="Q190" s="43">
        <v>40.799999999999997</v>
      </c>
      <c r="R190" s="43">
        <v>43.67</v>
      </c>
      <c r="S190" s="43">
        <v>106.27</v>
      </c>
      <c r="T190" s="51">
        <v>1.5675841194081681</v>
      </c>
      <c r="U190" s="17" t="s">
        <v>315</v>
      </c>
      <c r="V190" s="5" t="s">
        <v>316</v>
      </c>
      <c r="W190" s="45">
        <f>IFERROR(Tabela11[[#This Row],[Lucro]]*1/Tabela11[[#This Row],[Capital total]],"")</f>
        <v>0.76781669933886487</v>
      </c>
      <c r="X190" s="39">
        <f>Tabela11[[#This Row],[Lucro]]-C189</f>
        <v>0</v>
      </c>
      <c r="Y190" s="28" t="str">
        <f>PROPER(TEXT(DATE(2024,MONTH(Tabela11[[#This Row],[Data]]),1),"mmmm"))</f>
        <v>Fevereiro</v>
      </c>
      <c r="Z190" s="28">
        <f>YEAR(Tabela11[[#This Row],[Data]])</f>
        <v>2026</v>
      </c>
      <c r="AA190" s="35">
        <f>Tabela11[[#This Row],[Capital investido]]-A189</f>
        <v>2.1544166946048335</v>
      </c>
    </row>
    <row r="191" spans="1:27" x14ac:dyDescent="0.25">
      <c r="A191" s="42">
        <v>1911.6728392653399</v>
      </c>
      <c r="B191" s="43">
        <v>12540.67295526534</v>
      </c>
      <c r="C191" s="43">
        <v>9628.9381160000012</v>
      </c>
      <c r="D191" s="43"/>
      <c r="E191" s="43">
        <v>48.658944950281509</v>
      </c>
      <c r="F191" s="43">
        <v>139.24483926534049</v>
      </c>
      <c r="G191" s="43"/>
      <c r="H191" s="43">
        <v>972.66233439994448</v>
      </c>
      <c r="I191" s="43">
        <v>58.488393555395817</v>
      </c>
      <c r="J191" s="43">
        <v>240.39</v>
      </c>
      <c r="K191" s="43">
        <v>263.00838677445881</v>
      </c>
      <c r="L191" s="43"/>
      <c r="M191" s="43"/>
      <c r="N191" s="43">
        <v>218.57</v>
      </c>
      <c r="O191" s="43"/>
      <c r="P191" s="43">
        <v>28.350606580000001</v>
      </c>
      <c r="Q191" s="43">
        <v>40.75</v>
      </c>
      <c r="R191" s="43">
        <v>43.67</v>
      </c>
      <c r="S191" s="43">
        <v>106.27</v>
      </c>
      <c r="T191" s="51">
        <v>1.5675841194081681</v>
      </c>
      <c r="U191" s="17" t="s">
        <v>315</v>
      </c>
      <c r="V191" s="5" t="s">
        <v>317</v>
      </c>
      <c r="W191" s="45">
        <f>IFERROR(Tabela11[[#This Row],[Lucro]]*1/Tabela11[[#This Row],[Capital total]],"")</f>
        <v>0.76781669933886487</v>
      </c>
      <c r="X191" s="39">
        <f>Tabela11[[#This Row],[Lucro]]-C190</f>
        <v>0</v>
      </c>
      <c r="Y191" s="28" t="str">
        <f>PROPER(TEXT(DATE(2024,MONTH(Tabela11[[#This Row],[Data]]),1),"mmmm"))</f>
        <v>Fevereiro</v>
      </c>
      <c r="Z191" s="28">
        <f>YEAR(Tabela11[[#This Row],[Data]])</f>
        <v>2026</v>
      </c>
      <c r="AA191" s="35">
        <f>Tabela11[[#This Row],[Capital investido]]-A190</f>
        <v>0</v>
      </c>
    </row>
    <row r="192" spans="1:27" x14ac:dyDescent="0.25">
      <c r="A192" s="42">
        <v>1913.831564793335</v>
      </c>
      <c r="B192" s="43">
        <v>12542.88168079334</v>
      </c>
      <c r="C192" s="43">
        <v>9628.9381160000012</v>
      </c>
      <c r="D192" s="43"/>
      <c r="E192" s="43">
        <v>48.658944950281509</v>
      </c>
      <c r="F192" s="43">
        <v>141.45356479333529</v>
      </c>
      <c r="G192" s="43"/>
      <c r="H192" s="43">
        <v>972.71233439994455</v>
      </c>
      <c r="I192" s="43">
        <v>60.647119083390614</v>
      </c>
      <c r="J192" s="43">
        <v>245.64</v>
      </c>
      <c r="K192" s="43">
        <v>261.92343468089069</v>
      </c>
      <c r="L192" s="43"/>
      <c r="M192" s="43"/>
      <c r="N192" s="43">
        <v>220.13</v>
      </c>
      <c r="O192" s="43"/>
      <c r="P192" s="43">
        <v>27.289260299999999</v>
      </c>
      <c r="Q192" s="43">
        <v>40.39</v>
      </c>
      <c r="R192" s="43">
        <v>43.67</v>
      </c>
      <c r="S192" s="43">
        <v>106.27</v>
      </c>
      <c r="T192" s="51">
        <v>1.567860210099167</v>
      </c>
      <c r="U192" s="17" t="s">
        <v>318</v>
      </c>
      <c r="V192" s="5" t="s">
        <v>319</v>
      </c>
      <c r="W192" s="45">
        <f>IFERROR(Tabela11[[#This Row],[Lucro]]*1/Tabela11[[#This Row],[Capital total]],"")</f>
        <v>0.76768149146655817</v>
      </c>
      <c r="X192" s="39">
        <f>Tabela11[[#This Row],[Lucro]]-C191</f>
        <v>0</v>
      </c>
      <c r="Y192" s="28" t="str">
        <f>PROPER(TEXT(DATE(2024,MONTH(Tabela11[[#This Row],[Data]]),1),"mmmm"))</f>
        <v>Fevereiro</v>
      </c>
      <c r="Z192" s="28">
        <f>YEAR(Tabela11[[#This Row],[Data]])</f>
        <v>2026</v>
      </c>
      <c r="AA192" s="35">
        <f>Tabela11[[#This Row],[Capital investido]]-A191</f>
        <v>2.1587255279951023</v>
      </c>
    </row>
    <row r="193" spans="1:27" x14ac:dyDescent="0.25">
      <c r="A193" s="34">
        <v>1913.831564793335</v>
      </c>
      <c r="B193" s="35">
        <v>12542.88168079334</v>
      </c>
      <c r="C193" s="35">
        <v>9628.9381160000012</v>
      </c>
      <c r="D193" s="35"/>
      <c r="E193" s="35">
        <v>48.008596181924638</v>
      </c>
      <c r="F193" s="35">
        <v>141.45356479333529</v>
      </c>
      <c r="G193" s="35"/>
      <c r="H193" s="35">
        <v>972.71233439994455</v>
      </c>
      <c r="I193" s="43">
        <v>60.647119083390614</v>
      </c>
      <c r="J193" s="35">
        <v>245.64</v>
      </c>
      <c r="K193" s="35">
        <v>261.92343468089069</v>
      </c>
      <c r="L193" s="35"/>
      <c r="M193" s="35"/>
      <c r="N193" s="35">
        <v>220.13</v>
      </c>
      <c r="O193" s="35"/>
      <c r="P193" s="35">
        <v>27.278755319999998</v>
      </c>
      <c r="Q193" s="35">
        <v>40.39</v>
      </c>
      <c r="R193" s="35">
        <v>43.67</v>
      </c>
      <c r="S193" s="43">
        <v>106.27</v>
      </c>
      <c r="T193" s="37">
        <v>1.567860210099167</v>
      </c>
      <c r="U193" s="18" t="s">
        <v>318</v>
      </c>
      <c r="V193" s="4" t="s">
        <v>320</v>
      </c>
      <c r="W193" s="38">
        <f>IFERROR(Tabela11[[#This Row],[Lucro]]*1/Tabela11[[#This Row],[Capital total]],"")</f>
        <v>0.76768149146655817</v>
      </c>
      <c r="X193" s="39">
        <f>Tabela11[[#This Row],[Lucro]]-C192</f>
        <v>0</v>
      </c>
      <c r="Y193" s="21" t="str">
        <f>PROPER(TEXT(DATE(2024,MONTH(Tabela11[[#This Row],[Data]]),1),"mmmm"))</f>
        <v>Fevereiro</v>
      </c>
      <c r="Z193" s="21">
        <f>YEAR(Tabela11[[#This Row],[Data]])</f>
        <v>2026</v>
      </c>
      <c r="AA193" s="35">
        <f>Tabela11[[#This Row],[Capital investido]]-A192</f>
        <v>0</v>
      </c>
    </row>
    <row r="194" spans="1:27" hidden="1" x14ac:dyDescent="0.25">
      <c r="A194" s="42">
        <v>1915.994607772386</v>
      </c>
      <c r="B194" s="43">
        <v>12545.044723772389</v>
      </c>
      <c r="C194" s="43">
        <v>9628.9381160000012</v>
      </c>
      <c r="D194" s="43"/>
      <c r="E194" s="43">
        <v>48.008596181924638</v>
      </c>
      <c r="F194" s="43">
        <v>143.61660777238649</v>
      </c>
      <c r="G194" s="43"/>
      <c r="H194" s="43">
        <v>972.71233439994455</v>
      </c>
      <c r="I194" s="47">
        <v>62.810162062441378</v>
      </c>
      <c r="J194" s="43">
        <v>243.18</v>
      </c>
      <c r="K194" s="43">
        <v>261.93843401858982</v>
      </c>
      <c r="L194" s="43"/>
      <c r="M194" s="43"/>
      <c r="N194" s="43">
        <v>220.12</v>
      </c>
      <c r="O194" s="43"/>
      <c r="P194" s="43">
        <v>26.300007019999999</v>
      </c>
      <c r="Q194" s="43">
        <v>40.31</v>
      </c>
      <c r="R194" s="43">
        <v>43.67</v>
      </c>
      <c r="S194" s="47">
        <v>106.27</v>
      </c>
      <c r="T194" s="51">
        <v>1.5681305904715479</v>
      </c>
      <c r="U194" s="17">
        <v>46057</v>
      </c>
      <c r="V194" s="5" t="s">
        <v>321</v>
      </c>
      <c r="W194" s="45">
        <f>IFERROR(Tabela11[[#This Row],[Lucro]]*1/Tabela11[[#This Row],[Capital total]],"")</f>
        <v>0.76754912621024973</v>
      </c>
      <c r="X194" s="39">
        <f>Tabela11[[#This Row],[Lucro]]-C193</f>
        <v>0</v>
      </c>
      <c r="Y194" s="28" t="str">
        <f>PROPER(TEXT(DATE(2024,MONTH(Tabela11[[#This Row],[Data]]),1),"mmmm"))</f>
        <v>Fevereiro</v>
      </c>
      <c r="Z194" s="28">
        <f>YEAR(Tabela11[[#This Row],[Data]])</f>
        <v>2026</v>
      </c>
      <c r="AA194" s="35">
        <f>Tabela11[[#This Row],[Capital investido]]-A193</f>
        <v>2.1630429790509424</v>
      </c>
    </row>
    <row r="195" spans="1:27" hidden="1" x14ac:dyDescent="0.25">
      <c r="A195" s="42">
        <v>1915.994607772386</v>
      </c>
      <c r="B195" s="43">
        <v>12545.044723772389</v>
      </c>
      <c r="C195" s="43">
        <v>9628.9381160000012</v>
      </c>
      <c r="D195" s="43"/>
      <c r="E195" s="43">
        <v>48.008596181924638</v>
      </c>
      <c r="F195" s="43">
        <v>143.61660777238649</v>
      </c>
      <c r="G195" s="43"/>
      <c r="H195" s="43">
        <v>972.71233439994455</v>
      </c>
      <c r="I195" s="43">
        <v>62.810162062441378</v>
      </c>
      <c r="J195" s="43">
        <v>243.18</v>
      </c>
      <c r="K195" s="43">
        <v>261.93843401858982</v>
      </c>
      <c r="L195" s="43"/>
      <c r="M195" s="43"/>
      <c r="N195" s="43">
        <v>220.12</v>
      </c>
      <c r="O195" s="43"/>
      <c r="P195" s="43">
        <v>26.300007019999999</v>
      </c>
      <c r="Q195" s="43">
        <v>40.31</v>
      </c>
      <c r="R195" s="43">
        <v>43.67</v>
      </c>
      <c r="S195" s="43">
        <v>106.27</v>
      </c>
      <c r="T195" s="51">
        <v>1.5681305904715479</v>
      </c>
      <c r="U195" s="17">
        <v>46057</v>
      </c>
      <c r="V195" s="5" t="s">
        <v>322</v>
      </c>
      <c r="W195" s="45">
        <f>IFERROR(Tabela11[[#This Row],[Lucro]]*1/Tabela11[[#This Row],[Capital total]],"")</f>
        <v>0.76754912621024973</v>
      </c>
      <c r="X195" s="39">
        <f>Tabela11[[#This Row],[Lucro]]-C194</f>
        <v>0</v>
      </c>
      <c r="Y195" s="28" t="str">
        <f>PROPER(TEXT(DATE(2024,MONTH(Tabela11[[#This Row],[Data]]),1),"mmmm"))</f>
        <v>Fevereiro</v>
      </c>
      <c r="Z195" s="28">
        <f>YEAR(Tabela11[[#This Row],[Data]])</f>
        <v>2026</v>
      </c>
      <c r="AA195" s="35">
        <f>Tabela11[[#This Row],[Capital investido]]-A194</f>
        <v>0</v>
      </c>
    </row>
    <row r="196" spans="1:27" hidden="1" x14ac:dyDescent="0.25">
      <c r="A196" s="42">
        <v>1915.994607772386</v>
      </c>
      <c r="B196" s="43">
        <v>12545.044723772389</v>
      </c>
      <c r="C196" s="43">
        <v>9628.9381160000012</v>
      </c>
      <c r="D196" s="43"/>
      <c r="E196" s="43">
        <v>48.008596181924638</v>
      </c>
      <c r="F196" s="43">
        <v>143.61660777238649</v>
      </c>
      <c r="G196" s="43"/>
      <c r="H196" s="43">
        <v>972.71233439994455</v>
      </c>
      <c r="I196" s="43">
        <v>62.810162062441378</v>
      </c>
      <c r="J196" s="43">
        <v>243.18</v>
      </c>
      <c r="K196" s="43">
        <v>261.93843401858982</v>
      </c>
      <c r="L196" s="43"/>
      <c r="M196" s="43"/>
      <c r="N196" s="43">
        <v>220.12</v>
      </c>
      <c r="O196" s="43"/>
      <c r="P196" s="43">
        <v>26.300007019999999</v>
      </c>
      <c r="Q196" s="43">
        <v>40.31</v>
      </c>
      <c r="R196" s="43">
        <v>43.67</v>
      </c>
      <c r="S196" s="43">
        <v>106.27</v>
      </c>
      <c r="T196" s="51">
        <v>1.5681305904715479</v>
      </c>
      <c r="U196" s="17">
        <v>46057</v>
      </c>
      <c r="V196" s="5" t="s">
        <v>323</v>
      </c>
      <c r="W196" s="45">
        <f>IFERROR(Tabela11[[#This Row],[Lucro]]*1/Tabela11[[#This Row],[Capital total]],"")</f>
        <v>0.76754912621024973</v>
      </c>
      <c r="X196" s="39">
        <f>Tabela11[[#This Row],[Lucro]]-C195</f>
        <v>0</v>
      </c>
      <c r="Y196" s="28" t="str">
        <f>PROPER(TEXT(DATE(2024,MONTH(Tabela11[[#This Row],[Data]]),1),"mmmm"))</f>
        <v>Fevereiro</v>
      </c>
      <c r="Z196" s="28">
        <f>YEAR(Tabela11[[#This Row],[Data]])</f>
        <v>2026</v>
      </c>
      <c r="AA196" s="35">
        <f>Tabela11[[#This Row],[Capital investido]]-A195</f>
        <v>0</v>
      </c>
    </row>
    <row r="197" spans="1:27" hidden="1" x14ac:dyDescent="0.25">
      <c r="A197" s="42">
        <v>1920.333680640533</v>
      </c>
      <c r="B197" s="43">
        <v>11718.149987333331</v>
      </c>
      <c r="C197" s="43">
        <f>Tabela11[[#This Row],[Capital total]]-Tabela11[[#This Row],[Capital investido]]</f>
        <v>9797.8163066927973</v>
      </c>
      <c r="D197" s="43"/>
      <c r="E197" s="43">
        <v>48.018692367302329</v>
      </c>
      <c r="F197" s="43">
        <v>409.94568064053419</v>
      </c>
      <c r="G197" s="43"/>
      <c r="H197" s="43">
        <v>972.73233439994453</v>
      </c>
      <c r="I197" s="43">
        <v>67.149234930589145</v>
      </c>
      <c r="J197" s="43">
        <v>237.61</v>
      </c>
      <c r="K197" s="43">
        <v>261.23346514673221</v>
      </c>
      <c r="L197" s="43"/>
      <c r="M197" s="43"/>
      <c r="N197" s="43">
        <v>220.88</v>
      </c>
      <c r="O197" s="43"/>
      <c r="P197" s="43">
        <v>24.45078724</v>
      </c>
      <c r="Q197" s="43">
        <v>40.299999999999997</v>
      </c>
      <c r="R197" s="43">
        <v>43.67</v>
      </c>
      <c r="S197" s="43">
        <v>106.27</v>
      </c>
      <c r="T197" s="51">
        <f>Tabela11[[#This Row],[Capital total]]/8000</f>
        <v>1.4647687484166663</v>
      </c>
      <c r="U197" s="17">
        <v>46059</v>
      </c>
      <c r="V197" s="5" t="s">
        <v>324</v>
      </c>
      <c r="W197" s="45">
        <f>IFERROR(Tabela11[[#This Row],[Lucro]]*1/Tabela11[[#This Row],[Capital total]],"")</f>
        <v>0.83612313524606641</v>
      </c>
      <c r="X197" s="39">
        <f>Tabela11[[#This Row],[Lucro]]-C196</f>
        <v>168.87819069279612</v>
      </c>
      <c r="Y197" s="28" t="str">
        <f>PROPER(TEXT(DATE(2024,MONTH(Tabela11[[#This Row],[Data]]),1),"mmmm"))</f>
        <v>Fevereiro</v>
      </c>
      <c r="Z197" s="28">
        <f>YEAR(Tabela11[[#This Row],[Data]])</f>
        <v>2026</v>
      </c>
      <c r="AA197" s="35">
        <f>Tabela11[[#This Row],[Capital investido]]-A196</f>
        <v>4.3390728681470137</v>
      </c>
    </row>
    <row r="198" spans="1:27" hidden="1" x14ac:dyDescent="0.25">
      <c r="A198" s="34">
        <v>1920.333680640533</v>
      </c>
      <c r="B198" s="35">
        <v>12178.09566797387</v>
      </c>
      <c r="C198" s="35">
        <v>8945.6599873333344</v>
      </c>
      <c r="D198" s="35"/>
      <c r="E198" s="35">
        <v>96.410813609661091</v>
      </c>
      <c r="F198" s="35">
        <v>459.94568064053419</v>
      </c>
      <c r="G198" s="35"/>
      <c r="H198" s="35">
        <v>972.73233439994453</v>
      </c>
      <c r="I198" s="43">
        <v>67.149234930589145</v>
      </c>
      <c r="J198" s="35">
        <v>237.79</v>
      </c>
      <c r="K198" s="35">
        <v>260.81848347039039</v>
      </c>
      <c r="L198" s="35"/>
      <c r="M198" s="35"/>
      <c r="N198" s="35">
        <v>220.87</v>
      </c>
      <c r="O198" s="35"/>
      <c r="P198" s="35">
        <v>25.34089548</v>
      </c>
      <c r="Q198" s="35">
        <v>40.5</v>
      </c>
      <c r="R198" s="35">
        <v>43.67</v>
      </c>
      <c r="S198" s="43">
        <v>106.27</v>
      </c>
      <c r="T198" s="37">
        <v>1.5222619584967341</v>
      </c>
      <c r="U198" s="18">
        <v>46061</v>
      </c>
      <c r="V198" s="4" t="s">
        <v>325</v>
      </c>
      <c r="W198" s="38">
        <f>IFERROR(Tabela11[[#This Row],[Lucro]]*1/Tabela11[[#This Row],[Capital total]],"")</f>
        <v>0.73456969227617075</v>
      </c>
      <c r="X198" s="39">
        <f>Tabela11[[#This Row],[Lucro]]-C197</f>
        <v>-852.15631935946294</v>
      </c>
      <c r="Y198" s="21" t="str">
        <f>PROPER(TEXT(DATE(2024,MONTH(Tabela11[[#This Row],[Data]]),1),"mmmm"))</f>
        <v>Fevereiro</v>
      </c>
      <c r="Z198" s="21">
        <f>YEAR(Tabela11[[#This Row],[Data]])</f>
        <v>2026</v>
      </c>
      <c r="AA198" s="35">
        <f>Tabela11[[#This Row],[Capital investido]]-A197</f>
        <v>0</v>
      </c>
    </row>
    <row r="199" spans="1:27" hidden="1" x14ac:dyDescent="0.25">
      <c r="A199" s="42">
        <v>1924.690127156445</v>
      </c>
      <c r="B199" s="43">
        <v>22105.643654515548</v>
      </c>
      <c r="C199" s="43">
        <v>9926.1191400257721</v>
      </c>
      <c r="D199" s="43"/>
      <c r="E199" s="43">
        <v>191.30856854366749</v>
      </c>
      <c r="F199" s="43">
        <v>264.772127156446</v>
      </c>
      <c r="G199" s="43"/>
      <c r="H199" s="43">
        <v>972.68233439994447</v>
      </c>
      <c r="I199" s="47">
        <v>71.505681446500972</v>
      </c>
      <c r="J199" s="43">
        <v>237.79</v>
      </c>
      <c r="K199" s="43">
        <v>260.81848347039039</v>
      </c>
      <c r="L199" s="43"/>
      <c r="M199" s="43"/>
      <c r="N199" s="43">
        <v>220.87</v>
      </c>
      <c r="O199" s="43"/>
      <c r="P199" s="43">
        <v>25.456518920000001</v>
      </c>
      <c r="Q199" s="43">
        <v>40.5</v>
      </c>
      <c r="R199" s="43">
        <v>43.67</v>
      </c>
      <c r="S199" s="47">
        <v>106.27</v>
      </c>
      <c r="T199" s="51">
        <v>2.7632054568144442</v>
      </c>
      <c r="U199" s="17">
        <v>46061</v>
      </c>
      <c r="V199" s="5" t="s">
        <v>326</v>
      </c>
      <c r="W199" s="45">
        <f>IFERROR(Tabela11[[#This Row],[Lucro]]*1/Tabela11[[#This Row],[Capital total]],"")</f>
        <v>0.44903099385654627</v>
      </c>
      <c r="X199" s="39">
        <f>Tabela11[[#This Row],[Lucro]]-C198</f>
        <v>980.45915269243778</v>
      </c>
      <c r="Y199" s="28" t="str">
        <f>PROPER(TEXT(DATE(2024,MONTH(Tabela11[[#This Row],[Data]]),1),"mmmm"))</f>
        <v>Fevereiro</v>
      </c>
      <c r="Z199" s="28">
        <f>YEAR(Tabela11[[#This Row],[Data]])</f>
        <v>2026</v>
      </c>
      <c r="AA199" s="35">
        <f>Tabela11[[#This Row],[Capital investido]]-A198</f>
        <v>4.3564465159120118</v>
      </c>
    </row>
    <row r="200" spans="1:27" x14ac:dyDescent="0.25">
      <c r="A200" s="42">
        <v>1926.8748872602221</v>
      </c>
      <c r="B200" s="43">
        <v>22107.828414619329</v>
      </c>
      <c r="C200" s="43">
        <v>9926.1191400257758</v>
      </c>
      <c r="D200" s="43"/>
      <c r="E200" s="43">
        <v>191.32945273674321</v>
      </c>
      <c r="F200" s="43">
        <v>266.95688726022308</v>
      </c>
      <c r="G200" s="43"/>
      <c r="H200" s="43">
        <v>972.68233439994447</v>
      </c>
      <c r="I200" s="43">
        <v>73.690441550277967</v>
      </c>
      <c r="J200" s="43">
        <v>237.87</v>
      </c>
      <c r="K200" s="43">
        <v>259.06356095959592</v>
      </c>
      <c r="L200" s="43"/>
      <c r="M200" s="43"/>
      <c r="N200" s="43">
        <v>220.99</v>
      </c>
      <c r="O200" s="43"/>
      <c r="P200" s="43">
        <v>24.68148484</v>
      </c>
      <c r="Q200" s="43">
        <v>40.44</v>
      </c>
      <c r="R200" s="43">
        <v>43.67</v>
      </c>
      <c r="S200" s="43">
        <v>106.27</v>
      </c>
      <c r="T200" s="51">
        <v>2.7634785518274172</v>
      </c>
      <c r="U200" s="17" t="s">
        <v>57</v>
      </c>
      <c r="V200" s="5" t="s">
        <v>327</v>
      </c>
      <c r="W200" s="45">
        <f>IFERROR(Tabela11[[#This Row],[Lucro]]*1/Tabela11[[#This Row],[Capital total]],"")</f>
        <v>0.44898661930368033</v>
      </c>
      <c r="X200" s="39">
        <f>Tabela11[[#This Row],[Lucro]]-C199</f>
        <v>0</v>
      </c>
      <c r="Y200" s="28" t="str">
        <f>PROPER(TEXT(DATE(2024,MONTH(Tabela11[[#This Row],[Data]]),1),"mmmm"))</f>
        <v>Fevereiro</v>
      </c>
      <c r="Z200" s="28">
        <f>YEAR(Tabela11[[#This Row],[Data]])</f>
        <v>2026</v>
      </c>
      <c r="AA200" s="35">
        <f>Tabela11[[#This Row],[Capital investido]]-A199</f>
        <v>2.1847601037770801</v>
      </c>
    </row>
    <row r="201" spans="1:27" x14ac:dyDescent="0.25">
      <c r="A201" s="42">
        <v>1929.0640168842069</v>
      </c>
      <c r="B201" s="43">
        <v>22110.037544243311</v>
      </c>
      <c r="C201" s="43">
        <v>9926.1191400257721</v>
      </c>
      <c r="D201" s="43"/>
      <c r="E201" s="43">
        <v>191.35056987885699</v>
      </c>
      <c r="F201" s="43">
        <v>269.16601688420809</v>
      </c>
      <c r="G201" s="43"/>
      <c r="H201" s="43">
        <v>972.68233439994447</v>
      </c>
      <c r="I201" s="43">
        <v>75.879571174262509</v>
      </c>
      <c r="J201" s="43">
        <v>242.7</v>
      </c>
      <c r="K201" s="43">
        <v>260.10351504006678</v>
      </c>
      <c r="L201" s="43"/>
      <c r="M201" s="43"/>
      <c r="N201" s="43">
        <v>220.87</v>
      </c>
      <c r="O201" s="43"/>
      <c r="P201" s="43">
        <v>24.699130459999999</v>
      </c>
      <c r="Q201" s="43">
        <v>40.82</v>
      </c>
      <c r="R201" s="43">
        <v>43.67</v>
      </c>
      <c r="S201" s="43">
        <v>106.27</v>
      </c>
      <c r="T201" s="51">
        <v>2.763754693030414</v>
      </c>
      <c r="U201" s="17" t="s">
        <v>58</v>
      </c>
      <c r="V201" s="5" t="s">
        <v>328</v>
      </c>
      <c r="W201" s="45">
        <f>IFERROR(Tabela11[[#This Row],[Lucro]]*1/Tabela11[[#This Row],[Capital total]],"")</f>
        <v>0.44894175869955455</v>
      </c>
      <c r="X201" s="39">
        <f>Tabela11[[#This Row],[Lucro]]-C200</f>
        <v>0</v>
      </c>
      <c r="Y201" s="28" t="str">
        <f>PROPER(TEXT(DATE(2024,MONTH(Tabela11[[#This Row],[Data]]),1),"mmmm"))</f>
        <v>Fevereiro</v>
      </c>
      <c r="Z201" s="28">
        <f>YEAR(Tabela11[[#This Row],[Data]])</f>
        <v>2026</v>
      </c>
      <c r="AA201" s="35">
        <f>Tabela11[[#This Row],[Capital investido]]-A200</f>
        <v>2.1891296239848543</v>
      </c>
    </row>
    <row r="202" spans="1:27" x14ac:dyDescent="0.25">
      <c r="A202" s="34">
        <v>1929.0640168842069</v>
      </c>
      <c r="B202" s="35">
        <v>22110.037544243311</v>
      </c>
      <c r="C202" s="35">
        <v>9926.1191400257721</v>
      </c>
      <c r="D202" s="35"/>
      <c r="E202" s="35">
        <v>191.35056987885699</v>
      </c>
      <c r="F202" s="35">
        <v>269.16601688420809</v>
      </c>
      <c r="G202" s="35"/>
      <c r="H202" s="35">
        <v>972.68233439994447</v>
      </c>
      <c r="I202" s="43">
        <v>75.879571174262509</v>
      </c>
      <c r="J202" s="35">
        <v>242.2</v>
      </c>
      <c r="K202" s="35">
        <v>260.00851923463921</v>
      </c>
      <c r="L202" s="35"/>
      <c r="M202" s="35"/>
      <c r="N202" s="35">
        <v>220.84</v>
      </c>
      <c r="O202" s="35"/>
      <c r="P202" s="35">
        <v>24.74382812</v>
      </c>
      <c r="Q202" s="35">
        <v>40.770000000000003</v>
      </c>
      <c r="R202" s="35">
        <v>43.67</v>
      </c>
      <c r="S202" s="43">
        <v>106.27</v>
      </c>
      <c r="T202" s="37">
        <v>2.763754693030414</v>
      </c>
      <c r="U202" s="18" t="s">
        <v>329</v>
      </c>
      <c r="V202" s="4" t="s">
        <v>330</v>
      </c>
      <c r="W202" s="38">
        <f>IFERROR(Tabela11[[#This Row],[Lucro]]*1/Tabela11[[#This Row],[Capital total]],"")</f>
        <v>0.44894175869955455</v>
      </c>
      <c r="X202" s="39">
        <f>Tabela11[[#This Row],[Lucro]]-C201</f>
        <v>0</v>
      </c>
      <c r="Y202" s="21" t="str">
        <f>PROPER(TEXT(DATE(2024,MONTH(Tabela11[[#This Row],[Data]]),1),"mmmm"))</f>
        <v>Fevereiro</v>
      </c>
      <c r="Z202" s="21">
        <f>YEAR(Tabela11[[#This Row],[Data]])</f>
        <v>2026</v>
      </c>
      <c r="AA202" s="35">
        <f>Tabela11[[#This Row],[Capital investido]]-A201</f>
        <v>0</v>
      </c>
    </row>
    <row r="203" spans="1:27" x14ac:dyDescent="0.25">
      <c r="A203" s="42">
        <v>1931.257524767439</v>
      </c>
      <c r="B203" s="43">
        <v>22112.25105212655</v>
      </c>
      <c r="C203" s="43">
        <v>9926.119140025774</v>
      </c>
      <c r="D203" s="43"/>
      <c r="E203" s="43">
        <v>191.3717288728939</v>
      </c>
      <c r="F203" s="43">
        <v>271.37952476744158</v>
      </c>
      <c r="G203" s="43"/>
      <c r="H203" s="43">
        <v>972.68233439994447</v>
      </c>
      <c r="I203" s="47">
        <v>78.073079057495022</v>
      </c>
      <c r="J203" s="43">
        <v>246.38</v>
      </c>
      <c r="K203" s="43">
        <v>259.28855102508243</v>
      </c>
      <c r="L203" s="43"/>
      <c r="M203" s="43"/>
      <c r="N203" s="43">
        <v>220.58</v>
      </c>
      <c r="O203" s="43"/>
      <c r="P203" s="43">
        <v>23.685571540000002</v>
      </c>
      <c r="Q203" s="43">
        <v>40.520000000000003</v>
      </c>
      <c r="R203" s="43">
        <v>43.67</v>
      </c>
      <c r="S203" s="47">
        <v>106.27</v>
      </c>
      <c r="T203" s="51">
        <v>2.7640313815158191</v>
      </c>
      <c r="U203" s="17" t="s">
        <v>329</v>
      </c>
      <c r="V203" s="5" t="s">
        <v>331</v>
      </c>
      <c r="W203" s="45">
        <f>IFERROR(Tabela11[[#This Row],[Lucro]]*1/Tabela11[[#This Row],[Capital total]],"")</f>
        <v>0.44889681817678045</v>
      </c>
      <c r="X203" s="39">
        <f>Tabela11[[#This Row],[Lucro]]-C202</f>
        <v>0</v>
      </c>
      <c r="Y203" s="28" t="str">
        <f>PROPER(TEXT(DATE(2024,MONTH(Tabela11[[#This Row],[Data]]),1),"mmmm"))</f>
        <v>Fevereiro</v>
      </c>
      <c r="Z203" s="28">
        <f>YEAR(Tabela11[[#This Row],[Data]])</f>
        <v>2026</v>
      </c>
      <c r="AA203" s="35">
        <f>Tabela11[[#This Row],[Capital investido]]-A202</f>
        <v>2.1935078832320869</v>
      </c>
    </row>
    <row r="204" spans="1:27" x14ac:dyDescent="0.25">
      <c r="A204" s="34">
        <v>1931.257524767439</v>
      </c>
      <c r="B204" s="35">
        <v>21992.25105212655</v>
      </c>
      <c r="C204" s="35">
        <v>9926.119140025774</v>
      </c>
      <c r="D204" s="35"/>
      <c r="E204" s="35">
        <v>60.136340169005173</v>
      </c>
      <c r="F204" s="35">
        <v>151.37952476744161</v>
      </c>
      <c r="G204" s="35"/>
      <c r="H204" s="35">
        <v>972.68233439994447</v>
      </c>
      <c r="I204" s="43">
        <v>78.073079057495022</v>
      </c>
      <c r="J204" s="35">
        <v>248.74</v>
      </c>
      <c r="K204" s="35">
        <v>258.44858811393289</v>
      </c>
      <c r="L204" s="35"/>
      <c r="M204" s="35"/>
      <c r="N204" s="35">
        <v>221.2</v>
      </c>
      <c r="O204" s="35"/>
      <c r="P204" s="35">
        <v>23.80050838</v>
      </c>
      <c r="Q204" s="35">
        <v>40.409999999999997</v>
      </c>
      <c r="R204" s="35">
        <v>43.67</v>
      </c>
      <c r="S204" s="43">
        <v>106.27</v>
      </c>
      <c r="T204" s="37">
        <v>2.7490313815158189</v>
      </c>
      <c r="U204" s="18" t="s">
        <v>332</v>
      </c>
      <c r="V204" s="4" t="s">
        <v>104</v>
      </c>
      <c r="W204" s="38">
        <f>IFERROR(Tabela11[[#This Row],[Lucro]]*1/Tabela11[[#This Row],[Capital total]],"")</f>
        <v>0.45134620901237682</v>
      </c>
      <c r="X204" s="39">
        <f>Tabela11[[#This Row],[Lucro]]-C203</f>
        <v>0</v>
      </c>
      <c r="Y204" s="21" t="str">
        <f>PROPER(TEXT(DATE(2024,MONTH(Tabela11[[#This Row],[Data]]),1),"mmmm"))</f>
        <v>Fevereiro</v>
      </c>
      <c r="Z204" s="21">
        <f>YEAR(Tabela11[[#This Row],[Data]])</f>
        <v>2026</v>
      </c>
      <c r="AA204" s="35">
        <f>Tabela11[[#This Row],[Capital investido]]-A203</f>
        <v>0</v>
      </c>
    </row>
    <row r="205" spans="1:27" x14ac:dyDescent="0.25">
      <c r="A205" s="34">
        <v>1931.257524767439</v>
      </c>
      <c r="B205" s="35">
        <v>21992.25105212655</v>
      </c>
      <c r="C205" s="35">
        <v>9926.119140025774</v>
      </c>
      <c r="D205" s="35"/>
      <c r="E205" s="35">
        <v>60.136340169005173</v>
      </c>
      <c r="F205" s="35">
        <v>151.37952476744161</v>
      </c>
      <c r="G205" s="35"/>
      <c r="H205" s="35">
        <v>972.68233439994447</v>
      </c>
      <c r="I205" s="47">
        <v>78.073079057495022</v>
      </c>
      <c r="J205" s="35">
        <v>239.84</v>
      </c>
      <c r="K205" s="35">
        <v>261.73344307003538</v>
      </c>
      <c r="L205" s="35"/>
      <c r="M205" s="35"/>
      <c r="N205" s="35">
        <v>222.14</v>
      </c>
      <c r="O205" s="35"/>
      <c r="P205" s="35">
        <v>24.650313199999999</v>
      </c>
      <c r="Q205" s="35">
        <v>40.450000000000003</v>
      </c>
      <c r="R205" s="35">
        <v>43.67</v>
      </c>
      <c r="S205" s="47">
        <v>106.27</v>
      </c>
      <c r="T205" s="37">
        <v>2.7490313815158189</v>
      </c>
      <c r="U205" s="18" t="s">
        <v>333</v>
      </c>
      <c r="V205" s="4" t="s">
        <v>334</v>
      </c>
      <c r="W205" s="38">
        <f>IFERROR(Tabela11[[#This Row],[Lucro]]*1/Tabela11[[#This Row],[Capital total]],"")</f>
        <v>0.45134620901237682</v>
      </c>
      <c r="X205" s="39">
        <f>Tabela11[[#This Row],[Lucro]]-C204</f>
        <v>0</v>
      </c>
      <c r="Y205" s="21" t="str">
        <f>PROPER(TEXT(DATE(2024,MONTH(Tabela11[[#This Row],[Data]]),1),"mmmm"))</f>
        <v>Fevereiro</v>
      </c>
      <c r="Z205" s="21">
        <f>YEAR(Tabela11[[#This Row],[Data]])</f>
        <v>2026</v>
      </c>
      <c r="AA205" s="35">
        <f>Tabela11[[#This Row],[Capital investido]]-A204</f>
        <v>0</v>
      </c>
    </row>
    <row r="206" spans="1:27" x14ac:dyDescent="0.25">
      <c r="A206" s="34">
        <v>1931.257524767439</v>
      </c>
      <c r="B206" s="35">
        <v>22229.53345212655</v>
      </c>
      <c r="C206" s="35">
        <v>9927.9715400257737</v>
      </c>
      <c r="D206" s="35"/>
      <c r="E206" s="35">
        <v>111.25737566032301</v>
      </c>
      <c r="F206" s="35">
        <v>386.80952476744193</v>
      </c>
      <c r="G206" s="35"/>
      <c r="H206" s="35">
        <v>972.68233439994447</v>
      </c>
      <c r="I206" s="47">
        <v>78.073079057495022</v>
      </c>
      <c r="J206" s="35">
        <v>249.32</v>
      </c>
      <c r="K206" s="35">
        <v>256.85865831782849</v>
      </c>
      <c r="L206" s="35"/>
      <c r="M206" s="35"/>
      <c r="N206" s="35">
        <v>225.25000000000011</v>
      </c>
      <c r="O206" s="35"/>
      <c r="P206" s="35">
        <v>23.727248159999998</v>
      </c>
      <c r="Q206" s="35">
        <v>40.33</v>
      </c>
      <c r="R206" s="35">
        <v>43.67</v>
      </c>
      <c r="S206" s="47">
        <v>106.27</v>
      </c>
      <c r="T206" s="37">
        <v>2.7786916815158191</v>
      </c>
      <c r="U206" s="18" t="s">
        <v>335</v>
      </c>
      <c r="V206" s="4" t="s">
        <v>336</v>
      </c>
      <c r="W206" s="38">
        <f>IFERROR(Tabela11[[#This Row],[Lucro]]*1/Tabela11[[#This Row],[Capital total]],"")</f>
        <v>0.44661178163755078</v>
      </c>
      <c r="X206" s="39">
        <f>Tabela11[[#This Row],[Lucro]]-C205</f>
        <v>1.8523999999997613</v>
      </c>
      <c r="Y206" s="21" t="str">
        <f>PROPER(TEXT(DATE(2024,MONTH(Tabela11[[#This Row],[Data]]),1),"mmmm"))</f>
        <v>Fevereiro</v>
      </c>
      <c r="Z206" s="21">
        <f>YEAR(Tabela11[[#This Row],[Data]])</f>
        <v>2026</v>
      </c>
      <c r="AA206" s="35">
        <f>Tabela11[[#This Row],[Capital investido]]-A205</f>
        <v>0</v>
      </c>
    </row>
    <row r="207" spans="1:27" x14ac:dyDescent="0.25">
      <c r="A207" s="42">
        <v>1931.257524767439</v>
      </c>
      <c r="B207" s="43">
        <v>22229.53345212655</v>
      </c>
      <c r="C207" s="43">
        <v>9927.9715400257737</v>
      </c>
      <c r="D207" s="43"/>
      <c r="E207" s="43">
        <v>111.25737566032301</v>
      </c>
      <c r="F207" s="43">
        <v>386.80952476744193</v>
      </c>
      <c r="G207" s="43"/>
      <c r="H207" s="43">
        <v>972.68233439994447</v>
      </c>
      <c r="I207" s="47">
        <v>78.073079057495022</v>
      </c>
      <c r="J207" s="43">
        <v>249.32</v>
      </c>
      <c r="K207" s="43">
        <v>256.85865831782849</v>
      </c>
      <c r="L207" s="43"/>
      <c r="M207" s="43"/>
      <c r="N207" s="43">
        <v>225.25000000000011</v>
      </c>
      <c r="O207" s="43"/>
      <c r="P207" s="43">
        <v>23.727248159999998</v>
      </c>
      <c r="Q207" s="43">
        <v>40.33</v>
      </c>
      <c r="R207" s="43">
        <v>43.67</v>
      </c>
      <c r="S207" s="47">
        <v>106.27</v>
      </c>
      <c r="T207" s="51">
        <v>2.7786916815158191</v>
      </c>
      <c r="U207" s="17" t="s">
        <v>335</v>
      </c>
      <c r="V207" s="5" t="s">
        <v>337</v>
      </c>
      <c r="W207" s="45">
        <f>IFERROR(Tabela11[[#This Row],[Lucro]]*1/Tabela11[[#This Row],[Capital total]],"")</f>
        <v>0.44661178163755078</v>
      </c>
      <c r="X207" s="39">
        <f>Tabela11[[#This Row],[Lucro]]-C206</f>
        <v>0</v>
      </c>
      <c r="Y207" s="28" t="str">
        <f>PROPER(TEXT(DATE(2024,MONTH(Tabela11[[#This Row],[Data]]),1),"mmmm"))</f>
        <v>Fevereiro</v>
      </c>
      <c r="Z207" s="28">
        <f>YEAR(Tabela11[[#This Row],[Data]])</f>
        <v>2026</v>
      </c>
      <c r="AA207" s="35">
        <f>Tabela11[[#This Row],[Capital investido]]-A206</f>
        <v>0</v>
      </c>
    </row>
    <row r="208" spans="1:27" x14ac:dyDescent="0.25">
      <c r="A208" s="42">
        <v>1931.257524767439</v>
      </c>
      <c r="B208" s="43">
        <v>22099.813452126549</v>
      </c>
      <c r="C208" s="43">
        <v>9927.9715400257737</v>
      </c>
      <c r="D208" s="43"/>
      <c r="E208" s="43">
        <v>55.646256438874317</v>
      </c>
      <c r="F208" s="43">
        <v>257.08952476744162</v>
      </c>
      <c r="G208" s="43"/>
      <c r="H208" s="43">
        <v>972.68233439994447</v>
      </c>
      <c r="I208" s="43">
        <v>78.073079057495022</v>
      </c>
      <c r="J208" s="43">
        <v>248.48</v>
      </c>
      <c r="K208" s="43">
        <v>256.48867465458397</v>
      </c>
      <c r="L208" s="43"/>
      <c r="M208" s="43"/>
      <c r="N208" s="43">
        <v>226.99</v>
      </c>
      <c r="O208" s="43"/>
      <c r="P208" s="43">
        <v>23.14865034</v>
      </c>
      <c r="Q208" s="43">
        <v>40.32</v>
      </c>
      <c r="R208" s="43">
        <v>43.67</v>
      </c>
      <c r="S208" s="43">
        <v>106.27</v>
      </c>
      <c r="T208" s="51">
        <v>2.7624766815158188</v>
      </c>
      <c r="U208" s="17" t="s">
        <v>338</v>
      </c>
      <c r="V208" s="5" t="s">
        <v>339</v>
      </c>
      <c r="W208" s="45">
        <f>IFERROR(Tabela11[[#This Row],[Lucro]]*1/Tabela11[[#This Row],[Capital total]],"")</f>
        <v>0.44923327346324082</v>
      </c>
      <c r="X208" s="39">
        <f>Tabela11[[#This Row],[Lucro]]-C207</f>
        <v>0</v>
      </c>
      <c r="Y208" s="28" t="str">
        <f>PROPER(TEXT(DATE(2024,MONTH(Tabela11[[#This Row],[Data]]),1),"mmmm"))</f>
        <v>Fevereiro</v>
      </c>
      <c r="Z208" s="28">
        <f>YEAR(Tabela11[[#This Row],[Data]])</f>
        <v>2026</v>
      </c>
      <c r="AA208" s="35">
        <f>Tabela11[[#This Row],[Capital investido]]-A207</f>
        <v>0</v>
      </c>
    </row>
    <row r="209" spans="1:27" x14ac:dyDescent="0.25">
      <c r="A209" s="42">
        <v>1931.257524767439</v>
      </c>
      <c r="B209" s="43">
        <v>22099.813452126549</v>
      </c>
      <c r="C209" s="43">
        <v>9927.9715400257737</v>
      </c>
      <c r="D209" s="43"/>
      <c r="E209" s="43">
        <v>55.646256438874317</v>
      </c>
      <c r="F209" s="43">
        <v>257.08952476744162</v>
      </c>
      <c r="G209" s="43"/>
      <c r="H209" s="43">
        <v>972.68233439994447</v>
      </c>
      <c r="I209" s="43">
        <v>78.073079057495022</v>
      </c>
      <c r="J209" s="43">
        <v>248.48</v>
      </c>
      <c r="K209" s="43">
        <v>256.48867465458397</v>
      </c>
      <c r="L209" s="43"/>
      <c r="M209" s="43"/>
      <c r="N209" s="43">
        <v>226.99</v>
      </c>
      <c r="O209" s="43"/>
      <c r="P209" s="43">
        <v>23.577432040000001</v>
      </c>
      <c r="Q209" s="43">
        <v>40.18</v>
      </c>
      <c r="R209" s="43">
        <v>43.67</v>
      </c>
      <c r="S209" s="43">
        <v>106.27</v>
      </c>
      <c r="T209" s="51">
        <v>2.7624766815158188</v>
      </c>
      <c r="U209" s="17" t="s">
        <v>340</v>
      </c>
      <c r="V209" s="5" t="s">
        <v>341</v>
      </c>
      <c r="W209" s="45">
        <f>IFERROR(Tabela11[[#This Row],[Lucro]]*1/Tabela11[[#This Row],[Capital total]],"")</f>
        <v>0.44923327346324082</v>
      </c>
      <c r="X209" s="39">
        <f>Tabela11[[#This Row],[Lucro]]-C208</f>
        <v>0</v>
      </c>
      <c r="Y209" s="28" t="str">
        <f>PROPER(TEXT(DATE(2024,MONTH(Tabela11[[#This Row],[Data]]),1),"mmmm"))</f>
        <v>Março</v>
      </c>
      <c r="Z209" s="28">
        <f>YEAR(Tabela11[[#This Row],[Data]])</f>
        <v>2026</v>
      </c>
      <c r="AA209" s="35">
        <f>Tabela11[[#This Row],[Capital investido]]-A208</f>
        <v>0</v>
      </c>
    </row>
    <row r="210" spans="1:27" x14ac:dyDescent="0.25">
      <c r="A210" s="34">
        <v>1931.257524767439</v>
      </c>
      <c r="B210" s="35">
        <v>21994.57985212655</v>
      </c>
      <c r="C210" s="35">
        <v>9822.7379400257742</v>
      </c>
      <c r="D210" s="35"/>
      <c r="E210" s="35">
        <v>155.29878129032821</v>
      </c>
      <c r="F210" s="35">
        <v>257.08952476744162</v>
      </c>
      <c r="G210" s="35"/>
      <c r="H210" s="35">
        <v>972.68233439994447</v>
      </c>
      <c r="I210" s="43">
        <v>78.073079057495022</v>
      </c>
      <c r="J210" s="35">
        <v>244.52</v>
      </c>
      <c r="K210" s="35">
        <v>263.83835012714229</v>
      </c>
      <c r="L210" s="35"/>
      <c r="M210" s="35"/>
      <c r="N210" s="35">
        <v>220.5</v>
      </c>
      <c r="O210" s="35"/>
      <c r="P210" s="35">
        <v>24.791066199999999</v>
      </c>
      <c r="Q210" s="35">
        <v>39.96</v>
      </c>
      <c r="R210" s="35">
        <v>43.67</v>
      </c>
      <c r="S210" s="43">
        <v>106.27</v>
      </c>
      <c r="T210" s="37">
        <v>2.749322481515819</v>
      </c>
      <c r="U210" s="18" t="s">
        <v>342</v>
      </c>
      <c r="V210" s="4" t="s">
        <v>343</v>
      </c>
      <c r="W210" s="38">
        <f>IFERROR(Tabela11[[#This Row],[Lucro]]*1/Tabela11[[#This Row],[Capital total]],"")</f>
        <v>0.4465981167208366</v>
      </c>
      <c r="X210" s="39">
        <f>Tabela11[[#This Row],[Lucro]]-C209</f>
        <v>-105.23359999999957</v>
      </c>
      <c r="Y210" s="21" t="str">
        <f>PROPER(TEXT(DATE(2024,MONTH(Tabela11[[#This Row],[Data]]),1),"mmmm"))</f>
        <v>Março</v>
      </c>
      <c r="Z210" s="21">
        <f>YEAR(Tabela11[[#This Row],[Data]])</f>
        <v>2026</v>
      </c>
      <c r="AA210" s="35">
        <f>Tabela11[[#This Row],[Capital investido]]-A209</f>
        <v>0</v>
      </c>
    </row>
    <row r="211" spans="1:27" x14ac:dyDescent="0.25">
      <c r="A211" s="34">
        <v>1931.257524767439</v>
      </c>
      <c r="B211" s="35">
        <v>21900.949852126549</v>
      </c>
      <c r="C211" s="35">
        <v>9822.7379400257742</v>
      </c>
      <c r="D211" s="35"/>
      <c r="E211" s="35">
        <v>6.3618366302528466</v>
      </c>
      <c r="F211" s="35">
        <v>163.45952476744151</v>
      </c>
      <c r="G211" s="35"/>
      <c r="H211" s="35">
        <v>972.68233439994447</v>
      </c>
      <c r="I211" s="47">
        <v>78.073079057495022</v>
      </c>
      <c r="J211" s="35">
        <v>238.97</v>
      </c>
      <c r="K211" s="35">
        <v>262.18842298024151</v>
      </c>
      <c r="L211" s="35"/>
      <c r="M211" s="35"/>
      <c r="N211" s="35">
        <v>221.11</v>
      </c>
      <c r="O211" s="35"/>
      <c r="P211" s="35">
        <v>24.444058559999998</v>
      </c>
      <c r="Q211" s="35">
        <v>39.29</v>
      </c>
      <c r="R211" s="35">
        <v>43.67</v>
      </c>
      <c r="S211" s="47">
        <v>106.27</v>
      </c>
      <c r="T211" s="37">
        <v>2.737618731515818</v>
      </c>
      <c r="U211" s="18" t="s">
        <v>344</v>
      </c>
      <c r="V211" s="4" t="s">
        <v>345</v>
      </c>
      <c r="W211" s="38">
        <f>IFERROR(Tabela11[[#This Row],[Lucro]]*1/Tabela11[[#This Row],[Capital total]],"")</f>
        <v>0.44850739380474869</v>
      </c>
      <c r="X211" s="39">
        <f>Tabela11[[#This Row],[Lucro]]-C210</f>
        <v>0</v>
      </c>
      <c r="Y211" s="21" t="str">
        <f>PROPER(TEXT(DATE(2024,MONTH(Tabela11[[#This Row],[Data]]),1),"mmmm"))</f>
        <v>Março</v>
      </c>
      <c r="Z211" s="21">
        <f>YEAR(Tabela11[[#This Row],[Data]])</f>
        <v>2026</v>
      </c>
      <c r="AA211" s="35">
        <f>Tabela11[[#This Row],[Capital investido]]-A210</f>
        <v>0</v>
      </c>
    </row>
    <row r="212" spans="1:27" x14ac:dyDescent="0.25">
      <c r="A212" s="42">
        <v>1931.257524767439</v>
      </c>
      <c r="B212" s="43">
        <v>21901.251088486591</v>
      </c>
      <c r="C212" s="43">
        <v>8917.0091763858109</v>
      </c>
      <c r="D212" s="43"/>
      <c r="E212" s="43">
        <v>6.3619416530928277</v>
      </c>
      <c r="F212" s="43">
        <v>1069.4895247674419</v>
      </c>
      <c r="G212" s="43"/>
      <c r="H212" s="43">
        <v>972.68233439994447</v>
      </c>
      <c r="I212" s="47">
        <v>78.073079057495022</v>
      </c>
      <c r="J212" s="43">
        <v>238.97</v>
      </c>
      <c r="K212" s="43">
        <v>262.18842298024151</v>
      </c>
      <c r="L212" s="43"/>
      <c r="M212" s="43"/>
      <c r="N212" s="43">
        <v>221.11</v>
      </c>
      <c r="O212" s="43"/>
      <c r="P212" s="43">
        <v>24.432386359999999</v>
      </c>
      <c r="Q212" s="43">
        <v>39.29</v>
      </c>
      <c r="R212" s="43">
        <v>43.67</v>
      </c>
      <c r="S212" s="47">
        <v>106.27</v>
      </c>
      <c r="T212" s="51">
        <v>2.7376563860608241</v>
      </c>
      <c r="U212" s="17" t="s">
        <v>344</v>
      </c>
      <c r="V212" s="5" t="s">
        <v>346</v>
      </c>
      <c r="W212" s="45">
        <f>IFERROR(Tabela11[[#This Row],[Lucro]]*1/Tabela11[[#This Row],[Capital total]],"")</f>
        <v>0.40714610961532927</v>
      </c>
      <c r="X212" s="39">
        <f>Tabela11[[#This Row],[Lucro]]-C211</f>
        <v>-905.72876363996329</v>
      </c>
      <c r="Y212" s="28" t="str">
        <f>PROPER(TEXT(DATE(2024,MONTH(Tabela11[[#This Row],[Data]]),1),"mmmm"))</f>
        <v>Março</v>
      </c>
      <c r="Z212" s="28">
        <f>YEAR(Tabela11[[#This Row],[Data]])</f>
        <v>2026</v>
      </c>
      <c r="AA212" s="35">
        <f>Tabela11[[#This Row],[Capital investido]]-A211</f>
        <v>0</v>
      </c>
    </row>
    <row r="213" spans="1:27" x14ac:dyDescent="0.25">
      <c r="A213" s="58">
        <v>1991.2273615662971</v>
      </c>
      <c r="B213" s="57">
        <v>21320.658425285441</v>
      </c>
      <c r="C213" s="57">
        <v>8917.0091763858109</v>
      </c>
      <c r="D213" s="57"/>
      <c r="E213" s="57">
        <v>6.1595242213035837</v>
      </c>
      <c r="F213" s="57">
        <v>488.89686156629978</v>
      </c>
      <c r="G213" s="57"/>
      <c r="H213" s="57">
        <v>972.68233439994447</v>
      </c>
      <c r="I213" s="57">
        <v>138.93291585635279</v>
      </c>
      <c r="J213" s="57">
        <v>238.97</v>
      </c>
      <c r="K213" s="57">
        <v>262.18842298024151</v>
      </c>
      <c r="L213" s="57"/>
      <c r="M213" s="57"/>
      <c r="N213" s="57">
        <v>221.11</v>
      </c>
      <c r="O213" s="57"/>
      <c r="P213" s="57">
        <v>24.365580179999998</v>
      </c>
      <c r="Q213" s="57">
        <v>39.29</v>
      </c>
      <c r="R213" s="57">
        <v>43.67</v>
      </c>
      <c r="S213" s="57">
        <v>106.27</v>
      </c>
      <c r="T213" s="59">
        <v>2.665082303160681</v>
      </c>
      <c r="U213" s="17" t="s">
        <v>344</v>
      </c>
      <c r="V213" s="5" t="s">
        <v>347</v>
      </c>
      <c r="W213" s="60">
        <f>IFERROR(Tabela11[[#This Row],[Lucro]]*1/Tabela11[[#This Row],[Capital total]],"")</f>
        <v>0.41823329273033133</v>
      </c>
      <c r="X213" s="39">
        <f>Tabela11[[#This Row],[Lucro]]-C212</f>
        <v>0</v>
      </c>
      <c r="Y213" s="61" t="str">
        <f>PROPER(TEXT(DATE(2024,MONTH(Tabela11[[#This Row],[Data]]),1),"mmmm"))</f>
        <v>Março</v>
      </c>
      <c r="Z213" s="61">
        <f>YEAR(Tabela11[[#This Row],[Data]])</f>
        <v>2026</v>
      </c>
      <c r="AA213" s="35">
        <f>Tabela11[[#This Row],[Capital investido]]-A212</f>
        <v>59.969836798858069</v>
      </c>
    </row>
  </sheetData>
  <mergeCells count="1">
    <mergeCell ref="A1:U2"/>
  </mergeCells>
  <conditionalFormatting sqref="H5:I2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J5:J21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L5:L2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R5:S158 S159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S5:S213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S150:S17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T5:T213">
    <cfRule type="dataBar" priority="24">
      <dataBar>
        <cfvo type="min"/>
        <cfvo type="max"/>
        <color rgb="FF638EC6"/>
      </dataBar>
    </cfRule>
    <cfRule type="top10" dxfId="0" priority="25" percent="1" rank="10"/>
    <cfRule type="iconSet" priority="26">
      <iconSet iconSet="3Arrows">
        <cfvo type="percent" val="0"/>
        <cfvo type="percent" val="33"/>
        <cfvo type="percent" val="67"/>
      </iconSet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zoomScale="70" zoomScaleNormal="70" workbookViewId="0">
      <selection activeCell="B31" sqref="B31"/>
    </sheetView>
  </sheetViews>
  <sheetFormatPr defaultRowHeight="15" x14ac:dyDescent="0.25"/>
  <cols>
    <col min="1" max="1" width="24" bestFit="1" customWidth="1"/>
    <col min="2" max="2" width="35.85546875" bestFit="1" customWidth="1"/>
    <col min="3" max="3" width="18.5703125" bestFit="1" customWidth="1"/>
    <col min="4" max="4" width="24" bestFit="1" customWidth="1"/>
    <col min="5" max="5" width="31.140625" bestFit="1" customWidth="1"/>
    <col min="6" max="6" width="30.7109375" bestFit="1" customWidth="1"/>
    <col min="7" max="7" width="25" bestFit="1" customWidth="1"/>
    <col min="13" max="13" width="18.42578125" bestFit="1" customWidth="1"/>
    <col min="14" max="14" width="22.140625" bestFit="1" customWidth="1"/>
  </cols>
  <sheetData>
    <row r="1" spans="1:6" x14ac:dyDescent="0.25">
      <c r="A1" s="22" t="s">
        <v>0</v>
      </c>
      <c r="B1" t="s">
        <v>1</v>
      </c>
      <c r="D1" t="s">
        <v>2</v>
      </c>
      <c r="E1" t="s">
        <v>3</v>
      </c>
      <c r="F1" t="s">
        <v>4</v>
      </c>
    </row>
    <row r="2" spans="1:6" x14ac:dyDescent="0.25">
      <c r="A2" s="24">
        <v>2025</v>
      </c>
      <c r="B2" s="46">
        <v>1722.5806403021304</v>
      </c>
      <c r="D2" s="27">
        <v>2025</v>
      </c>
      <c r="E2" s="46">
        <f t="array" ref="E2">AVERAGE(B3:B12+GETPIVOTDATA("Investido Mês",$A$1,"Mês","Janeiro","Ano",2026))</f>
        <v>272.20380941754502</v>
      </c>
      <c r="F2" s="46">
        <f>E2/30</f>
        <v>9.0734603139181669</v>
      </c>
    </row>
    <row r="3" spans="1:6" x14ac:dyDescent="0.25">
      <c r="A3" s="25" t="s">
        <v>5</v>
      </c>
      <c r="B3" s="46">
        <v>13.831533968379944</v>
      </c>
      <c r="D3" s="27">
        <v>2026</v>
      </c>
      <c r="E3" s="29">
        <f>GETPIVOTDATA("Investido Mês",$A$1,"Mês","Janeiro","Ano",2026)</f>
        <v>99.945745387331954</v>
      </c>
      <c r="F3" s="46">
        <f>E3/29</f>
        <v>3.4464050133562742</v>
      </c>
    </row>
    <row r="4" spans="1:6" x14ac:dyDescent="0.25">
      <c r="A4" s="25" t="s">
        <v>6</v>
      </c>
      <c r="B4" s="46">
        <v>47.426765080256502</v>
      </c>
    </row>
    <row r="5" spans="1:6" x14ac:dyDescent="0.25">
      <c r="A5" s="25" t="s">
        <v>7</v>
      </c>
      <c r="B5" s="46">
        <v>371.97721755260068</v>
      </c>
    </row>
    <row r="6" spans="1:6" x14ac:dyDescent="0.25">
      <c r="A6" s="25" t="s">
        <v>8</v>
      </c>
      <c r="B6" s="46">
        <v>340.85131852974007</v>
      </c>
      <c r="E6" s="22" t="s">
        <v>9</v>
      </c>
    </row>
    <row r="7" spans="1:6" x14ac:dyDescent="0.25">
      <c r="A7" s="25" t="s">
        <v>10</v>
      </c>
      <c r="B7" s="46">
        <v>203.43972878690727</v>
      </c>
      <c r="D7" s="22" t="s">
        <v>0</v>
      </c>
      <c r="E7" s="62" t="s">
        <v>11</v>
      </c>
      <c r="F7" s="62" t="s">
        <v>12</v>
      </c>
    </row>
    <row r="8" spans="1:6" x14ac:dyDescent="0.25">
      <c r="A8" s="25" t="s">
        <v>13</v>
      </c>
      <c r="B8" s="46">
        <v>71.389999999999873</v>
      </c>
      <c r="D8" s="24">
        <v>2025</v>
      </c>
      <c r="E8" s="62">
        <v>1114.5485099003499</v>
      </c>
      <c r="F8" s="62">
        <v>34.625186207185372</v>
      </c>
    </row>
    <row r="9" spans="1:6" x14ac:dyDescent="0.25">
      <c r="A9" s="25" t="s">
        <v>14</v>
      </c>
      <c r="B9" s="46">
        <v>6.0299999999990632</v>
      </c>
      <c r="D9" s="25" t="s">
        <v>5</v>
      </c>
      <c r="E9" s="62">
        <v>99.463383982945189</v>
      </c>
      <c r="F9" s="62">
        <v>69.062932121834649</v>
      </c>
    </row>
    <row r="10" spans="1:6" x14ac:dyDescent="0.25">
      <c r="A10" s="25" t="s">
        <v>15</v>
      </c>
      <c r="B10" s="46">
        <v>0</v>
      </c>
      <c r="D10" s="25" t="s">
        <v>6</v>
      </c>
      <c r="E10" s="62">
        <v>142.4495407128984</v>
      </c>
      <c r="F10" s="62">
        <v>34.625186207185372</v>
      </c>
    </row>
    <row r="11" spans="1:6" x14ac:dyDescent="0.25">
      <c r="A11" s="25" t="s">
        <v>16</v>
      </c>
      <c r="B11" s="46">
        <v>106.95600190974392</v>
      </c>
      <c r="D11" s="25" t="s">
        <v>7</v>
      </c>
      <c r="E11" s="62">
        <v>512.35731078126321</v>
      </c>
      <c r="F11" s="62">
        <v>49.956276682018533</v>
      </c>
    </row>
    <row r="12" spans="1:6" x14ac:dyDescent="0.25">
      <c r="A12" s="25" t="s">
        <v>17</v>
      </c>
      <c r="B12" s="46">
        <v>560.67807447450309</v>
      </c>
      <c r="D12" s="25" t="s">
        <v>8</v>
      </c>
      <c r="E12" s="62">
        <v>816.93629603650663</v>
      </c>
      <c r="F12" s="62">
        <v>311.69342515946568</v>
      </c>
    </row>
    <row r="13" spans="1:6" x14ac:dyDescent="0.25">
      <c r="A13" s="24">
        <v>2026</v>
      </c>
      <c r="B13" s="46">
        <v>185.94422025059703</v>
      </c>
      <c r="D13" s="25" t="s">
        <v>10</v>
      </c>
      <c r="E13" s="62">
        <v>916.61530660692949</v>
      </c>
      <c r="F13" s="62">
        <v>79.535200822982034</v>
      </c>
    </row>
    <row r="14" spans="1:6" x14ac:dyDescent="0.25">
      <c r="A14" s="25" t="s">
        <v>5</v>
      </c>
      <c r="B14" s="46">
        <v>99.945745387331954</v>
      </c>
      <c r="D14" s="25" t="s">
        <v>13</v>
      </c>
      <c r="E14" s="62">
        <v>1114.5485099003499</v>
      </c>
      <c r="F14" s="62">
        <v>508.63468130162983</v>
      </c>
    </row>
    <row r="15" spans="1:6" x14ac:dyDescent="0.25">
      <c r="A15" s="25" t="s">
        <v>6</v>
      </c>
      <c r="B15" s="46">
        <v>26.028638064407005</v>
      </c>
      <c r="D15" s="25" t="s">
        <v>14</v>
      </c>
      <c r="E15" s="62">
        <v>854.71214010262906</v>
      </c>
      <c r="F15" s="62">
        <v>550.76452979197961</v>
      </c>
    </row>
    <row r="16" spans="1:6" x14ac:dyDescent="0.25">
      <c r="A16" s="25" t="s">
        <v>7</v>
      </c>
      <c r="B16" s="46">
        <v>59.969836798858069</v>
      </c>
      <c r="D16" s="25" t="s">
        <v>15</v>
      </c>
      <c r="E16" s="62">
        <v>183.23487029629311</v>
      </c>
      <c r="F16" s="62">
        <v>183.23487029629311</v>
      </c>
    </row>
    <row r="17" spans="1:6" x14ac:dyDescent="0.25">
      <c r="A17" s="24" t="s">
        <v>18</v>
      </c>
      <c r="B17" s="46">
        <v>1908.5248605527274</v>
      </c>
      <c r="D17" s="25" t="s">
        <v>16</v>
      </c>
      <c r="E17" s="62">
        <v>393.86894235261508</v>
      </c>
      <c r="F17" s="62">
        <v>196.80517769599689</v>
      </c>
    </row>
    <row r="18" spans="1:6" x14ac:dyDescent="0.25">
      <c r="D18" s="25" t="s">
        <v>17</v>
      </c>
      <c r="E18" s="62">
        <v>407.69946217585198</v>
      </c>
      <c r="F18" s="62">
        <v>296.74</v>
      </c>
    </row>
    <row r="19" spans="1:6" x14ac:dyDescent="0.25">
      <c r="D19" s="24">
        <v>2026</v>
      </c>
      <c r="E19" s="62">
        <v>1069.4895247674419</v>
      </c>
      <c r="F19" s="62">
        <v>139.24</v>
      </c>
    </row>
    <row r="20" spans="1:6" x14ac:dyDescent="0.25">
      <c r="D20" s="25" t="s">
        <v>5</v>
      </c>
      <c r="E20" s="62">
        <v>706.29293869129015</v>
      </c>
      <c r="F20" s="62">
        <v>247.44340150215339</v>
      </c>
    </row>
    <row r="21" spans="1:6" x14ac:dyDescent="0.25">
      <c r="D21" s="25" t="s">
        <v>6</v>
      </c>
      <c r="E21" s="62">
        <v>459.94568064053419</v>
      </c>
      <c r="F21" s="62">
        <v>139.24</v>
      </c>
    </row>
    <row r="22" spans="1:6" x14ac:dyDescent="0.25">
      <c r="D22" s="25" t="s">
        <v>7</v>
      </c>
      <c r="E22" s="62">
        <v>1069.4895247674419</v>
      </c>
      <c r="F22" s="62">
        <v>163.45952476744151</v>
      </c>
    </row>
    <row r="23" spans="1:6" x14ac:dyDescent="0.25">
      <c r="D23" s="24" t="s">
        <v>18</v>
      </c>
      <c r="E23" s="62">
        <v>1114.5485099003499</v>
      </c>
      <c r="F23" s="62">
        <v>34.625186207185372</v>
      </c>
    </row>
  </sheetData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Normal="100" workbookViewId="0">
      <selection activeCell="B17" sqref="B17"/>
    </sheetView>
  </sheetViews>
  <sheetFormatPr defaultRowHeight="15" x14ac:dyDescent="0.25"/>
  <cols>
    <col min="1" max="1" width="10.5703125" customWidth="1"/>
    <col min="2" max="2" width="13.28515625" bestFit="1" customWidth="1"/>
    <col min="3" max="4" width="9.5703125" bestFit="1" customWidth="1"/>
    <col min="5" max="5" width="12.140625" bestFit="1" customWidth="1"/>
  </cols>
  <sheetData>
    <row r="1" spans="1:5" x14ac:dyDescent="0.25">
      <c r="A1" t="s">
        <v>348</v>
      </c>
    </row>
    <row r="4" spans="1:5" x14ac:dyDescent="0.25">
      <c r="A4" s="7" t="s">
        <v>84</v>
      </c>
      <c r="B4" s="6" t="s">
        <v>349</v>
      </c>
      <c r="E4" s="8" t="s">
        <v>350</v>
      </c>
    </row>
    <row r="5" spans="1:5" x14ac:dyDescent="0.25">
      <c r="A5" s="10" t="s">
        <v>351</v>
      </c>
      <c r="B5" s="49">
        <f t="array" ref="B5">SUMPRODUCT((TEXT(Tabela11[Data],"mm/aaaa")="01/2025") * (Tabela11[Variação no Período]))</f>
        <v>-27.017124595652145</v>
      </c>
      <c r="C5" s="3"/>
      <c r="E5" s="50">
        <f>SUM(Tabela12[Valor])</f>
        <v>8917.4631546502696</v>
      </c>
    </row>
    <row r="6" spans="1:5" x14ac:dyDescent="0.25">
      <c r="A6" s="10" t="s">
        <v>352</v>
      </c>
      <c r="B6" s="49">
        <f t="array" ref="B6">SUMPRODUCT((TEXT(Tabela11[Data],"mm/aaaa")="02/2025") * (Tabela11[Variação no Período]))</f>
        <v>25.050758026498965</v>
      </c>
      <c r="C6" s="46"/>
    </row>
    <row r="7" spans="1:5" x14ac:dyDescent="0.25">
      <c r="A7" s="11" t="s">
        <v>353</v>
      </c>
      <c r="B7" s="49">
        <f t="array" ref="B7">SUMPRODUCT((TEXT(Tabela11[Data],"mm/aaaa")="03/2025") * (Tabela11[Variação no Período]))</f>
        <v>-201.38869082120272</v>
      </c>
    </row>
    <row r="8" spans="1:5" x14ac:dyDescent="0.25">
      <c r="A8" s="12">
        <v>45748</v>
      </c>
      <c r="B8" s="49">
        <f t="array" ref="B8">SUMPRODUCT((TEXT(Tabela11[Data],"mm/aaaa")="04/2025") * (Tabela11[Variação no Período]))</f>
        <v>-262.20773588034922</v>
      </c>
    </row>
    <row r="9" spans="1:5" x14ac:dyDescent="0.25">
      <c r="A9" s="12">
        <v>45778</v>
      </c>
      <c r="B9" s="49">
        <f t="array" ref="B9">SUMPRODUCT((TEXT(Tabela11[Data],"mm/aaaa")="05/2025") * (Tabela11[Variação no Período]))</f>
        <v>203.94728720043986</v>
      </c>
    </row>
    <row r="10" spans="1:5" x14ac:dyDescent="0.25">
      <c r="A10" s="12">
        <v>45809</v>
      </c>
      <c r="B10" s="49">
        <f t="array" ref="B10">SUMPRODUCT((TEXT(Tabela11[Data],"mm/aaaa")="06/2025") * (Tabela11[Variação no Período]))</f>
        <v>-168.00914583206594</v>
      </c>
    </row>
    <row r="11" spans="1:5" x14ac:dyDescent="0.25">
      <c r="A11" s="14">
        <v>45839</v>
      </c>
      <c r="B11" s="49">
        <f t="array" ref="B11">SUMPRODUCT((TEXT(Tabela11[Data],"mm/aaaa")="07/2025") * (Tabela11[Variação no Período]))</f>
        <v>-115.58789557837957</v>
      </c>
    </row>
    <row r="12" spans="1:5" x14ac:dyDescent="0.25">
      <c r="A12" s="14">
        <v>45931</v>
      </c>
      <c r="B12" s="49">
        <f t="array" ref="B12">SUMPRODUCT((TEXT(Tabela11[Data],"mm/aaaa")="10/2025") * (Tabela11[Variação no Período]))</f>
        <v>-408.7476688899867</v>
      </c>
    </row>
    <row r="13" spans="1:5" x14ac:dyDescent="0.25">
      <c r="A13" s="12">
        <v>45962</v>
      </c>
      <c r="B13" s="49">
        <f t="array" ref="B13">SUMPRODUCT((TEXT(Tabela11[Data],"mm/aaaa")="11/2025") * (Tabela11[Variação no Período]))</f>
        <v>103.67807014657876</v>
      </c>
    </row>
    <row r="14" spans="1:5" x14ac:dyDescent="0.25">
      <c r="A14" s="12">
        <v>45992</v>
      </c>
      <c r="B14" s="49">
        <f t="array" ref="B14">SUMPRODUCT((TEXT(Tabela11[Data],"mm/aaaa")="12/2025") * (Tabela11[Variação no Período]))</f>
        <v>-536.88187551141834</v>
      </c>
    </row>
    <row r="15" spans="1:5" x14ac:dyDescent="0.25">
      <c r="A15" s="12">
        <v>46023</v>
      </c>
      <c r="B15" s="49">
        <f t="array" ref="B15">SUMPRODUCT((TEXT(Tabela11[Data],"mm/aaaa")="01/2026") * (Tabela11[Variação no Período]))</f>
        <v>10903.649332000001</v>
      </c>
    </row>
    <row r="16" spans="1:5" x14ac:dyDescent="0.25">
      <c r="A16" s="12">
        <v>46054</v>
      </c>
      <c r="B16" s="49">
        <f t="array" ref="B16">SUMPRODUCT((TEXT(Tabela11[Data],"mm/aaaa")="02/2026") * (Tabela11[Variação no Período]))</f>
        <v>411.94020802576961</v>
      </c>
    </row>
    <row r="17" spans="1:2" x14ac:dyDescent="0.25">
      <c r="A17" s="12">
        <v>46082</v>
      </c>
      <c r="B17" s="63" cm="1">
        <f t="array" ref="B17">SUMPRODUCT((TEXT(Tabela11[Data],"mm/aaaa")="03/2026") * (Tabela11[Variação no Período]))</f>
        <v>-1010.9623636399629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2</vt:i4>
      </vt:variant>
    </vt:vector>
  </HeadingPairs>
  <TitlesOfParts>
    <vt:vector size="5" baseType="lpstr">
      <vt:lpstr>Base</vt:lpstr>
      <vt:lpstr>Visão geral</vt:lpstr>
      <vt:lpstr>Saúde financeira</vt:lpstr>
      <vt:lpstr>Investimento mensal</vt:lpstr>
      <vt:lpstr>Saldo em 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cp:lastPrinted>2025-04-05T01:16:42Z</cp:lastPrinted>
  <dcterms:created xsi:type="dcterms:W3CDTF">2025-01-16T23:18:32Z</dcterms:created>
  <dcterms:modified xsi:type="dcterms:W3CDTF">2026-03-07T18:40:16Z</dcterms:modified>
</cp:coreProperties>
</file>