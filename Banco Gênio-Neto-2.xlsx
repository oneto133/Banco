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updateLinks="never"/>
  <mc:AlternateContent xmlns:mc="http://schemas.openxmlformats.org/markup-compatibility/2006">
    <mc:Choice Requires="x15">
      <x15ac:absPath xmlns:x15ac="http://schemas.microsoft.com/office/spreadsheetml/2010/11/ac" url="https://d.docs.live.net/368431def48b862b/Banco Gênio/"/>
    </mc:Choice>
  </mc:AlternateContent>
  <xr:revisionPtr revIDLastSave="3665" documentId="11_1FB578E947797F9C02A6B187AC7B120325615796" xr6:coauthVersionLast="47" xr6:coauthVersionMax="47" xr10:uidLastSave="{A0A55B7F-3CF6-4736-A736-742B9625CB6E}"/>
  <bookViews>
    <workbookView xWindow="-120" yWindow="-120" windowWidth="20730" windowHeight="11040" tabRatio="714" firstSheet="1" activeTab="5" xr2:uid="{00000000-000D-0000-FFFF-FFFF00000000}"/>
  </bookViews>
  <sheets>
    <sheet name="Extrato" sheetId="1" r:id="rId1"/>
    <sheet name="Financeiro" sheetId="2" r:id="rId2"/>
    <sheet name="Investimento CDB" sheetId="3" r:id="rId3"/>
    <sheet name="Outros" sheetId="4" r:id="rId4"/>
    <sheet name="Dolar" sheetId="5" r:id="rId5"/>
    <sheet name="Investimento em renda variável" sheetId="6" r:id="rId6"/>
    <sheet name="Tesouro direto" sheetId="7" r:id="rId7"/>
  </sheets>
  <externalReferences>
    <externalReference r:id="rId8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5" l="1"/>
  <c r="J7" i="7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C4" i="7"/>
  <c r="G5" i="6" a="1"/>
  <c r="G5" i="6"/>
  <c r="J5" i="6"/>
  <c r="G7" i="6" a="1"/>
  <c r="G7" i="6"/>
  <c r="J7" i="6"/>
  <c r="G8" i="6" a="1"/>
  <c r="G8" i="6"/>
  <c r="J8" i="6"/>
  <c r="G9" i="6" a="1"/>
  <c r="G9" i="6"/>
  <c r="J9" i="6"/>
  <c r="G10" i="6" a="1"/>
  <c r="G10" i="6"/>
  <c r="J10" i="6"/>
  <c r="G11" i="6" a="1"/>
  <c r="G11" i="6"/>
  <c r="J11" i="6"/>
  <c r="G12" i="6" a="1"/>
  <c r="G12" i="6"/>
  <c r="J12" i="6"/>
  <c r="G13" i="6" a="1"/>
  <c r="G13" i="6"/>
  <c r="J13" i="6"/>
  <c r="G14" i="6" a="1"/>
  <c r="G14" i="6"/>
  <c r="G15" i="6" a="1"/>
  <c r="G15" i="6"/>
  <c r="G16" i="6" a="1"/>
  <c r="G16" i="6"/>
  <c r="J16" i="6"/>
  <c r="G17" i="6" a="1"/>
  <c r="G17" i="6"/>
  <c r="J17" i="6"/>
  <c r="G18" i="6" a="1"/>
  <c r="G18" i="6"/>
  <c r="G19" i="6" a="1"/>
  <c r="G19" i="6"/>
  <c r="J19" i="6"/>
  <c r="G20" i="6" a="1"/>
  <c r="G20" i="6"/>
  <c r="J20" i="6"/>
  <c r="F15" i="6"/>
  <c r="K20" i="6"/>
  <c r="L20" i="6"/>
  <c r="N20" i="6"/>
  <c r="C19" i="6" a="1"/>
  <c r="C19" i="6"/>
  <c r="K19" i="6"/>
  <c r="L19" i="6"/>
  <c r="N19" i="6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2" i="3"/>
  <c r="H63" i="3"/>
  <c r="H64" i="3"/>
  <c r="H65" i="3"/>
  <c r="E60" i="1"/>
  <c r="F11" i="5"/>
  <c r="I5" i="6"/>
  <c r="C3" i="7"/>
  <c r="J4" i="7"/>
  <c r="S6" i="2"/>
  <c r="F10" i="5"/>
  <c r="E39" i="1"/>
  <c r="D5" i="2"/>
  <c r="L3" i="1"/>
  <c r="H61" i="3"/>
  <c r="H60" i="3"/>
  <c r="H59" i="3"/>
  <c r="H58" i="3"/>
  <c r="H57" i="3"/>
  <c r="H56" i="3"/>
  <c r="H55" i="3"/>
  <c r="H54" i="3"/>
  <c r="H53" i="3"/>
  <c r="H52" i="3"/>
  <c r="H51" i="3"/>
  <c r="H50" i="3"/>
  <c r="E49" i="3"/>
  <c r="C50" i="3"/>
  <c r="E50" i="3"/>
  <c r="C51" i="3"/>
  <c r="E51" i="3"/>
  <c r="C52" i="3"/>
  <c r="E52" i="3"/>
  <c r="C53" i="3"/>
  <c r="E53" i="3"/>
  <c r="C54" i="3"/>
  <c r="E54" i="3"/>
  <c r="C55" i="3"/>
  <c r="E55" i="3"/>
  <c r="C56" i="3"/>
  <c r="E56" i="3"/>
  <c r="C57" i="3"/>
  <c r="E57" i="3"/>
  <c r="C58" i="3"/>
  <c r="E58" i="3"/>
  <c r="C59" i="3"/>
  <c r="E59" i="3"/>
  <c r="C60" i="3"/>
  <c r="E60" i="3"/>
  <c r="C61" i="3"/>
  <c r="E61" i="3"/>
  <c r="C62" i="3"/>
  <c r="E62" i="3"/>
  <c r="C63" i="3"/>
  <c r="E63" i="3"/>
  <c r="C64" i="3"/>
  <c r="E64" i="3"/>
  <c r="C65" i="3"/>
  <c r="E65" i="3"/>
  <c r="C66" i="3"/>
  <c r="E66" i="3"/>
  <c r="C67" i="3"/>
  <c r="E67" i="3"/>
  <c r="C68" i="3"/>
  <c r="E68" i="3"/>
  <c r="C69" i="3"/>
  <c r="E69" i="3"/>
  <c r="C70" i="3"/>
  <c r="E70" i="3"/>
  <c r="C71" i="3"/>
  <c r="E71" i="3"/>
  <c r="C72" i="3"/>
  <c r="E72" i="3"/>
  <c r="C73" i="3"/>
  <c r="E73" i="3"/>
  <c r="C74" i="3"/>
  <c r="E74" i="3"/>
  <c r="C75" i="3"/>
  <c r="E75" i="3"/>
  <c r="C76" i="3"/>
  <c r="E76" i="3"/>
  <c r="C77" i="3"/>
  <c r="E77" i="3"/>
  <c r="C78" i="3"/>
  <c r="E78" i="3"/>
  <c r="C79" i="3"/>
  <c r="E79" i="3"/>
  <c r="C80" i="3"/>
  <c r="H49" i="3"/>
  <c r="H48" i="3"/>
  <c r="H47" i="3"/>
  <c r="H46" i="3"/>
  <c r="H45" i="3"/>
  <c r="H44" i="3"/>
  <c r="H43" i="3"/>
  <c r="F9" i="5"/>
  <c r="C17" i="6" a="1"/>
  <c r="C17" i="6"/>
  <c r="L17" i="6"/>
  <c r="K17" i="6"/>
  <c r="N17" i="6"/>
  <c r="C16" i="6" a="1"/>
  <c r="C16" i="6"/>
  <c r="L16" i="6"/>
  <c r="K16" i="6"/>
  <c r="N16" i="6"/>
  <c r="R29" i="6"/>
  <c r="R6" i="2"/>
  <c r="F14" i="6"/>
  <c r="Z5" i="4"/>
  <c r="L7" i="6"/>
  <c r="L9" i="6"/>
  <c r="L11" i="6"/>
  <c r="L12" i="6"/>
  <c r="H42" i="3"/>
  <c r="H41" i="3"/>
  <c r="H40" i="3"/>
  <c r="H39" i="3"/>
  <c r="H38" i="3"/>
  <c r="H37" i="3"/>
  <c r="F8" i="5"/>
  <c r="C13" i="6" a="1"/>
  <c r="C13" i="6"/>
  <c r="L13" i="6"/>
  <c r="K13" i="6"/>
  <c r="N13" i="6"/>
  <c r="C7" i="6" a="1"/>
  <c r="C7" i="6"/>
  <c r="H36" i="3"/>
  <c r="H35" i="3"/>
  <c r="H34" i="3"/>
  <c r="H33" i="3"/>
  <c r="E12" i="1"/>
  <c r="C12" i="6" a="1"/>
  <c r="C12" i="6"/>
  <c r="K12" i="6"/>
  <c r="N12" i="6"/>
  <c r="C11" i="6" a="1"/>
  <c r="C11" i="6"/>
  <c r="K11" i="6"/>
  <c r="N11" i="6"/>
  <c r="H32" i="3"/>
  <c r="H31" i="3"/>
  <c r="H30" i="3"/>
  <c r="H29" i="3"/>
  <c r="H5" i="4"/>
  <c r="H28" i="3"/>
  <c r="F7" i="5"/>
  <c r="N7" i="6"/>
  <c r="K7" i="6"/>
  <c r="I8" i="5"/>
  <c r="R5" i="4"/>
  <c r="L10" i="6"/>
  <c r="C10" i="6" a="1"/>
  <c r="C10" i="6"/>
  <c r="C9" i="6" a="1"/>
  <c r="C9" i="6"/>
  <c r="L8" i="6"/>
  <c r="D6" i="6"/>
  <c r="G6" i="6" a="1"/>
  <c r="G6" i="6"/>
  <c r="J6" i="6"/>
  <c r="L6" i="6"/>
  <c r="C6" i="6" a="1"/>
  <c r="C6" i="6"/>
  <c r="R5" i="6"/>
  <c r="L5" i="6"/>
  <c r="C5" i="6" a="1"/>
  <c r="C5" i="6"/>
  <c r="F6" i="5"/>
  <c r="K5" i="5" a="1"/>
  <c r="K5" i="5"/>
  <c r="F5" i="5"/>
  <c r="I5" i="5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E10" i="3"/>
  <c r="C11" i="3"/>
  <c r="E11" i="3"/>
  <c r="C12" i="3"/>
  <c r="E12" i="3"/>
  <c r="C13" i="3"/>
  <c r="E13" i="3"/>
  <c r="C14" i="3"/>
  <c r="E14" i="3"/>
  <c r="C15" i="3"/>
  <c r="E15" i="3"/>
  <c r="C16" i="3"/>
  <c r="E16" i="3"/>
  <c r="C17" i="3"/>
  <c r="E17" i="3"/>
  <c r="C18" i="3"/>
  <c r="E18" i="3"/>
  <c r="C19" i="3"/>
  <c r="E19" i="3"/>
  <c r="C20" i="3"/>
  <c r="E20" i="3"/>
  <c r="C21" i="3"/>
  <c r="E21" i="3"/>
  <c r="C22" i="3"/>
  <c r="E22" i="3"/>
  <c r="C23" i="3"/>
  <c r="E23" i="3"/>
  <c r="C24" i="3"/>
  <c r="E24" i="3"/>
  <c r="C25" i="3"/>
  <c r="E25" i="3"/>
  <c r="C26" i="3"/>
  <c r="E26" i="3"/>
  <c r="C27" i="3"/>
  <c r="E27" i="3"/>
  <c r="C28" i="3"/>
  <c r="E28" i="3"/>
  <c r="C29" i="3"/>
  <c r="E29" i="3"/>
  <c r="C30" i="3"/>
  <c r="E30" i="3"/>
  <c r="C31" i="3"/>
  <c r="E31" i="3"/>
  <c r="C32" i="3"/>
  <c r="E32" i="3"/>
  <c r="C33" i="3"/>
  <c r="J9" i="3"/>
  <c r="H9" i="3"/>
  <c r="E9" i="3"/>
  <c r="H8" i="3"/>
  <c r="H7" i="3"/>
  <c r="H6" i="3"/>
  <c r="E6" i="3"/>
  <c r="C7" i="3"/>
  <c r="E7" i="3"/>
  <c r="C8" i="3"/>
  <c r="E8" i="3"/>
  <c r="K3" i="1"/>
  <c r="J3" i="1"/>
  <c r="N5" i="6"/>
  <c r="K5" i="6"/>
  <c r="N6" i="6"/>
  <c r="K6" i="6"/>
  <c r="N8" i="6"/>
  <c r="K8" i="6"/>
  <c r="N9" i="6"/>
  <c r="K9" i="6"/>
  <c r="N10" i="6"/>
  <c r="K10" i="6"/>
  <c r="M5" i="5"/>
  <c r="K8" i="5"/>
  <c r="E33" i="3"/>
  <c r="C34" i="3"/>
  <c r="E34" i="3"/>
  <c r="C35" i="3"/>
  <c r="E35" i="3"/>
  <c r="C36" i="3"/>
  <c r="E36" i="3"/>
  <c r="C37" i="3"/>
  <c r="E37" i="3"/>
  <c r="C38" i="3"/>
  <c r="E38" i="3"/>
  <c r="C39" i="3"/>
  <c r="E39" i="3"/>
  <c r="C40" i="3"/>
  <c r="E40" i="3"/>
  <c r="C41" i="3"/>
  <c r="E41" i="3"/>
  <c r="C42" i="3"/>
  <c r="E42" i="3"/>
  <c r="C43" i="3"/>
  <c r="E43" i="3"/>
  <c r="C44" i="3"/>
  <c r="M3" i="1"/>
  <c r="E44" i="3"/>
  <c r="C45" i="3"/>
  <c r="E45" i="3"/>
  <c r="C46" i="3"/>
  <c r="E46" i="3"/>
  <c r="C47" i="3"/>
  <c r="E47" i="3"/>
  <c r="C48" i="3"/>
  <c r="E48" i="3"/>
  <c r="K46" i="3"/>
  <c r="G5" i="2" a="1"/>
  <c r="G5" i="2"/>
  <c r="E80" i="3"/>
  <c r="C81" i="3"/>
  <c r="J18" i="6"/>
  <c r="J15" i="6"/>
  <c r="J14" i="6"/>
  <c r="E81" i="3"/>
  <c r="C82" i="3"/>
  <c r="E82" i="3"/>
  <c r="C83" i="3"/>
  <c r="E83" i="3"/>
  <c r="C84" i="3"/>
  <c r="E84" i="3"/>
  <c r="C85" i="3"/>
  <c r="E85" i="3"/>
  <c r="C86" i="3"/>
  <c r="E86" i="3"/>
  <c r="C87" i="3"/>
  <c r="E87" i="3"/>
  <c r="C88" i="3"/>
  <c r="E88" i="3"/>
  <c r="C89" i="3"/>
  <c r="E89" i="3"/>
  <c r="C90" i="3"/>
  <c r="E90" i="3"/>
  <c r="C91" i="3"/>
  <c r="E91" i="3"/>
  <c r="C92" i="3"/>
  <c r="E92" i="3"/>
  <c r="C93" i="3"/>
  <c r="E93" i="3"/>
  <c r="C94" i="3"/>
  <c r="E94" i="3"/>
  <c r="J6" i="3"/>
  <c r="A5" i="2"/>
  <c r="R9" i="6"/>
  <c r="C5" i="2"/>
  <c r="B5" i="2"/>
  <c r="J80" i="3"/>
  <c r="L18" i="6"/>
  <c r="N18" i="6"/>
  <c r="K18" i="6"/>
  <c r="L14" i="6"/>
  <c r="K14" i="6"/>
  <c r="N14" i="6"/>
  <c r="R21" i="6"/>
  <c r="Q5" i="2"/>
  <c r="L15" i="6"/>
  <c r="K15" i="6"/>
  <c r="N15" i="6"/>
  <c r="R13" i="6"/>
  <c r="M5" i="2"/>
  <c r="T6" i="2" a="1"/>
  <c r="T6" i="2"/>
  <c r="J5" i="2"/>
  <c r="R5" i="2"/>
  <c r="S5" i="2"/>
  <c r="P5" i="2"/>
  <c r="P6" i="2" a="1"/>
  <c r="P6" i="2"/>
  <c r="L5" i="2"/>
  <c r="L6" i="2" a="1"/>
  <c r="L6" i="2"/>
  <c r="M6" i="2" a="1"/>
  <c r="M6" i="2"/>
  <c r="Q6" i="2" a="1"/>
  <c r="Q6" i="2"/>
  <c r="F5" i="2"/>
  <c r="N5" i="2"/>
  <c r="N6" i="2" a="1"/>
  <c r="N6" i="2"/>
  <c r="O5" i="2"/>
  <c r="O6" i="2" a="1"/>
  <c r="O6" i="2"/>
  <c r="K5" i="2"/>
  <c r="R25" i="6"/>
  <c r="K10" i="2"/>
  <c r="J6" i="2" a="1"/>
  <c r="J6" i="2"/>
  <c r="K6" i="2" a="1"/>
  <c r="K6" i="2"/>
  <c r="P10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RICHVALUE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futureMetadata name="XLRICHVALUE" count="8">
    <bk>
      <extLst>
        <ext uri="{3e2802c4-a4d2-4d8b-9148-e3be6c30e623}">
          <xlrd:rvb i="1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21"/>
        </ext>
      </extLst>
    </bk>
  </future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</valueMetadata>
</metadata>
</file>

<file path=xl/sharedStrings.xml><?xml version="1.0" encoding="utf-8"?>
<sst xmlns="http://schemas.openxmlformats.org/spreadsheetml/2006/main" count="943" uniqueCount="148">
  <si>
    <t>Extrato de movimentações</t>
  </si>
  <si>
    <t>Saídas</t>
  </si>
  <si>
    <t>Entradas</t>
  </si>
  <si>
    <t xml:space="preserve">Descrição </t>
  </si>
  <si>
    <t>Data</t>
  </si>
  <si>
    <t>Tipo</t>
  </si>
  <si>
    <t>Valor</t>
  </si>
  <si>
    <t>Origem</t>
  </si>
  <si>
    <t>Destino</t>
  </si>
  <si>
    <t>Recebedor</t>
  </si>
  <si>
    <t>Pagamento de salário semanal</t>
  </si>
  <si>
    <t>Saída</t>
  </si>
  <si>
    <t>Banco inter</t>
  </si>
  <si>
    <t>Nubank</t>
  </si>
  <si>
    <t>Armando rodrigues progenio neto</t>
  </si>
  <si>
    <t>Entrada</t>
  </si>
  <si>
    <t>Iti</t>
  </si>
  <si>
    <t>Gestão de capital</t>
  </si>
  <si>
    <t>Divisão de capital</t>
  </si>
  <si>
    <t>Capital investido</t>
  </si>
  <si>
    <t>Capital total</t>
  </si>
  <si>
    <t>Lucro</t>
  </si>
  <si>
    <t>Pagamento De funcionários</t>
  </si>
  <si>
    <t>Ultimo salário pago</t>
  </si>
  <si>
    <t>Saldo em caixa</t>
  </si>
  <si>
    <t>CDB</t>
  </si>
  <si>
    <t>Ação/BDR</t>
  </si>
  <si>
    <t>Dolar</t>
  </si>
  <si>
    <t>FII</t>
  </si>
  <si>
    <t>Caixa 2</t>
  </si>
  <si>
    <t>Empréstimo</t>
  </si>
  <si>
    <t>Despesas</t>
  </si>
  <si>
    <t>%</t>
  </si>
  <si>
    <t>$</t>
  </si>
  <si>
    <t>Instituição</t>
  </si>
  <si>
    <t>Observação</t>
  </si>
  <si>
    <t>I.P.C.A</t>
  </si>
  <si>
    <t>Valor projetado</t>
  </si>
  <si>
    <t>Conta Inicial</t>
  </si>
  <si>
    <t>Futuro</t>
  </si>
  <si>
    <t>Total Aplicado</t>
  </si>
  <si>
    <t>Sempre colocar o valor mais o I.P.C.A do mês.</t>
  </si>
  <si>
    <t>Banco Inter</t>
  </si>
  <si>
    <t>Meta de guardar no porquinho 1 real por dia</t>
  </si>
  <si>
    <t>Ainda vou decidir o que vou fazer com esse dinheiro.</t>
  </si>
  <si>
    <t>Dias</t>
  </si>
  <si>
    <t>Buscar o valor investido de outras corretoras</t>
  </si>
  <si>
    <t>Rendimento</t>
  </si>
  <si>
    <t>Caixa empréstimos</t>
  </si>
  <si>
    <t>Banco</t>
  </si>
  <si>
    <t>Nome</t>
  </si>
  <si>
    <t>Valor total</t>
  </si>
  <si>
    <t>Empréstimos</t>
  </si>
  <si>
    <t>Capital em dólar</t>
  </si>
  <si>
    <t>Remetente</t>
  </si>
  <si>
    <t>Valor de depósito</t>
  </si>
  <si>
    <t>Cotação</t>
  </si>
  <si>
    <t>Taxas</t>
  </si>
  <si>
    <t>Valor em dólar</t>
  </si>
  <si>
    <t>Total</t>
  </si>
  <si>
    <t>Cotação atual</t>
  </si>
  <si>
    <t>Total em reais</t>
  </si>
  <si>
    <t>Banco inter Global Account</t>
  </si>
  <si>
    <t>Ticker</t>
  </si>
  <si>
    <t>Nome do ativo</t>
  </si>
  <si>
    <t>QTD</t>
  </si>
  <si>
    <t>Valor da compra</t>
  </si>
  <si>
    <t>Dividendos pagos</t>
  </si>
  <si>
    <t>Média de lucro diário</t>
  </si>
  <si>
    <t>Em posse</t>
  </si>
  <si>
    <t>Operação</t>
  </si>
  <si>
    <t>Total aplicado</t>
  </si>
  <si>
    <t>Sim</t>
  </si>
  <si>
    <t>Renda variável</t>
  </si>
  <si>
    <t>Rico</t>
  </si>
  <si>
    <t>MXRF11</t>
  </si>
  <si>
    <t>Não</t>
  </si>
  <si>
    <t>Day Trader</t>
  </si>
  <si>
    <t>Lucro total</t>
  </si>
  <si>
    <t>BDR</t>
  </si>
  <si>
    <t>Total FII</t>
  </si>
  <si>
    <t>Day Trade</t>
  </si>
  <si>
    <t>Total BDR</t>
  </si>
  <si>
    <t>Tipo de transação</t>
  </si>
  <si>
    <t>Tipo de Transação</t>
  </si>
  <si>
    <t>Aplicado</t>
  </si>
  <si>
    <t>Categoria</t>
  </si>
  <si>
    <t>Lucro Real</t>
  </si>
  <si>
    <t>Pagamento de Dividendos MXRF11</t>
  </si>
  <si>
    <t>Dividendos</t>
  </si>
  <si>
    <t>iti</t>
  </si>
  <si>
    <t xml:space="preserve">Empéstimo </t>
  </si>
  <si>
    <t>Caixa econômica federal</t>
  </si>
  <si>
    <t>Selic</t>
  </si>
  <si>
    <t>Preço Atual/Venda</t>
  </si>
  <si>
    <t>Rendimento Valor para despesas</t>
  </si>
  <si>
    <t>Saldo Projetado</t>
  </si>
  <si>
    <t>Fii</t>
  </si>
  <si>
    <t>Pagamento de empréstimo</t>
  </si>
  <si>
    <t>Pagamento de salário semanal de funcionários</t>
  </si>
  <si>
    <t>Day trader</t>
  </si>
  <si>
    <t>Pagamento dividendos MXRF11</t>
  </si>
  <si>
    <t>Pagamento Consórcio</t>
  </si>
  <si>
    <t>Consórcio</t>
  </si>
  <si>
    <t>Preço de mercado</t>
  </si>
  <si>
    <t>Venda de 347 ações para Gênio consorcios</t>
  </si>
  <si>
    <t>Negociação</t>
  </si>
  <si>
    <t>Venda de ações 256 ações para genio consorcios</t>
  </si>
  <si>
    <t>Aplicação de dinheiro</t>
  </si>
  <si>
    <t xml:space="preserve">Itaú </t>
  </si>
  <si>
    <t>Capital de giro</t>
  </si>
  <si>
    <t>Itaú</t>
  </si>
  <si>
    <t>Rendimento valor caixa2</t>
  </si>
  <si>
    <t>Rendimento empréstimos</t>
  </si>
  <si>
    <t>Aplicação de valor</t>
  </si>
  <si>
    <t>Rendimento CDB</t>
  </si>
  <si>
    <t>Inter</t>
  </si>
  <si>
    <t>Venda de ações 613 para consórcio</t>
  </si>
  <si>
    <t xml:space="preserve">Aplicação de valores </t>
  </si>
  <si>
    <t>ETF</t>
  </si>
  <si>
    <t>PETR4</t>
  </si>
  <si>
    <t>Lucro CDB</t>
  </si>
  <si>
    <t>Aplicação de valores</t>
  </si>
  <si>
    <t>Empréstimo para pagar uber</t>
  </si>
  <si>
    <t>Pagamento de funcionário</t>
  </si>
  <si>
    <t>Média de lucro total</t>
  </si>
  <si>
    <t>Valor investido</t>
  </si>
  <si>
    <t>Valor atual</t>
  </si>
  <si>
    <t>Tesouro nacional</t>
  </si>
  <si>
    <t>Juros</t>
  </si>
  <si>
    <t>Vencimento</t>
  </si>
  <si>
    <t>Lucro Despesas</t>
  </si>
  <si>
    <t>Venda de 156 ações para o consórcio</t>
  </si>
  <si>
    <t>Lucro despesas</t>
  </si>
  <si>
    <t>Tem que vender pois o risco é muito alto</t>
  </si>
  <si>
    <t>HGPO11</t>
  </si>
  <si>
    <t>Empréstimo para uber até a upa</t>
  </si>
  <si>
    <t>Tesouro direto</t>
  </si>
  <si>
    <t>Rendimento tesouro nacional</t>
  </si>
  <si>
    <t>Dividendos MXRF11</t>
  </si>
  <si>
    <t>Taxa equilíbrio mensal</t>
  </si>
  <si>
    <t>Taxa</t>
  </si>
  <si>
    <t>-</t>
  </si>
  <si>
    <t>Venda de 578 ações para o consórcio</t>
  </si>
  <si>
    <t>Equilíbrio manual</t>
  </si>
  <si>
    <t>Equilíbrio</t>
  </si>
  <si>
    <t>Lucro cdb</t>
  </si>
  <si>
    <t>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</si>
</sst>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&quot;\ * #,##0.000_-;\-&quot;R$&quot;\ * #,##0.000_-;_-&quot;R$&quot;\ * &quot;-&quot;??_-;_-@_-"/>
    <numFmt numFmtId="165" formatCode="_-[$USD]\ * #,##0.00_-;\-[$USD]\ * #,##0.00_-;_-[$USD]\ * &quot;-&quot;??_-;_-@_-"/>
    <numFmt numFmtId="166" formatCode="_-[$R$-416]\ * #,##0.00_-;\-[$R$-416]\ * #,##0.00_-;_-[$R$-416]\ * &quot;-&quot;??_-;_-@_-"/>
    <numFmt numFmtId="167" formatCode="_-&quot;R$&quot;\ * #,##0.0000_-;\-&quot;R$&quot;\ * #,##0.0000_-;_-&quot;R$&quot;\ * &quot;-&quot;??_-;_-@_-"/>
    <numFmt numFmtId="168" formatCode="_-&quot;R$&quot;\ * #,##0.00000_-;\-&quot;R$&quot;\ * #,##0.00000_-;_-&quot;R$&quot;\ * &quot;-&quot;??_-;_-@_-"/>
    <numFmt numFmtId="169" formatCode="0.0%"/>
    <numFmt numFmtId="170" formatCode="0.000%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4" fontId="1" fillId="0" borderId="0"/>
    <xf numFmtId="43" fontId="1" fillId="0" borderId="0"/>
    <xf numFmtId="9" fontId="1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137">
    <xf numFmtId="0" fontId="0" fillId="0" borderId="0" xfId="0"/>
    <xf numFmtId="44" fontId="0" fillId="0" borderId="0" xfId="1" applyFont="1"/>
    <xf numFmtId="14" fontId="0" fillId="0" borderId="0" xfId="1" applyNumberFormat="1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4" fontId="0" fillId="0" borderId="2" xfId="1" applyFont="1" applyBorder="1" applyAlignment="1">
      <alignment horizontal="center" vertical="center"/>
    </xf>
    <xf numFmtId="44" fontId="0" fillId="0" borderId="2" xfId="1" applyFont="1" applyBorder="1" applyAlignment="1">
      <alignment horizontal="center" vertical="center" wrapText="1"/>
    </xf>
    <xf numFmtId="14" fontId="0" fillId="0" borderId="2" xfId="1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4" fontId="0" fillId="0" borderId="6" xfId="1" applyFont="1" applyBorder="1" applyAlignment="1">
      <alignment horizontal="center" vertical="center"/>
    </xf>
    <xf numFmtId="10" fontId="0" fillId="0" borderId="6" xfId="1" applyNumberFormat="1" applyFont="1" applyBorder="1" applyAlignment="1">
      <alignment horizontal="center" vertical="center"/>
    </xf>
    <xf numFmtId="14" fontId="0" fillId="0" borderId="6" xfId="1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4" fontId="0" fillId="3" borderId="4" xfId="0" applyNumberFormat="1" applyFill="1" applyBorder="1"/>
    <xf numFmtId="0" fontId="0" fillId="2" borderId="4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44" fontId="0" fillId="0" borderId="0" xfId="0" applyNumberFormat="1"/>
    <xf numFmtId="14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44" fontId="0" fillId="0" borderId="5" xfId="0" applyNumberFormat="1" applyBorder="1"/>
    <xf numFmtId="44" fontId="0" fillId="0" borderId="6" xfId="0" applyNumberFormat="1" applyBorder="1"/>
    <xf numFmtId="44" fontId="0" fillId="0" borderId="6" xfId="1" applyFont="1" applyBorder="1"/>
    <xf numFmtId="44" fontId="0" fillId="0" borderId="7" xfId="0" applyNumberFormat="1" applyBorder="1"/>
    <xf numFmtId="0" fontId="0" fillId="0" borderId="2" xfId="2" applyNumberFormat="1" applyFont="1" applyBorder="1" applyAlignment="1">
      <alignment horizontal="center" vertical="center" wrapText="1"/>
    </xf>
    <xf numFmtId="14" fontId="0" fillId="0" borderId="3" xfId="1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4" xfId="2" applyNumberFormat="1" applyFont="1" applyBorder="1" applyAlignment="1">
      <alignment horizontal="center" vertical="center"/>
    </xf>
    <xf numFmtId="44" fontId="0" fillId="0" borderId="4" xfId="1" applyFont="1" applyBorder="1" applyAlignment="1">
      <alignment horizontal="center" vertical="center"/>
    </xf>
    <xf numFmtId="14" fontId="0" fillId="0" borderId="9" xfId="1" applyNumberFormat="1" applyFont="1" applyBorder="1" applyAlignment="1">
      <alignment horizontal="center" vertical="center"/>
    </xf>
    <xf numFmtId="44" fontId="0" fillId="0" borderId="4" xfId="0" applyNumberFormat="1" applyBorder="1" applyAlignment="1">
      <alignment horizontal="center" vertical="center"/>
    </xf>
    <xf numFmtId="164" fontId="0" fillId="0" borderId="4" xfId="1" applyNumberFormat="1" applyFont="1" applyBorder="1" applyAlignment="1">
      <alignment horizontal="center" vertical="center"/>
    </xf>
    <xf numFmtId="0" fontId="0" fillId="0" borderId="6" xfId="2" applyNumberFormat="1" applyFont="1" applyBorder="1" applyAlignment="1">
      <alignment horizontal="center" vertical="center"/>
    </xf>
    <xf numFmtId="14" fontId="0" fillId="0" borderId="7" xfId="1" applyNumberFormat="1" applyFont="1" applyBorder="1" applyAlignment="1">
      <alignment horizontal="center" vertical="center"/>
    </xf>
    <xf numFmtId="44" fontId="0" fillId="0" borderId="6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0" fillId="0" borderId="0" xfId="2" applyNumberFormat="1" applyFont="1"/>
    <xf numFmtId="14" fontId="0" fillId="0" borderId="5" xfId="0" applyNumberFormat="1" applyBorder="1" applyAlignment="1">
      <alignment horizontal="center" vertical="center"/>
    </xf>
    <xf numFmtId="0" fontId="0" fillId="7" borderId="4" xfId="0" applyFill="1" applyBorder="1"/>
    <xf numFmtId="44" fontId="0" fillId="4" borderId="4" xfId="1" applyFont="1" applyFill="1" applyBorder="1"/>
    <xf numFmtId="10" fontId="0" fillId="0" borderId="4" xfId="1" applyNumberFormat="1" applyFont="1" applyBorder="1" applyAlignment="1">
      <alignment horizontal="center" vertical="center"/>
    </xf>
    <xf numFmtId="14" fontId="0" fillId="0" borderId="4" xfId="1" applyNumberFormat="1" applyFont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14" fontId="0" fillId="0" borderId="7" xfId="0" applyNumberFormat="1" applyBorder="1" applyAlignment="1">
      <alignment horizontal="center" vertical="center"/>
    </xf>
    <xf numFmtId="165" fontId="0" fillId="10" borderId="4" xfId="0" applyNumberFormat="1" applyFill="1" applyBorder="1"/>
    <xf numFmtId="14" fontId="0" fillId="0" borderId="7" xfId="0" applyNumberFormat="1" applyBorder="1"/>
    <xf numFmtId="0" fontId="0" fillId="9" borderId="4" xfId="0" applyFill="1" applyBorder="1" applyAlignment="1">
      <alignment horizontal="center" vertical="center" wrapText="1"/>
    </xf>
    <xf numFmtId="0" fontId="4" fillId="0" borderId="0" xfId="0" applyFont="1"/>
    <xf numFmtId="166" fontId="0" fillId="10" borderId="4" xfId="0" applyNumberFormat="1" applyFill="1" applyBorder="1"/>
    <xf numFmtId="9" fontId="0" fillId="0" borderId="0" xfId="0" applyNumberFormat="1"/>
    <xf numFmtId="0" fontId="0" fillId="6" borderId="1" xfId="0" applyFill="1" applyBorder="1" applyAlignment="1">
      <alignment horizontal="center" vertical="center"/>
    </xf>
    <xf numFmtId="0" fontId="0" fillId="11" borderId="8" xfId="0" applyFill="1" applyBorder="1" applyAlignment="1">
      <alignment horizontal="center" vertical="center"/>
    </xf>
    <xf numFmtId="0" fontId="0" fillId="11" borderId="5" xfId="0" applyFill="1" applyBorder="1" applyAlignment="1">
      <alignment horizontal="center" vertical="center"/>
    </xf>
    <xf numFmtId="10" fontId="0" fillId="0" borderId="4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9" borderId="4" xfId="0" applyNumberFormat="1" applyFill="1" applyBorder="1" applyAlignment="1">
      <alignment horizontal="center" vertical="center" wrapText="1"/>
    </xf>
    <xf numFmtId="166" fontId="0" fillId="10" borderId="4" xfId="0" applyNumberFormat="1" applyFill="1" applyBorder="1" applyAlignment="1">
      <alignment wrapText="1"/>
    </xf>
    <xf numFmtId="0" fontId="0" fillId="14" borderId="4" xfId="0" applyFill="1" applyBorder="1" applyAlignment="1">
      <alignment horizontal="center" vertical="center"/>
    </xf>
    <xf numFmtId="44" fontId="0" fillId="13" borderId="4" xfId="0" applyNumberForma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 wrapText="1"/>
    </xf>
    <xf numFmtId="44" fontId="0" fillId="6" borderId="4" xfId="0" applyNumberFormat="1" applyFill="1" applyBorder="1"/>
    <xf numFmtId="44" fontId="0" fillId="0" borderId="4" xfId="0" applyNumberFormat="1" applyBorder="1"/>
    <xf numFmtId="14" fontId="0" fillId="0" borderId="4" xfId="0" applyNumberFormat="1" applyBorder="1" applyAlignment="1">
      <alignment horizontal="center" vertical="center"/>
    </xf>
    <xf numFmtId="0" fontId="0" fillId="16" borderId="4" xfId="0" applyFill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0" fontId="6" fillId="15" borderId="2" xfId="0" applyFont="1" applyFill="1" applyBorder="1" applyAlignment="1">
      <alignment horizontal="center" vertical="center"/>
    </xf>
    <xf numFmtId="44" fontId="1" fillId="0" borderId="6" xfId="1" applyBorder="1" applyAlignment="1">
      <alignment horizontal="center" vertical="center"/>
    </xf>
    <xf numFmtId="165" fontId="0" fillId="0" borderId="6" xfId="0" applyNumberFormat="1" applyBorder="1"/>
    <xf numFmtId="10" fontId="0" fillId="13" borderId="4" xfId="3" applyNumberFormat="1" applyFont="1" applyFill="1" applyBorder="1" applyAlignment="1">
      <alignment horizontal="center" vertical="center"/>
    </xf>
    <xf numFmtId="44" fontId="1" fillId="0" borderId="6" xfId="1" applyBorder="1"/>
    <xf numFmtId="0" fontId="0" fillId="0" borderId="10" xfId="0" applyBorder="1"/>
    <xf numFmtId="0" fontId="0" fillId="0" borderId="3" xfId="0" applyBorder="1"/>
    <xf numFmtId="0" fontId="0" fillId="0" borderId="11" xfId="0" applyBorder="1"/>
    <xf numFmtId="0" fontId="1" fillId="0" borderId="6" xfId="2" applyNumberFormat="1" applyBorder="1" applyAlignment="1">
      <alignment horizontal="center" vertical="center"/>
    </xf>
    <xf numFmtId="44" fontId="0" fillId="0" borderId="0" xfId="1" applyFont="1" applyAlignment="1">
      <alignment horizontal="center" vertical="center"/>
    </xf>
    <xf numFmtId="167" fontId="0" fillId="0" borderId="6" xfId="0" applyNumberFormat="1" applyBorder="1" applyAlignment="1">
      <alignment horizontal="center" vertical="center"/>
    </xf>
    <xf numFmtId="16" fontId="0" fillId="0" borderId="5" xfId="0" applyNumberFormat="1" applyBorder="1" applyAlignment="1">
      <alignment horizontal="center" vertical="center"/>
    </xf>
    <xf numFmtId="168" fontId="0" fillId="0" borderId="6" xfId="0" applyNumberFormat="1" applyBorder="1" applyAlignment="1">
      <alignment horizontal="center" vertical="center"/>
    </xf>
    <xf numFmtId="0" fontId="5" fillId="12" borderId="0" xfId="0" applyFont="1" applyFill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12" borderId="0" xfId="0" applyFill="1"/>
    <xf numFmtId="166" fontId="0" fillId="0" borderId="0" xfId="0" applyNumberFormat="1"/>
    <xf numFmtId="0" fontId="0" fillId="0" borderId="4" xfId="0" applyBorder="1" applyAlignment="1">
      <alignment horizontal="left" vertical="center"/>
    </xf>
    <xf numFmtId="165" fontId="0" fillId="0" borderId="4" xfId="0" applyNumberForma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44" fontId="0" fillId="0" borderId="4" xfId="1" applyFont="1" applyBorder="1"/>
    <xf numFmtId="165" fontId="0" fillId="0" borderId="4" xfId="1" applyNumberFormat="1" applyFont="1" applyBorder="1"/>
    <xf numFmtId="14" fontId="0" fillId="0" borderId="9" xfId="0" applyNumberFormat="1" applyBorder="1"/>
    <xf numFmtId="44" fontId="1" fillId="0" borderId="4" xfId="1" applyBorder="1"/>
    <xf numFmtId="166" fontId="0" fillId="0" borderId="4" xfId="0" applyNumberFormat="1" applyBorder="1"/>
    <xf numFmtId="165" fontId="0" fillId="0" borderId="4" xfId="0" applyNumberFormat="1" applyBorder="1"/>
    <xf numFmtId="0" fontId="5" fillId="0" borderId="8" xfId="0" applyFont="1" applyBorder="1" applyAlignment="1">
      <alignment horizontal="left" vertical="center"/>
    </xf>
    <xf numFmtId="43" fontId="1" fillId="0" borderId="0" xfId="2"/>
    <xf numFmtId="10" fontId="0" fillId="0" borderId="2" xfId="3" applyNumberFormat="1" applyFont="1" applyBorder="1" applyAlignment="1">
      <alignment horizontal="center" vertical="center"/>
    </xf>
    <xf numFmtId="10" fontId="0" fillId="0" borderId="9" xfId="0" applyNumberFormat="1" applyBorder="1" applyAlignment="1">
      <alignment horizontal="center" vertical="center"/>
    </xf>
    <xf numFmtId="14" fontId="0" fillId="0" borderId="0" xfId="0" applyNumberFormat="1"/>
    <xf numFmtId="169" fontId="0" fillId="0" borderId="0" xfId="3" applyNumberFormat="1" applyFont="1"/>
    <xf numFmtId="44" fontId="1" fillId="0" borderId="0" xfId="1"/>
    <xf numFmtId="0" fontId="4" fillId="0" borderId="2" xfId="4" applyFont="1" applyBorder="1" applyAlignment="1">
      <alignment horizontal="center" vertical="center"/>
    </xf>
    <xf numFmtId="0" fontId="0" fillId="17" borderId="4" xfId="0" applyFill="1" applyBorder="1"/>
    <xf numFmtId="0" fontId="0" fillId="18" borderId="4" xfId="0" applyFill="1" applyBorder="1"/>
    <xf numFmtId="44" fontId="0" fillId="0" borderId="2" xfId="3" applyNumberFormat="1" applyFont="1" applyBorder="1" applyAlignment="1">
      <alignment horizontal="center" vertical="center"/>
    </xf>
    <xf numFmtId="170" fontId="0" fillId="0" borderId="2" xfId="0" applyNumberFormat="1" applyBorder="1" applyAlignment="1">
      <alignment horizontal="center" vertical="center"/>
    </xf>
    <xf numFmtId="0" fontId="0" fillId="19" borderId="4" xfId="0" applyFill="1" applyBorder="1" applyAlignment="1">
      <alignment horizontal="center" vertical="center"/>
    </xf>
    <xf numFmtId="14" fontId="0" fillId="19" borderId="8" xfId="0" applyNumberFormat="1" applyFill="1" applyBorder="1" applyAlignment="1">
      <alignment horizontal="center" vertical="center"/>
    </xf>
    <xf numFmtId="44" fontId="0" fillId="19" borderId="4" xfId="1" applyFont="1" applyFill="1" applyBorder="1" applyAlignment="1">
      <alignment horizontal="center" vertical="center"/>
    </xf>
    <xf numFmtId="44" fontId="0" fillId="0" borderId="2" xfId="0" applyNumberFormat="1" applyBorder="1" applyAlignment="1">
      <alignment horizontal="center" vertical="center"/>
    </xf>
    <xf numFmtId="44" fontId="0" fillId="12" borderId="4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0" fillId="0" borderId="12" xfId="0" applyBorder="1"/>
    <xf numFmtId="0" fontId="0" fillId="0" borderId="8" xfId="0" applyBorder="1"/>
    <xf numFmtId="0" fontId="2" fillId="4" borderId="4" xfId="0" applyFont="1" applyFill="1" applyBorder="1" applyAlignment="1">
      <alignment horizontal="center" vertical="center"/>
    </xf>
    <xf numFmtId="0" fontId="0" fillId="0" borderId="10" xfId="0" applyBorder="1"/>
    <xf numFmtId="0" fontId="0" fillId="0" borderId="5" xfId="0" applyBorder="1"/>
    <xf numFmtId="0" fontId="0" fillId="0" borderId="3" xfId="0" applyBorder="1"/>
    <xf numFmtId="0" fontId="0" fillId="0" borderId="11" xfId="0" applyBorder="1"/>
    <xf numFmtId="0" fontId="0" fillId="0" borderId="1" xfId="0" applyBorder="1"/>
    <xf numFmtId="0" fontId="0" fillId="0" borderId="0" xfId="0" applyAlignment="1">
      <alignment vertical="top" wrapText="1"/>
    </xf>
    <xf numFmtId="0" fontId="0" fillId="0" borderId="0" xfId="0"/>
    <xf numFmtId="0" fontId="0" fillId="0" borderId="0" xfId="0" applyAlignment="1">
      <alignment horizontal="left" vertical="top" wrapText="1"/>
    </xf>
    <xf numFmtId="0" fontId="5" fillId="12" borderId="4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44" fontId="0" fillId="12" borderId="6" xfId="1" applyFont="1" applyFill="1" applyBorder="1" applyAlignment="1">
      <alignment horizontal="center" vertical="center" wrapText="1"/>
    </xf>
    <xf numFmtId="44" fontId="0" fillId="12" borderId="2" xfId="1" applyFont="1" applyFill="1" applyBorder="1" applyAlignment="1">
      <alignment horizontal="center" vertical="center" wrapText="1"/>
    </xf>
    <xf numFmtId="0" fontId="0" fillId="12" borderId="4" xfId="0" applyFill="1" applyBorder="1" applyAlignment="1">
      <alignment horizontal="center" vertical="center" wrapText="1"/>
    </xf>
    <xf numFmtId="0" fontId="0" fillId="0" borderId="2" xfId="0" applyBorder="1"/>
    <xf numFmtId="0" fontId="0" fillId="5" borderId="6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</cellXfs>
  <cellStyles count="5">
    <cellStyle name="Hiperlink" xfId="4" builtinId="8"/>
    <cellStyle name="Moeda" xfId="1" builtinId="4"/>
    <cellStyle name="Normal" xfId="0" builtinId="0"/>
    <cellStyle name="Porcentagem" xfId="3" builtinId="5"/>
    <cellStyle name="Vírgula" xfId="2" builtinId="3"/>
  </cellStyles>
  <dxfs count="122">
    <dxf>
      <fill>
        <patternFill>
          <bgColor rgb="FFFF0000"/>
        </patternFill>
      </fill>
    </dxf>
    <dxf>
      <fill>
        <patternFill>
          <bgColor theme="6" tint="0.59996337778862885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9" formatCode="0.0%"/>
    </dxf>
    <dxf>
      <numFmt numFmtId="19" formatCode="dd/mm/yyyy"/>
    </dxf>
    <dxf>
      <numFmt numFmtId="19" formatCode="dd/mm/yyyy"/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4" formatCode="_-&quot;R$&quot;\ * #,##0.00_-;\-&quot;R$&quot;\ * #,##0.00_-;_-&quot;R$&quot;\ * &quot;-&quot;??_-;_-@_-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4" formatCode="_-&quot;R$&quot;\ * #,##0.00_-;\-&quot;R$&quot;\ * #,##0.00_-;_-&quot;R$&quot;\ * &quot;-&quot;??_-;_-@_-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34" formatCode="_-&quot;R$&quot;\ * #,##0.00_-;\-&quot;R$&quot;\ * #,##0.00_-;_-&quot;R$&quot;\ * &quot;-&quot;??_-;_-@_-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numFmt numFmtId="19" formatCode="dd/mm/yyyy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</dxf>
    <dxf>
      <border>
        <bottom style="thin">
          <color indexed="64"/>
        </bottom>
      </border>
    </dxf>
    <dxf>
      <alignment horizontal="center" vertical="center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 vertical="center" wrapText="1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/>
    </dxf>
    <dxf>
      <numFmt numFmtId="19" formatCode="dd/mm/yyyy"/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alignment horizontal="center" vertical="center"/>
    </dxf>
    <dxf>
      <alignment horizontal="center" vertical="center"/>
    </dxf>
    <dxf>
      <alignment horizontal="center" vertical="center"/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</dxf>
    <dxf>
      <border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</dxf>
    <dxf>
      <border>
        <bottom style="thin">
          <color indexed="64"/>
        </bottom>
      </border>
    </dxf>
    <dxf>
      <alignment horizontal="center" vertical="center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9" formatCode="dd/mm/yyyy"/>
      <alignment horizontal="center" vertical="center" textRotation="0" wrapText="0" indent="0" justifyLastLine="0" shrinkToFit="0" readingOrder="0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outline="0">
        <left/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numFmt numFmtId="19" formatCode="dd/mm/yyyy"/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numFmt numFmtId="14" formatCode="0.00%"/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</dxf>
    <dxf>
      <border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numFmt numFmtId="34" formatCode="_-&quot;R$&quot;\ * #,##0.00_-;\-&quot;R$&quot;\ * #,##0.00_-;_-&quot;R$&quot;\ * &quot;-&quot;??_-;_-@_-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4" formatCode="_-&quot;R$&quot;\ * #,##0.00_-;\-&quot;R$&quot;\ * #,##0.00_-;_-&quot;R$&quot;\ * &quot;-&quot;??_-;_-@_-"/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</dxf>
    <dxf>
      <border>
        <bottom style="thin">
          <color indexed="64"/>
        </bottom>
      </border>
    </dxf>
    <dxf>
      <alignment horizontal="center" vertical="center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 vertical="center" wrapText="1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/>
        <right style="thin">
          <color indexed="64"/>
        </right>
        <top style="thin">
          <color indexed="64"/>
        </top>
        <bottom/>
      </border>
    </dxf>
    <dxf>
      <alignment horizontal="center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</dxf>
    <dxf>
      <border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microsoft.com/office/2017/06/relationships/rdRichValue" Target="richData/rdrichvalue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microsoft.com/office/2017/06/relationships/rdSupportingPropertyBag" Target="richData/rdsupportingpropertybag.xml"/><Relationship Id="rId2" Type="http://schemas.openxmlformats.org/officeDocument/2006/relationships/worksheet" Target="worksheets/sheet2.xml"/><Relationship Id="rId16" Type="http://schemas.microsoft.com/office/2017/06/relationships/rdSupportingPropertyBagStructure" Target="richData/rdsupportingpropertybagstructure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17/06/relationships/richStyles" Target="richData/richStyles.xml"/><Relationship Id="rId10" Type="http://schemas.openxmlformats.org/officeDocument/2006/relationships/styles" Target="styles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06/relationships/rdRichValueStructure" Target="richData/rdrichvaluestructur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Financeiro</a:t>
            </a:r>
          </a:p>
        </c:rich>
      </c:tx>
      <c:layout>
        <c:manualLayout>
          <c:xMode val="edge"/>
          <c:yMode val="edge"/>
          <c:x val="0.38059711286089237"/>
          <c:y val="0.1620370370370370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Financeiro!$A$4</c:f>
              <c:strCache>
                <c:ptCount val="1"/>
                <c:pt idx="0">
                  <c:v>Capital investido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Financeiro!$A$5</c:f>
              <c:numCache>
                <c:formatCode>_("R$"* #,##0.00_);_("R$"* \(#,##0.00\);_("R$"* "-"??_);_(@_)</c:formatCode>
                <c:ptCount val="1"/>
                <c:pt idx="0">
                  <c:v>478.23608854903347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C3-414A-985A-DCA43B147614}"/>
            </c:ext>
          </c:extLst>
        </c:ser>
        <c:ser>
          <c:idx val="1"/>
          <c:order val="1"/>
          <c:tx>
            <c:strRef>
              <c:f>Financeiro!$B$4</c:f>
              <c:strCache>
                <c:ptCount val="1"/>
                <c:pt idx="0">
                  <c:v>Capital 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Financeiro!$B$5</c:f>
              <c:numCache>
                <c:formatCode>_("R$"* #,##0.00_);_("R$"* \(#,##0.00\);_("R$"* "-"??_);_(@_)</c:formatCode>
                <c:ptCount val="1"/>
                <c:pt idx="0">
                  <c:v>480.86117192080116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C3-414A-985A-DCA43B147614}"/>
            </c:ext>
          </c:extLst>
        </c:ser>
        <c:ser>
          <c:idx val="2"/>
          <c:order val="2"/>
          <c:tx>
            <c:strRef>
              <c:f>Financeiro!$C$4</c:f>
              <c:strCache>
                <c:ptCount val="1"/>
                <c:pt idx="0">
                  <c:v>Lucro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Financeiro!$C$5</c:f>
              <c:numCache>
                <c:formatCode>_("R$"* #,##0.00_);_("R$"* \(#,##0.00\);_("R$"* "-"??_);_(@_)</c:formatCode>
                <c:ptCount val="1"/>
                <c:pt idx="0">
                  <c:v>2.6250833717677109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C3-414A-985A-DCA43B147614}"/>
            </c:ext>
          </c:extLst>
        </c:ser>
        <c:ser>
          <c:idx val="3"/>
          <c:order val="3"/>
          <c:tx>
            <c:strRef>
              <c:f>Financeiro!$D$4</c:f>
              <c:strCache>
                <c:ptCount val="1"/>
                <c:pt idx="0">
                  <c:v>Pagamento De funcionários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Financeiro!$D$5</c:f>
              <c:numCache>
                <c:formatCode>_("R$"* #,##0.00_);_("R$"* \(#,##0.00\);_("R$"* "-"??_);_(@_)</c:formatCode>
                <c:ptCount val="1"/>
                <c:pt idx="0">
                  <c:v>3.4299999999999997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4C3-414A-985A-DCA43B147614}"/>
            </c:ext>
          </c:extLst>
        </c:ser>
        <c:ser>
          <c:idx val="4"/>
          <c:order val="4"/>
          <c:tx>
            <c:strRef>
              <c:f>Financeiro!$E$4</c:f>
              <c:strCache>
                <c:ptCount val="1"/>
                <c:pt idx="0">
                  <c:v>Ultimo salário pago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Financeiro!$E$5</c:f>
              <c:numCache>
                <c:formatCode>_("R$"* #,##0.00_);_("R$"* \(#,##0.00\);_("R$"* "-"??_);_(@_)</c:formatCode>
                <c:ptCount val="1"/>
                <c:pt idx="0">
                  <c:v>1.25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4C3-414A-985A-DCA43B147614}"/>
            </c:ext>
          </c:extLst>
        </c:ser>
        <c:ser>
          <c:idx val="5"/>
          <c:order val="5"/>
          <c:tx>
            <c:strRef>
              <c:f>Financeiro!$F$4</c:f>
              <c:strCache>
                <c:ptCount val="1"/>
                <c:pt idx="0">
                  <c:v>Saldo em caixa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Financeiro!$F$5</c:f>
              <c:numCache>
                <c:formatCode>_("R$"* #,##0.00_);_("R$"* \(#,##0.00\);_("R$"* "-"??_);_(@_)</c:formatCode>
                <c:ptCount val="1"/>
                <c:pt idx="0">
                  <c:v>480.86117192080116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4C3-414A-985A-DCA43B147614}"/>
            </c:ext>
          </c:extLst>
        </c:ser>
        <c:ser>
          <c:idx val="6"/>
          <c:order val="6"/>
          <c:tx>
            <c:strRef>
              <c:f>Financeiro!$G$4</c:f>
              <c:strCache>
                <c:ptCount val="1"/>
                <c:pt idx="0">
                  <c:v>Saldo Projetado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Financeiro!$G$5</c:f>
              <c:numCache>
                <c:formatCode>_("R$"* #,##0.00_);_("R$"* \(#,##0.00\);_("R$"*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94-45D6-95EB-7454F60D2E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6055040"/>
        <c:axId val="166039680"/>
      </c:barChart>
      <c:catAx>
        <c:axId val="1660550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6039680"/>
        <c:crosses val="autoZero"/>
        <c:auto val="1"/>
        <c:lblAlgn val="ctr"/>
        <c:lblOffset val="100"/>
        <c:noMultiLvlLbl val="0"/>
      </c:catAx>
      <c:valAx>
        <c:axId val="166039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6055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Financeiro!$J$4</c:f>
              <c:strCache>
                <c:ptCount val="1"/>
                <c:pt idx="0">
                  <c:v>CDB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Financeiro!$J$6</c:f>
              <c:numCache>
                <c:formatCode>_("R$"* #,##0.00_);_("R$"* \(#,##0.00\);_("R$"* "-"??_);_(@_)</c:formatCode>
                <c:ptCount val="1"/>
                <c:pt idx="0">
                  <c:v>108.34608854903348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F1-400B-95D9-FD24EF8ED546}"/>
            </c:ext>
          </c:extLst>
        </c:ser>
        <c:ser>
          <c:idx val="1"/>
          <c:order val="1"/>
          <c:tx>
            <c:strRef>
              <c:f>Financeiro!$K$4</c:f>
              <c:strCache>
                <c:ptCount val="1"/>
                <c:pt idx="0">
                  <c:v>Ação/BDR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Financeiro!$K$6</c:f>
              <c:numCache>
                <c:formatCode>_("R$"* #,##0.00_);_("R$"* \(#,##0.00\);_("R$"* "-"??_);_(@_)</c:formatCode>
                <c:ptCount val="1"/>
                <c:pt idx="0">
                  <c:v>90.630000000000052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F1-400B-95D9-FD24EF8ED546}"/>
            </c:ext>
          </c:extLst>
        </c:ser>
        <c:ser>
          <c:idx val="2"/>
          <c:order val="2"/>
          <c:tx>
            <c:strRef>
              <c:f>Financeiro!$L$4</c:f>
              <c:strCache>
                <c:ptCount val="1"/>
                <c:pt idx="0">
                  <c:v>Dolar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Financeiro!$L$6</c:f>
              <c:numCache>
                <c:formatCode>_("R$"* #,##0.00_);_("R$"* \(#,##0.00\);_("R$"* "-"??_);_(@_)</c:formatCode>
                <c:ptCount val="1"/>
                <c:pt idx="0">
                  <c:v>124.66508337176771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6F1-400B-95D9-FD24EF8ED546}"/>
            </c:ext>
          </c:extLst>
        </c:ser>
        <c:ser>
          <c:idx val="3"/>
          <c:order val="3"/>
          <c:tx>
            <c:strRef>
              <c:f>Financeiro!$M$4</c:f>
              <c:strCache>
                <c:ptCount val="1"/>
                <c:pt idx="0">
                  <c:v>FII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Financeiro!$M$6</c:f>
              <c:numCache>
                <c:formatCode>_("R$"* #,##0.00_);_("R$"* \(#,##0.00\);_("R$"* "-"??_);_(@_)</c:formatCode>
                <c:ptCount val="1"/>
                <c:pt idx="0">
                  <c:v>81.71999999999997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6F1-400B-95D9-FD24EF8ED546}"/>
            </c:ext>
          </c:extLst>
        </c:ser>
        <c:ser>
          <c:idx val="4"/>
          <c:order val="4"/>
          <c:tx>
            <c:strRef>
              <c:f>Financeiro!$N$4</c:f>
              <c:strCache>
                <c:ptCount val="1"/>
                <c:pt idx="0">
                  <c:v>Caixa 2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Financeiro!$N$6</c:f>
              <c:numCache>
                <c:formatCode>_("R$"* #,##0.00_);_("R$"* \(#,##0.00\);_("R$"* "-"??_);_(@_)</c:formatCode>
                <c:ptCount val="1"/>
                <c:pt idx="0">
                  <c:v>5.910000000000025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6F1-400B-95D9-FD24EF8ED546}"/>
            </c:ext>
          </c:extLst>
        </c:ser>
        <c:ser>
          <c:idx val="5"/>
          <c:order val="5"/>
          <c:tx>
            <c:strRef>
              <c:f>Financeiro!$O$4</c:f>
              <c:strCache>
                <c:ptCount val="1"/>
                <c:pt idx="0">
                  <c:v>Empréstimo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Financeiro!$O$6</c:f>
              <c:numCache>
                <c:formatCode>_("R$"* #,##0.00_);_("R$"* \(#,##0.00\);_("R$"* "-"??_);_(@_)</c:formatCode>
                <c:ptCount val="1"/>
                <c:pt idx="0">
                  <c:v>3.4599999999999795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6F1-400B-95D9-FD24EF8ED546}"/>
            </c:ext>
          </c:extLst>
        </c:ser>
        <c:ser>
          <c:idx val="6"/>
          <c:order val="6"/>
          <c:tx>
            <c:strRef>
              <c:f>Financeiro!$P$4</c:f>
              <c:strCache>
                <c:ptCount val="1"/>
                <c:pt idx="0">
                  <c:v>Despesas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Financeiro!$P$6</c:f>
              <c:numCache>
                <c:formatCode>_("R$"* #,##0.00_);_("R$"* \(#,##0.00\);_("R$"* "-"??_);_(@_)</c:formatCode>
                <c:ptCount val="1"/>
                <c:pt idx="0">
                  <c:v>6.4699999999999704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6F1-400B-95D9-FD24EF8ED546}"/>
            </c:ext>
          </c:extLst>
        </c:ser>
        <c:ser>
          <c:idx val="7"/>
          <c:order val="7"/>
          <c:tx>
            <c:strRef>
              <c:f>Financeiro!$Q$4</c:f>
              <c:strCache>
                <c:ptCount val="1"/>
                <c:pt idx="0">
                  <c:v>Day trader</c:v>
                </c:pt>
              </c:strCache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Financeiro!$Q$6</c:f>
              <c:numCache>
                <c:formatCode>_("R$"* #,##0.00_);_("R$"* \(#,##0.00\);_("R$"*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6F1-400B-95D9-FD24EF8ED54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021640784"/>
        <c:axId val="1021641264"/>
      </c:barChart>
      <c:catAx>
        <c:axId val="10216407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21641264"/>
        <c:crosses val="autoZero"/>
        <c:auto val="1"/>
        <c:lblAlgn val="ctr"/>
        <c:lblOffset val="100"/>
        <c:noMultiLvlLbl val="0"/>
      </c:catAx>
      <c:valAx>
        <c:axId val="102164126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021640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6</xdr:row>
      <xdr:rowOff>157162</xdr:rowOff>
    </xdr:from>
    <xdr:to>
      <xdr:col>6</xdr:col>
      <xdr:colOff>123825</xdr:colOff>
      <xdr:row>21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104775</xdr:colOff>
      <xdr:row>7</xdr:row>
      <xdr:rowOff>52387</xdr:rowOff>
    </xdr:from>
    <xdr:to>
      <xdr:col>14</xdr:col>
      <xdr:colOff>342900</xdr:colOff>
      <xdr:row>21</xdr:row>
      <xdr:rowOff>128587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646E7A8-44AF-C472-EA02-C0F2573D9A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368431def48b862b/Banco%20G&#234;nio/Empr&#233;stimos.xlsx" TargetMode="External"/><Relationship Id="rId1" Type="http://schemas.openxmlformats.org/officeDocument/2006/relationships/externalLinkPath" Target="Empr&#233;stim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lientes"/>
      <sheetName val="Base Clientes"/>
      <sheetName val="Encargos"/>
      <sheetName val="Financeiro"/>
      <sheetName val="Empréstimos"/>
    </sheetNames>
    <sheetDataSet>
      <sheetData sheetId="0"/>
      <sheetData sheetId="1"/>
      <sheetData sheetId="2"/>
      <sheetData sheetId="3"/>
      <sheetData sheetId="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linkedentity">
      <keyFlags>
        <key name="%cvi">
          <flag name="ShowInCardView" value="0"/>
          <flag name="ShowInDotNotation" value="0"/>
          <flag name="ShowInAutoComplete" value="0"/>
          <flag name="ExcludeFromCalcComparison" value="1"/>
        </key>
      </keyFlags>
    </type>
    <type name="_linkedentitycore">
      <keyFlags>
        <key name="%EntityServiceId">
          <flag name="ShowInCardView" value="0"/>
          <flag name="ShowInDotNotation" value="0"/>
          <flag name="ShowInAutoComplete" value="0"/>
        </key>
        <key name="%EntitySubDomainId">
          <flag name="ShowInCardView" value="0"/>
          <flag name="ShowInDotNotation" value="0"/>
          <flag name="ShowInAutoComplete" value="0"/>
        </key>
        <key name="%EntityCulture">
          <flag name="ShowInCardView" value="0"/>
          <flag name="ShowInDotNotation" value="0"/>
          <flag name="ShowInAutoComplete" value="0"/>
        </key>
        <key name="%EntityId">
          <flag name="ShowInCardView" value="0"/>
          <flag name="ShowInDotNotation" value="0"/>
          <flag name="ShowInAutoComplete" value="0"/>
        </key>
        <key name="%IsRefreshable">
          <flag name="ShowInCardView" value="0"/>
          <flag name="ShowInAutoComplete" value="0"/>
          <flag name="ExcludeFromCalcComparison" value="1"/>
        </key>
        <key name="%ProviderInfo">
          <flag name="ShowInCardView" value="0"/>
          <flag name="ShowInDotNotation" value="0"/>
          <flag name="ShowInAutoComplete" value="0"/>
        </key>
        <key name="%DataProviderExternalLinkLogo">
          <flag name="ShowInCardView" value="0"/>
          <flag name="ShowInDotNotation" value="0"/>
          <flag name="ShowInAutoComplete" value="0"/>
        </key>
        <key name="%DataProviderExternalLink">
          <flag name="ShowInCardView" value="0"/>
          <flag name="ShowInDotNotation" value="0"/>
          <flag name="ShowInAutoComplete" value="0"/>
        </key>
        <key name="%OutdatedReason">
          <flag name="ShowInCardView" value="0"/>
          <flag name="ShowInDotNotation" value="0"/>
          <flag name="ShowInAutoComplete" value="0"/>
          <flag name="ExcludeFromCalcComparison" value="1"/>
        </key>
      </keyFlags>
    </type>
  </types>
</rvTypesInfo>
</file>

<file path=xl/richData/rdrichvalue.xml><?xml version="1.0" encoding="utf-8"?>
<rvData xmlns="http://schemas.microsoft.com/office/spreadsheetml/2017/richdata" count="22">
  <rv s="0">
    <v>pt-BR</v>
    <v>avylgh</v>
    <v>268435456</v>
    <v>1</v>
    <v>Da plataforma Refinitiv</v>
    <v>0</v>
    <v>1</v>
    <v>USD/BRL</v>
    <v>3</v>
    <v>4</v>
    <v>Finance</v>
    <v>5</v>
    <v>6.3139000000000003</v>
    <v>4.9649000000000001</v>
    <v>5.7469999999999999</v>
    <v>5.7394999999999996</v>
    <v>USD</v>
    <v>5.7451999999999996</v>
    <v>45743.895752314813</v>
    <v>BRL</v>
    <v>US Dollar/Brazilian Real FX Spot Rate</v>
    <v>5.7454999999999998</v>
    <v>5.74</v>
    <v>USDBRL</v>
    <v>Par de Moedas</v>
    <v>USD/BRL</v>
    <v>-5.1999999999999998E-3</v>
    <v>-9.0509999999999994E-4</v>
  </rv>
  <rv s="1">
    <v>0</v>
  </rv>
  <rv s="2">
    <v>https://www.bing.com/financeapi/forcetrigger?t=apn14c&amp;q=BVMF%3aMXRF11&amp;form=skydnc</v>
    <v>Learn more on Bing</v>
  </rv>
  <rv s="3">
    <v>pt-BR</v>
    <v>apn14c</v>
    <v>268435456</v>
    <v>1</v>
    <v>Da plataforma Refinitiv</v>
    <v>6</v>
    <v>7</v>
    <v>MAXI RENDA FII ETF (BVMF:MXRF11)</v>
    <v>8</v>
    <v>9</v>
    <v>Finance</v>
    <v>10</v>
    <v>9.61</v>
    <v>8.5</v>
    <v>BVMF</v>
    <v>9.1</v>
    <v>9.06</v>
    <v>B3 - Brazil Stock Exchange</v>
    <v>9.07</v>
    <v>45743.947916666664</v>
    <v>2</v>
    <v>BRL</v>
    <v>MAXI RENDA FII ETF</v>
    <v>9.07</v>
    <v>9.08</v>
    <v>MXRF11</v>
    <v>Fundos mais negociados</v>
    <v>MAXI RENDA FII ETF (BVMF:MXRF11)</v>
    <v>0.01</v>
    <v>1.103E-3</v>
    <v>884446</v>
  </rv>
  <rv s="1">
    <v>3</v>
  </rv>
  <rv s="2">
    <v>https://www.bing.com/financeapi/forcetrigger?t=apninm&amp;q=BVMF%3aUCAS3&amp;form=skydnc</v>
    <v>Learn more on Bing</v>
  </rv>
  <rv s="4">
    <v>pt-BR</v>
    <v>apninm</v>
    <v>268435456</v>
    <v>1</v>
    <v>Da plataforma Refinitiv</v>
    <v>11</v>
    <v>12</v>
    <v>Unicasa Indústria de Móveis S/A (BVMF:UCAS3)</v>
    <v>13</v>
    <v>14</v>
    <v>Finance</v>
    <v>10</v>
    <v>2.4900000000000002</v>
    <v>1.39</v>
    <v>BVMF</v>
    <v>66086360</v>
    <v>1.7</v>
    <v>1985</v>
    <v>1.48</v>
    <v>0.50519999999999998</v>
    <v>B3 - Brazil Stock Exchange</v>
    <v>99790403</v>
    <v>A UNICASA INDÚSTRIA DE MÓVEIS S.A. é uma empresa brasileira que se dedica à produção e comércio de móveis. A empresa se dedica à fabricação, venda, importação e exportação de móveis de madeira, ferro, aço e alumínio. Atua principalmente na produção de móveis feitos de painéis de fibra de média densidade (MDF) e aglomerado de partículas de média densidade (MDP). Além disso, a empresa vende acessórios e itens de decoração. Seu portfólio de produtos inclui uma variedade de soluções de mobiliário, incluindo cozinhas, dormitórios, closets, home theaters, lavanderias e sanitários, assim como equipamentos de mobiliário para escritórios e quartos infantis. A empresa possui uma rede de lojas no Brasil e no exterior, que vendem seus produtos sob as marcas Dell Anno, Favorita, Novo e Telasul Madeira. Opera um parque industrial localizado na cidade de Bento Gonçalves, no estado brasileiro do Rio Grande do Sul.</v>
    <v>BVMF</v>
    <v>1.53</v>
    <v>532</v>
    <v>45743.947916666664</v>
    <v>5</v>
    <v>44900</v>
    <v>BRL</v>
    <v>Unicasa Indústria de Móveis S/A</v>
    <v>Unicasa Indústria de Móveis S/A</v>
    <v>1.53</v>
    <v>1.51</v>
    <v>Rodovia Federal BR-470 Km 212,930, Sao Vendelino, BENTO GONCALVES, RIO GRANDE DO SUL, 95.707-540 BR</v>
    <v>Household Goods</v>
    <v>UCAS3</v>
    <v>Ações</v>
    <v>Unicasa Indústria de Móveis S/A (BVMF:UCAS3)</v>
    <v>-0.02</v>
    <v>-1.3071999999999999E-2</v>
    <v>203300</v>
  </rv>
  <rv s="1">
    <v>6</v>
  </rv>
  <rv s="2">
    <v>https://www.bing.com/financeapi/forcetrigger?t=azh5a2&amp;q=BVMF%3aB3SA3&amp;form=skydnc</v>
    <v>Learn more on Bing</v>
  </rv>
  <rv s="4">
    <v>pt-BR</v>
    <v>azh5a2</v>
    <v>268435456</v>
    <v>1</v>
    <v>Da plataforma Refinitiv</v>
    <v>11</v>
    <v>12</v>
    <v>B3 S.A - Brasil, Bolsa, Balcão (BVMF:B3SA3)</v>
    <v>13</v>
    <v>14</v>
    <v>Finance</v>
    <v>10</v>
    <v>12.83</v>
    <v>8.89</v>
    <v>BVMF</v>
    <v>5426500000</v>
    <v>12.48</v>
    <v>2007</v>
    <v>12.31</v>
    <v>1.5262</v>
    <v>B3 - Brazil Stock Exchange</v>
    <v>67234335000</v>
    <v>B3 SA Brasil Bolsa Balcão, anteriormente BM &amp; F Bovespa SA Bolsa de Valores Mercadorias e Futuros, é uma fornecedora de infra-estruturaa de mercado financeiro no Brasil. As ofertas de serviços da Companhia varia entre negociação cambial, compensação e outros serviços pós-negociação e registro de transações de balcão (OTC). A Companhia também fornece um serviço de listagem e atua como depósito central de valores mobiliários (CSD). Desenvolve soluções de software e oferece serviços de licenciamento de índice. Seu negócio está dividido em quatro segmentos: Bovespa, que abrange a negociação, compensação e liquidação de ações e derivativos patrimoniais; BM &amp; F, que abrange a negociação, compensação e liquidação de derivativos financeiros e de mercadorias (commodities); Cetip Securities (Cetip UTVM), cobrindo os sistemas de registro, compensação, liquidação e custódia de títulos de renda fixa e derivados OTC e Cetip Financing (Cetip UFIN), que fornece um sistema eletrônico privado integrado para registro de empréstimos de veículos e imóveis.</v>
    <v>BVMF</v>
    <v>12.38</v>
    <v>2135</v>
    <v>45743.947916666664</v>
    <v>8</v>
    <v>65829530</v>
    <v>BRL</v>
    <v>B3 S.A - Brasil, Bolsa, Balcão</v>
    <v>B3 S.A - Brasil, Bolsa, Balcão</v>
    <v>12.41</v>
    <v>12.39</v>
    <v>Praca Antonio Prado, 48 7 andar, Centro, SAO PAULO, SAO PAULO, 01.010-901 BR</v>
    <v>Investment Banking &amp; Investment Services</v>
    <v>B3SA3</v>
    <v>Ações</v>
    <v>B3 S.A - Brasil, Bolsa, Balcão (BVMF:B3SA3)</v>
    <v>0.01</v>
    <v>8.0780000000000001E-4</v>
    <v>27454300</v>
  </rv>
  <rv s="1">
    <v>9</v>
  </rv>
  <rv s="2">
    <v>https://www.bing.com/financeapi/forcetrigger?t=apn4gh&amp;q=BVMF%3aPETR4&amp;form=skydnc</v>
    <v>Learn more on Bing</v>
  </rv>
  <rv s="4">
    <v>pt-BR</v>
    <v>apn4gh</v>
    <v>268435456</v>
    <v>1</v>
    <v>Da plataforma Refinitiv</v>
    <v>11</v>
    <v>12</v>
    <v>Petróleo Brasileiro S.A. (Petrobras) (BVMF:PETR4)</v>
    <v>13</v>
    <v>14</v>
    <v>Finance</v>
    <v>10</v>
    <v>38.659999999999997</v>
    <v>29.59</v>
    <v>BVMF</v>
    <v>12888730000</v>
    <v>37.97</v>
    <v>1953</v>
    <v>37.39</v>
    <v>1.0891</v>
    <v>B3 - Brazil Stock Exchange</v>
    <v>509222700000</v>
    <v>A PETRÓLEO BRASILEIRO S.A. - PETROBRAS é uma empresa especializada na indústria de petróleo, gás natural e energia. A Empresa está envolvida na prospecção, perfuração, refinação, transformação, comercialização e transporte de petróleo bruto proveniente da produção de campos petrolíferos onshore e offshore e de xisto ou outras rochas. Seus segmentos incluem Exploração e Produção, que abrange as atividades de exploração, desenvolvimento e produção de petróleo bruto, gás natural líquido e gás natural; Refinação, Transporte e Marketing, que abrange as atividades de refinação, logística, transporte e comercialização de petróleo, exportação de etanol e extração e processamento de xistos; Gás e Energia, que se dedica ao transporte e comercialização de gás natural produzido no Brasil e gás natural importado; Biocombustíveis, que abrange as atividades de produção de biodiesel e seus co-produtos, e atividades relacionadas ao etanol; Distribuição, que inclui as atividades de sua subsidiária Petrobras Distribuidora S.A. e Corporativa.</v>
    <v>BVMF</v>
    <v>37.39</v>
    <v>49185</v>
    <v>45743.947916666664</v>
    <v>11</v>
    <v>31026410</v>
    <v>BRL</v>
    <v>Petróleo Brasileiro S.A. (Petrobras)</v>
    <v>Petróleo Brasileiro S.A. (Petrobras)</v>
    <v>37.43</v>
    <v>37.67</v>
    <v>Av. Republica do Chile, n 65, 24 andar, Centro, RIO DE JANEIRO, RIO DE JANEIRO, 20.031-912 BR</v>
    <v>Oil &amp; Gas</v>
    <v>PETR4</v>
    <v>Ações</v>
    <v>Petróleo Brasileiro S.A. (Petrobras) (BVMF:PETR4)</v>
    <v>0.28000000000000003</v>
    <v>7.489E-3</v>
    <v>28378300</v>
  </rv>
  <rv s="1">
    <v>12</v>
  </rv>
  <rv s="2">
    <v>https://www.bing.com/financeapi/forcetrigger?t=bxl3ur&amp;q=BVMF%3aACWI11&amp;form=skydnc</v>
    <v>Learn more on Bing</v>
  </rv>
  <rv s="5">
    <v>pt-BR</v>
    <v>bxl3ur</v>
    <v>268435456</v>
    <v>1</v>
    <v>Da plataforma Refinitiv</v>
    <v>15</v>
    <v>16</v>
    <v>Trend ETF MSCI ACWI FIInd IE (BVMF:ACWI11)</v>
    <v>8</v>
    <v>17</v>
    <v>Finance</v>
    <v>10</v>
    <v>15.77</v>
    <v>11.18</v>
    <v>BVMF</v>
    <v>14.24</v>
    <v>14.12</v>
    <v>1.0173000000000001</v>
    <v>B3 - Brazil Stock Exchange</v>
    <v>117754904.47</v>
    <v>14.15</v>
    <v>45743.947916666664</v>
    <v>14</v>
    <v>BRL</v>
    <v>Trend ETF MSCI ACWI FIInd IE</v>
    <v>14.18</v>
    <v>14.16</v>
    <v>ACWI11</v>
    <v>Fundos mais negociados</v>
    <v>Trend ETF MSCI ACWI FIInd IE (BVMF:ACWI11)</v>
    <v>0.01</v>
    <v>7.0669999999999999E-4</v>
    <v>11922</v>
  </rv>
  <rv s="1">
    <v>15</v>
  </rv>
  <rv s="6">
    <v>pt-BR</v>
    <v>c8f16h</v>
    <v>268435456</v>
    <v>1</v>
    <v>Da plataforma Refinitiv</v>
    <v>18</v>
    <v>19</v>
    <v>AZ QUEST SOLE FI CF (BVMF:AAZQ11)</v>
    <v>3</v>
    <v>9</v>
    <v>Finance</v>
    <v>10</v>
    <v>9.2799999999999994</v>
    <v>5.77</v>
    <v>BVMF</v>
    <v>7.25</v>
    <v>7.08</v>
    <v>B3 - Brazil Stock Exchange</v>
    <v>7.19</v>
    <v>45743.947916666664</v>
    <v>BRL</v>
    <v>AZ QUEST SOLE FI CF</v>
    <v>7.17</v>
    <v>7.14</v>
    <v>AAZQ11</v>
    <v>Fundos mais negociados</v>
    <v>AZ QUEST SOLE FI CF (BVMF:AAZQ11)</v>
    <v>-0.05</v>
    <v>-6.9540000000000001E-3</v>
    <v>150353</v>
  </rv>
  <rv s="1">
    <v>17</v>
  </rv>
  <rv s="2">
    <v>https://www.bing.com/financeapi/forcetrigger?t=aplym7&amp;q=BVMF%3aBBDC4&amp;form=skydnc</v>
    <v>Learn more on Bing</v>
  </rv>
  <rv s="4">
    <v>pt-BR</v>
    <v>aplym7</v>
    <v>268435456</v>
    <v>1</v>
    <v>Da plataforma Refinitiv</v>
    <v>11</v>
    <v>12</v>
    <v>Banco Bradesco S.A. (BVMF:BBDC4)</v>
    <v>13</v>
    <v>14</v>
    <v>Finance</v>
    <v>10</v>
    <v>15.39</v>
    <v>11.02</v>
    <v>BVMF</v>
    <v>10592010000</v>
    <v>13.17</v>
    <v>1943</v>
    <v>12.96</v>
    <v>1.3557999999999999</v>
    <v>B3 - Brazil Stock Exchange</v>
    <v>131648600000</v>
    <v>O Banco Bradesco S.A. é um banco comercial. O Banco oferece uma gama de produtos e serviços bancários e financeiros no Brasil e no exterior para pessoas físicas, grandes, médias e pequenas empresas, e corporações e instituições locais e internacionais. Seus segmentos incluem Financeiro; Títulos de Seguros e Capitalização; Planos de previdência e outras atividades. O segmento Financeiro é composto por instituições financeiras e holdings, responsáveis pela gestão dos recursos financeiros, e por empresas de cartões de crédito, consórcios e administradoras de ativos. O segmento Grupo Segurador é composto por empresas de seguros, previdência e capitalização. Oferece serviços bancários, incluindo atividades de captação de depósitos, serviços bancários para pessoas físicas e jurídicas, cartões de crédito e débito, operações de leasing, banco de investimento, gestão de ativos, serviços de consórcio e outros. Seus serviços de seguros incluem seguro saúde, seguro de vida e acidentes pessoais, automóveis, ramos elementares e previdência complementar.</v>
    <v>BVMF</v>
    <v>13.07</v>
    <v>84022</v>
    <v>45743.947916666664</v>
    <v>19</v>
    <v>40892700</v>
    <v>BRL</v>
    <v>Banco Bradesco S.A.</v>
    <v>Banco Bradesco S.A.</v>
    <v>13.1</v>
    <v>13.02</v>
    <v>Nucleo Cidade de Deus s/n, Vila Yara, OSASCO, SAO PAULO, 06.029-900 BR</v>
    <v>Banking Services</v>
    <v>BBDC4</v>
    <v>Ações</v>
    <v>Banco Bradesco S.A. (BVMF:BBDC4)</v>
    <v>-0.05</v>
    <v>-3.826E-3</v>
    <v>40532300</v>
  </rv>
  <rv s="1">
    <v>20</v>
  </rv>
</rvData>
</file>

<file path=xl/richData/rdrichvaluestructure.xml><?xml version="1.0" encoding="utf-8"?>
<rvStructures xmlns="http://schemas.microsoft.com/office/spreadsheetml/2017/richdata" count="7">
  <s t="_linkedentitycore">
    <k n="%EntityCulture" t="s"/>
    <k n="%EntityId" t="s"/>
    <k n="%EntityServiceId"/>
    <k n="%IsRefreshable" t="b"/>
    <k n="%ProviderInfo" t="s"/>
    <k n="_CanonicalPropertyNames" t="spb"/>
    <k n="_Display" t="spb"/>
    <k n="_DisplayString" t="s"/>
    <k n="_Flags" t="spb"/>
    <k n="_Format" t="spb"/>
    <k n="_Icon" t="s"/>
    <k n="_SubLabel" t="spb"/>
    <k n="52 semanas de alta"/>
    <k n="52 semanas de baixa"/>
    <k n="Alto"/>
    <k n="Baixo"/>
    <k n="Da moeda" t="s"/>
    <k n="Fechamento anterior"/>
    <k n="Hora da última transação"/>
    <k n="Moeda" t="s"/>
    <k n="Nome" t="s"/>
    <k n="Pendência"/>
    <k n="Preço"/>
    <k n="Símbolo do ticker" t="s"/>
    <k n="Tipo de instrumento" t="s"/>
    <k n="UniqueName" t="s"/>
    <k n="Variação"/>
    <k n="Variação (%)"/>
  </s>
  <s t="_linkedentity">
    <k n="%cvi" t="r"/>
  </s>
  <s t="_hyperlink">
    <k n="Address" t="s"/>
    <k n="Text" t="s"/>
  </s>
  <s t="_linkedentitycore">
    <k n="%EntityCulture" t="s"/>
    <k n="%EntityId" t="s"/>
    <k n="%EntityServiceId"/>
    <k n="%IsRefreshable" t="b"/>
    <k n="%ProviderInfo" t="s"/>
    <k n="_CanonicalPropertyNames" t="spb"/>
    <k n="_Display" t="spb"/>
    <k n="_DisplayString" t="s"/>
    <k n="_Flags" t="spb"/>
    <k n="_Format" t="spb"/>
    <k n="_Icon" t="s"/>
    <k n="_SubLabel" t="spb"/>
    <k n="52 semanas de alta"/>
    <k n="52 semanas de baixa"/>
    <k n="Abreviatura do câmbio" t="s"/>
    <k n="Alto"/>
    <k n="Baixo"/>
    <k n="Bolsa" t="s"/>
    <k n="Fechamento anterior"/>
    <k n="Hora da última transação"/>
    <k n="LearnMoreOnLink" t="r"/>
    <k n="Moeda" t="s"/>
    <k n="Nome" t="s"/>
    <k n="Pendência"/>
    <k n="Preço"/>
    <k n="Símbolo do ticker" t="s"/>
    <k n="Tipo de instrumento" t="s"/>
    <k n="UniqueName" t="s"/>
    <k n="Variação"/>
    <k n="Variação (%)"/>
    <k n="Volume"/>
  </s>
  <s t="_linkedentitycore">
    <k n="%EntityCulture" t="s"/>
    <k n="%EntityId" t="s"/>
    <k n="%EntityServiceId"/>
    <k n="%IsRefreshable" t="b"/>
    <k n="%ProviderInfo" t="s"/>
    <k n="_CanonicalPropertyNames" t="spb"/>
    <k n="_Display" t="spb"/>
    <k n="_DisplayString" t="s"/>
    <k n="_Flags" t="spb"/>
    <k n="_Format" t="spb"/>
    <k n="_Icon" t="s"/>
    <k n="_SubLabel" t="spb"/>
    <k n="52 semanas de alta"/>
    <k n="52 semanas de baixa"/>
    <k n="Abreviatura do câmbio" t="s"/>
    <k n="Ações em circulação"/>
    <k n="Alto"/>
    <k n="Ano de incorporação"/>
    <k n="Baixo"/>
    <k n="Beta"/>
    <k n="Bolsa" t="s"/>
    <k n="Capitalização de mercado"/>
    <k n="Descrição" t="s"/>
    <k n="ExchangeID" t="s"/>
    <k n="Fechamento anterior"/>
    <k n="Funcionários"/>
    <k n="Hora da última transação"/>
    <k n="LearnMoreOnLink" t="r"/>
    <k n="Média de volume"/>
    <k n="Moeda" t="s"/>
    <k n="Nome" t="s"/>
    <k n="Nome oficial" t="s"/>
    <k n="Pendência"/>
    <k n="Preço"/>
    <k n="Sede" t="s"/>
    <k n="Setor" t="s"/>
    <k n="Símbolo do ticker" t="s"/>
    <k n="Tipo de instrumento" t="s"/>
    <k n="UniqueName" t="s"/>
    <k n="Variação"/>
    <k n="Variação (%)"/>
    <k n="Volume"/>
  </s>
  <s t="_linkedentitycore">
    <k n="%EntityCulture" t="s"/>
    <k n="%EntityId" t="s"/>
    <k n="%EntityServiceId"/>
    <k n="%IsRefreshable" t="b"/>
    <k n="%ProviderInfo" t="s"/>
    <k n="_CanonicalPropertyNames" t="spb"/>
    <k n="_Display" t="spb"/>
    <k n="_DisplayString" t="s"/>
    <k n="_Flags" t="spb"/>
    <k n="_Format" t="spb"/>
    <k n="_Icon" t="s"/>
    <k n="_SubLabel" t="spb"/>
    <k n="52 semanas de alta"/>
    <k n="52 semanas de baixa"/>
    <k n="Abreviatura do câmbio" t="s"/>
    <k n="Alto"/>
    <k n="Baixo"/>
    <k n="Beta"/>
    <k n="Bolsa" t="s"/>
    <k n="Capitalização de mercado"/>
    <k n="Fechamento anterior"/>
    <k n="Hora da última transação"/>
    <k n="LearnMoreOnLink" t="r"/>
    <k n="Moeda" t="s"/>
    <k n="Nome" t="s"/>
    <k n="Pendência"/>
    <k n="Preço"/>
    <k n="Símbolo do ticker" t="s"/>
    <k n="Tipo de instrumento" t="s"/>
    <k n="UniqueName" t="s"/>
    <k n="Variação"/>
    <k n="Variação (%)"/>
    <k n="Volume"/>
  </s>
  <s t="_linkedentitycore">
    <k n="%EntityCulture" t="s"/>
    <k n="%EntityId" t="s"/>
    <k n="%EntityServiceId"/>
    <k n="%IsRefreshable" t="b"/>
    <k n="%ProviderInfo" t="s"/>
    <k n="_CanonicalPropertyNames" t="spb"/>
    <k n="_Display" t="spb"/>
    <k n="_DisplayString" t="s"/>
    <k n="_Flags" t="spb"/>
    <k n="_Format" t="spb"/>
    <k n="_Icon" t="s"/>
    <k n="_SubLabel" t="spb"/>
    <k n="52 semanas de alta"/>
    <k n="52 semanas de baixa"/>
    <k n="Abreviatura do câmbio" t="s"/>
    <k n="Alto"/>
    <k n="Baixo"/>
    <k n="Bolsa" t="s"/>
    <k n="Fechamento anterior"/>
    <k n="Hora da última transação"/>
    <k n="Moeda" t="s"/>
    <k n="Nome" t="s"/>
    <k n="Pendência"/>
    <k n="Preço"/>
    <k n="Símbolo do ticker" t="s"/>
    <k n="Tipo de instrumento" t="s"/>
    <k n="UniqueName" t="s"/>
    <k n="Variação"/>
    <k n="Variação (%)"/>
    <k n="Volume"/>
  </s>
</rvStructures>
</file>

<file path=xl/richData/rdsupportingpropertybag.xml><?xml version="1.0" encoding="utf-8"?>
<supportingPropertyBags xmlns="http://schemas.microsoft.com/office/spreadsheetml/2017/richdata2">
  <spbArrays count="5">
    <a count="28">
      <v t="s">%EntityServiceId</v>
      <v t="s">_Format</v>
      <v t="s">%IsRefreshable</v>
      <v t="s">_CanonicalPropertyNames</v>
      <v t="s">%EntityCulture</v>
      <v t="s">%EntityId</v>
      <v t="s">_Icon</v>
      <v t="s">_Display</v>
      <v t="s">Nome</v>
      <v t="s">Preço</v>
      <v t="s">_SubLabel</v>
      <v t="s">Hora da última transação</v>
      <v t="s">Símbolo do ticker</v>
      <v t="s">Variação</v>
      <v t="s">Variação (%)</v>
      <v t="s">Moeda</v>
      <v t="s">Da moeda</v>
      <v t="s">Fechamento anterior</v>
      <v t="s">Pendência</v>
      <v t="s">Alto</v>
      <v t="s">Baixo</v>
      <v t="s">52 semanas de alta</v>
      <v t="s">52 semanas de baixa</v>
      <v t="s">Tipo de instrumento</v>
      <v t="s">_Flags</v>
      <v t="s">UniqueName</v>
      <v t="s">_DisplayString</v>
      <v t="s">%ProviderInfo</v>
    </a>
    <a count="31">
      <v t="s">%EntityServiceId</v>
      <v t="s">_Format</v>
      <v t="s">%IsRefreshable</v>
      <v t="s">_CanonicalPropertyNames</v>
      <v t="s">%EntityCulture</v>
      <v t="s">%EntityId</v>
      <v t="s">_Icon</v>
      <v t="s">_Display</v>
      <v t="s">Nome</v>
      <v t="s">_SubLabel</v>
      <v t="s">Preço</v>
      <v t="s">Bolsa</v>
      <v t="s">Hora da última transação</v>
      <v t="s">Símbolo do ticker</v>
      <v t="s">Abreviatura do câmbio</v>
      <v t="s">Variação</v>
      <v t="s">Variação (%)</v>
      <v t="s">Moeda</v>
      <v t="s">Fechamento anterior</v>
      <v t="s">Pendência</v>
      <v t="s">Alto</v>
      <v t="s">Baixo</v>
      <v t="s">52 semanas de alta</v>
      <v t="s">52 semanas de baixa</v>
      <v t="s">Volume</v>
      <v t="s">Tipo de instrumento</v>
      <v t="s">_Flags</v>
      <v t="s">UniqueName</v>
      <v t="s">_DisplayString</v>
      <v t="s">LearnMoreOnLink</v>
      <v t="s">%ProviderInfo</v>
    </a>
    <a count="42">
      <v t="s">%EntityServiceId</v>
      <v t="s">_Format</v>
      <v t="s">%IsRefreshable</v>
      <v t="s">_CanonicalPropertyNames</v>
      <v t="s">%EntityCulture</v>
      <v t="s">%EntityId</v>
      <v t="s">_Icon</v>
      <v t="s">_Display</v>
      <v t="s">Nome</v>
      <v t="s">_SubLabel</v>
      <v t="s">Preço</v>
      <v t="s">Bolsa</v>
      <v t="s">Nome oficial</v>
      <v t="s">Hora da última transação</v>
      <v t="s">Símbolo do ticker</v>
      <v t="s">Abreviatura do câmbio</v>
      <v t="s">Variação</v>
      <v t="s">Variação (%)</v>
      <v t="s">Moeda</v>
      <v t="s">Fechamento anterior</v>
      <v t="s">Pendência</v>
      <v t="s">Alto</v>
      <v t="s">Baixo</v>
      <v t="s">52 semanas de alta</v>
      <v t="s">52 semanas de baixa</v>
      <v t="s">Volume</v>
      <v t="s">Média de volume</v>
      <v t="s">Capitalização de mercado</v>
      <v t="s">Beta</v>
      <v t="s">Ações em circulação</v>
      <v t="s">Descrição</v>
      <v t="s">Funcionários</v>
      <v t="s">Sede</v>
      <v t="s">Setor</v>
      <v t="s">Tipo de instrumento</v>
      <v t="s">Ano de incorporação</v>
      <v t="s">_Flags</v>
      <v t="s">UniqueName</v>
      <v t="s">_DisplayString</v>
      <v t="s">LearnMoreOnLink</v>
      <v t="s">ExchangeID</v>
      <v t="s">%ProviderInfo</v>
    </a>
    <a count="33">
      <v t="s">%EntityServiceId</v>
      <v t="s">_Format</v>
      <v t="s">%IsRefreshable</v>
      <v t="s">_CanonicalPropertyNames</v>
      <v t="s">%EntityCulture</v>
      <v t="s">%EntityId</v>
      <v t="s">_Icon</v>
      <v t="s">_Display</v>
      <v t="s">Nome</v>
      <v t="s">_SubLabel</v>
      <v t="s">Preço</v>
      <v t="s">Bolsa</v>
      <v t="s">Hora da última transação</v>
      <v t="s">Símbolo do ticker</v>
      <v t="s">Abreviatura do câmbio</v>
      <v t="s">Variação</v>
      <v t="s">Variação (%)</v>
      <v t="s">Moeda</v>
      <v t="s">Fechamento anterior</v>
      <v t="s">Pendência</v>
      <v t="s">Alto</v>
      <v t="s">Baixo</v>
      <v t="s">52 semanas de alta</v>
      <v t="s">52 semanas de baixa</v>
      <v t="s">Volume</v>
      <v t="s">Capitalização de mercado</v>
      <v t="s">Beta</v>
      <v t="s">Tipo de instrumento</v>
      <v t="s">_Flags</v>
      <v t="s">UniqueName</v>
      <v t="s">_DisplayString</v>
      <v t="s">LearnMoreOnLink</v>
      <v t="s">%ProviderInfo</v>
    </a>
    <a count="30">
      <v t="s">%EntityServiceId</v>
      <v t="s">_Format</v>
      <v t="s">%IsRefreshable</v>
      <v t="s">_CanonicalPropertyNames</v>
      <v t="s">%EntityCulture</v>
      <v t="s">%EntityId</v>
      <v t="s">_Icon</v>
      <v t="s">_Display</v>
      <v t="s">Nome</v>
      <v t="s">_SubLabel</v>
      <v t="s">Preço</v>
      <v t="s">Bolsa</v>
      <v t="s">Hora da última transação</v>
      <v t="s">Símbolo do ticker</v>
      <v t="s">Abreviatura do câmbio</v>
      <v t="s">Variação</v>
      <v t="s">Variação (%)</v>
      <v t="s">Moeda</v>
      <v t="s">Fechamento anterior</v>
      <v t="s">Pendência</v>
      <v t="s">Alto</v>
      <v t="s">Baixo</v>
      <v t="s">52 semanas de alta</v>
      <v t="s">52 semanas de baixa</v>
      <v t="s">Volume</v>
      <v t="s">Tipo de instrumento</v>
      <v t="s">_Flags</v>
      <v t="s">UniqueName</v>
      <v t="s">_DisplayString</v>
      <v t="s">%ProviderInfo</v>
    </a>
  </spbArrays>
  <spbData count="20">
    <spb s="0">
      <v>High</v>
      <v>Name</v>
      <v>Low</v>
      <v>Currency</v>
      <v>Price</v>
      <v>From currency</v>
      <v>Change</v>
      <v>Open</v>
      <v>UniqueName</v>
      <v>Change (%)</v>
      <v>%ProviderInfo</v>
      <v>Ticker symbol</v>
      <v>52 week high</v>
      <v>52 week low</v>
      <v>Previous close</v>
      <v>Instrument type</v>
      <v>Last trade time</v>
    </spb>
    <spb s="1">
      <v>0</v>
      <v>Name</v>
    </spb>
    <spb s="2">
      <v>0</v>
      <v>0</v>
      <v>0</v>
    </spb>
    <spb s="3">
      <v>2</v>
      <v>2</v>
    </spb>
    <spb s="4">
      <v>1</v>
      <v>2</v>
      <v>1</v>
      <v>1</v>
      <v>1</v>
      <v>1</v>
      <v>3</v>
      <v>4</v>
      <v>1</v>
      <v>1</v>
      <v>1</v>
      <v>5</v>
    </spb>
    <spb s="5">
      <v>GMT</v>
    </spb>
    <spb s="6">
      <v>High</v>
      <v>Name</v>
      <v>Low</v>
      <v>Exchange</v>
      <v>Currency</v>
      <v>Price</v>
      <v>Volume</v>
      <v>Change</v>
      <v>Open</v>
      <v>UniqueName</v>
      <v>Change (%)</v>
      <v>%ProviderInfo</v>
      <v>LearnMoreOnLink</v>
      <v>Ticker symbol</v>
      <v>52 week high</v>
      <v>52 week low</v>
      <v>Previous close</v>
      <v>Instrument type</v>
      <v>Exchange abbreviation</v>
      <v>Last trade time</v>
    </spb>
    <spb s="7">
      <v>1</v>
      <v>Name</v>
      <v>LearnMoreOnLink</v>
    </spb>
    <spb s="8">
      <v>2</v>
      <v>2</v>
      <v>2</v>
    </spb>
    <spb s="9">
      <v>1</v>
      <v>2</v>
      <v>1</v>
      <v>1</v>
      <v>6</v>
      <v>1</v>
      <v>1</v>
      <v>3</v>
      <v>4</v>
      <v>1</v>
      <v>1</v>
      <v>1</v>
      <v>5</v>
    </spb>
    <spb s="10">
      <v>Atraso de 30 minutos</v>
      <v xml:space="preserve">do fechamento anterior </v>
      <v xml:space="preserve">do fechamento anterior </v>
      <v>GMT</v>
    </spb>
    <spb s="11">
      <v>High</v>
      <v>Beta</v>
      <v>Name</v>
      <v>Headquarters</v>
      <v>Low</v>
      <v>Exchange</v>
      <v>Currency</v>
      <v>Price</v>
      <v>Industry</v>
      <v>Volume</v>
      <v>Change</v>
      <v>Description</v>
      <v>Open</v>
      <v>ExchangeID</v>
      <v>UniqueName</v>
      <v>Employees</v>
      <v>Official name</v>
      <v>Change (%)</v>
      <v>%ProviderInfo</v>
      <v>LearnMoreOnLink</v>
      <v>Volume average</v>
      <v>Ticker symbol</v>
      <v>52 week high</v>
      <v>52 week low</v>
      <v>Year incorporated</v>
      <v>Shares outstanding</v>
      <v>Previous close</v>
      <v>Instrument type</v>
      <v>Exchange abbreviation</v>
      <v>Market cap</v>
      <v>Last trade time</v>
    </spb>
    <spb s="7">
      <v>2</v>
      <v>Name</v>
      <v>LearnMoreOnLink</v>
    </spb>
    <spb s="12">
      <v>2</v>
      <v>2</v>
      <v>2</v>
      <v>2</v>
    </spb>
    <spb s="13">
      <v>1</v>
      <v>7</v>
      <v>2</v>
      <v>1</v>
      <v>1</v>
      <v>6</v>
      <v>1</v>
      <v>1</v>
      <v>6</v>
      <v>3</v>
      <v>6</v>
      <v>4</v>
      <v>1</v>
      <v>1</v>
      <v>8</v>
      <v>6</v>
      <v>1</v>
      <v>9</v>
      <v>5</v>
    </spb>
    <spb s="14">
      <v>High</v>
      <v>Beta</v>
      <v>Name</v>
      <v>Low</v>
      <v>Exchange</v>
      <v>Currency</v>
      <v>Price</v>
      <v>Volume</v>
      <v>Change</v>
      <v>Open</v>
      <v>UniqueName</v>
      <v>Change (%)</v>
      <v>%ProviderInfo</v>
      <v>LearnMoreOnLink</v>
      <v>Ticker symbol</v>
      <v>52 week high</v>
      <v>52 week low</v>
      <v>Previous close</v>
      <v>Instrument type</v>
      <v>Exchange abbreviation</v>
      <v>Market cap</v>
      <v>Last trade time</v>
    </spb>
    <spb s="7">
      <v>3</v>
      <v>Name</v>
      <v>LearnMoreOnLink</v>
    </spb>
    <spb s="15">
      <v>1</v>
      <v>7</v>
      <v>2</v>
      <v>1</v>
      <v>1</v>
      <v>6</v>
      <v>1</v>
      <v>1</v>
      <v>3</v>
      <v>4</v>
      <v>1</v>
      <v>1</v>
      <v>1</v>
      <v>9</v>
      <v>5</v>
    </spb>
    <spb s="16">
      <v>High</v>
      <v>Name</v>
      <v>Low</v>
      <v>Exchange</v>
      <v>Currency</v>
      <v>Price</v>
      <v>Volume</v>
      <v>Change</v>
      <v>Open</v>
      <v>UniqueName</v>
      <v>Change (%)</v>
      <v>%ProviderInfo</v>
      <v>Ticker symbol</v>
      <v>52 week high</v>
      <v>52 week low</v>
      <v>Previous close</v>
      <v>Instrument type</v>
      <v>Exchange abbreviation</v>
      <v>Last trade time</v>
    </spb>
    <spb s="1">
      <v>4</v>
      <v>Name</v>
    </spb>
  </spbData>
</supportingPropertyBags>
</file>

<file path=xl/richData/rdsupportingpropertybagstructure.xml><?xml version="1.0" encoding="utf-8"?>
<spbStructures xmlns="http://schemas.microsoft.com/office/spreadsheetml/2017/richdata2" count="17">
  <s>
    <k n="Alto" t="s"/>
    <k n="Nome" t="s"/>
    <k n="Baixo" t="s"/>
    <k n="Moeda" t="s"/>
    <k n="Preço" t="s"/>
    <k n="Da moeda" t="s"/>
    <k n="Variação" t="s"/>
    <k n="Pendência" t="s"/>
    <k n="UniqueName" t="s"/>
    <k n="Variação (%)" t="s"/>
    <k n="%ProviderInfo" t="s"/>
    <k n="Símbolo do ticker" t="s"/>
    <k n="52 semanas de alta" t="s"/>
    <k n="52 semanas de baixa" t="s"/>
    <k n="Fechamento anterior" t="s"/>
    <k n="Tipo de instrumento" t="s"/>
    <k n="Hora da última transação" t="s"/>
  </s>
  <s>
    <k n="^Order" t="spba"/>
    <k n="TitleProperty" t="s"/>
  </s>
  <s>
    <k n="ShowInCardView" t="b"/>
    <k n="ShowInDotNotation" t="b"/>
    <k n="ShowInAutoComplete" t="b"/>
  </s>
  <s>
    <k n="UniqueName" t="spb"/>
    <k n="`%ProviderInfo" t="spb"/>
  </s>
  <s>
    <k n="Alto" t="i"/>
    <k n="Nome" t="i"/>
    <k n="Baixo" t="i"/>
    <k n="Preço" t="i"/>
    <k n="Variação" t="i"/>
    <k n="Pendência" t="i"/>
    <k n="Variação (%)" t="i"/>
    <k n="`%EntityServiceId" t="i"/>
    <k n="52 semanas de alta" t="i"/>
    <k n="52 semanas de baixa" t="i"/>
    <k n="Fechamento anterior" t="i"/>
    <k n="Hora da última transação" t="i"/>
  </s>
  <s>
    <k n="Hora da última transação" t="s"/>
  </s>
  <s>
    <k n="Alto" t="s"/>
    <k n="Nome" t="s"/>
    <k n="Baixo" t="s"/>
    <k n="Bolsa" t="s"/>
    <k n="Moeda" t="s"/>
    <k n="Preço" t="s"/>
    <k n="Volume" t="s"/>
    <k n="Variação" t="s"/>
    <k n="Pendência" t="s"/>
    <k n="UniqueName" t="s"/>
    <k n="Variação (%)" t="s"/>
    <k n="%ProviderInfo" t="s"/>
    <k n="LearnMoreOnLink" t="s"/>
    <k n="Símbolo do ticker" t="s"/>
    <k n="52 semanas de alta" t="s"/>
    <k n="52 semanas de baixa" t="s"/>
    <k n="Fechamento anterior" t="s"/>
    <k n="Tipo de instrumento" t="s"/>
    <k n="Abreviatura do câmbio" t="s"/>
    <k n="Hora da última transação" t="s"/>
  </s>
  <s>
    <k n="^Order" t="spba"/>
    <k n="TitleProperty" t="s"/>
    <k n="SubTitleProperty" t="s"/>
  </s>
  <s>
    <k n="UniqueName" t="spb"/>
    <k n="`%ProviderInfo" t="spb"/>
    <k n="LearnMoreOnLink" t="spb"/>
  </s>
  <s>
    <k n="Alto" t="i"/>
    <k n="Nome" t="i"/>
    <k n="Baixo" t="i"/>
    <k n="Preço" t="i"/>
    <k n="Volume" t="i"/>
    <k n="Variação" t="i"/>
    <k n="Pendência" t="i"/>
    <k n="Variação (%)" t="i"/>
    <k n="`%EntityServiceId" t="i"/>
    <k n="52 semanas de alta" t="i"/>
    <k n="52 semanas de baixa" t="i"/>
    <k n="Fechamento anterior" t="i"/>
    <k n="Hora da última transação" t="i"/>
  </s>
  <s>
    <k n="Preço" t="s"/>
    <k n="Variação" t="s"/>
    <k n="Variação (%)" t="s"/>
    <k n="Hora da última transação" t="s"/>
  </s>
  <s>
    <k n="Alto" t="s"/>
    <k n="Beta" t="s"/>
    <k n="Nome" t="s"/>
    <k n="Sede" t="s"/>
    <k n="Baixo" t="s"/>
    <k n="Bolsa" t="s"/>
    <k n="Moeda" t="s"/>
    <k n="Preço" t="s"/>
    <k n="Setor" t="s"/>
    <k n="Volume" t="s"/>
    <k n="Variação" t="s"/>
    <k n="Descrição" t="s"/>
    <k n="Pendência" t="s"/>
    <k n="ExchangeID" t="s"/>
    <k n="UniqueName" t="s"/>
    <k n="Funcionários" t="s"/>
    <k n="Nome oficial" t="s"/>
    <k n="Variação (%)" t="s"/>
    <k n="%ProviderInfo" t="s"/>
    <k n="LearnMoreOnLink" t="s"/>
    <k n="Média de volume" t="s"/>
    <k n="Símbolo do ticker" t="s"/>
    <k n="52 semanas de alta" t="s"/>
    <k n="52 semanas de baixa" t="s"/>
    <k n="Ano de incorporação" t="s"/>
    <k n="Ações em circulação" t="s"/>
    <k n="Fechamento anterior" t="s"/>
    <k n="Tipo de instrumento" t="s"/>
    <k n="Abreviatura do câmbio" t="s"/>
    <k n="Capitalização de mercado" t="s"/>
    <k n="Hora da última transação" t="s"/>
  </s>
  <s>
    <k n="ExchangeID" t="spb"/>
    <k n="UniqueName" t="spb"/>
    <k n="`%ProviderInfo" t="spb"/>
    <k n="LearnMoreOnLink" t="spb"/>
  </s>
  <s>
    <k n="Alto" t="i"/>
    <k n="Beta" t="i"/>
    <k n="Nome" t="i"/>
    <k n="Baixo" t="i"/>
    <k n="Preço" t="i"/>
    <k n="Volume" t="i"/>
    <k n="Variação" t="i"/>
    <k n="Pendência" t="i"/>
    <k n="Funcionários" t="i"/>
    <k n="Variação (%)" t="i"/>
    <k n="Média de volume" t="i"/>
    <k n="`%EntityServiceId" t="i"/>
    <k n="52 semanas de alta" t="i"/>
    <k n="52 semanas de baixa" t="i"/>
    <k n="Ano de incorporação" t="i"/>
    <k n="Ações em circulação" t="i"/>
    <k n="Fechamento anterior" t="i"/>
    <k n="Capitalização de mercado" t="i"/>
    <k n="Hora da última transação" t="i"/>
  </s>
  <s>
    <k n="Alto" t="s"/>
    <k n="Beta" t="s"/>
    <k n="Nome" t="s"/>
    <k n="Baixo" t="s"/>
    <k n="Bolsa" t="s"/>
    <k n="Moeda" t="s"/>
    <k n="Preço" t="s"/>
    <k n="Volume" t="s"/>
    <k n="Variação" t="s"/>
    <k n="Pendência" t="s"/>
    <k n="UniqueName" t="s"/>
    <k n="Variação (%)" t="s"/>
    <k n="%ProviderInfo" t="s"/>
    <k n="LearnMoreOnLink" t="s"/>
    <k n="Símbolo do ticker" t="s"/>
    <k n="52 semanas de alta" t="s"/>
    <k n="52 semanas de baixa" t="s"/>
    <k n="Fechamento anterior" t="s"/>
    <k n="Tipo de instrumento" t="s"/>
    <k n="Abreviatura do câmbio" t="s"/>
    <k n="Capitalização de mercado" t="s"/>
    <k n="Hora da última transação" t="s"/>
  </s>
  <s>
    <k n="Alto" t="i"/>
    <k n="Beta" t="i"/>
    <k n="Nome" t="i"/>
    <k n="Baixo" t="i"/>
    <k n="Preço" t="i"/>
    <k n="Volume" t="i"/>
    <k n="Variação" t="i"/>
    <k n="Pendência" t="i"/>
    <k n="Variação (%)" t="i"/>
    <k n="`%EntityServiceId" t="i"/>
    <k n="52 semanas de alta" t="i"/>
    <k n="52 semanas de baixa" t="i"/>
    <k n="Fechamento anterior" t="i"/>
    <k n="Capitalização de mercado" t="i"/>
    <k n="Hora da última transação" t="i"/>
  </s>
  <s>
    <k n="Alto" t="s"/>
    <k n="Nome" t="s"/>
    <k n="Baixo" t="s"/>
    <k n="Bolsa" t="s"/>
    <k n="Moeda" t="s"/>
    <k n="Preço" t="s"/>
    <k n="Volume" t="s"/>
    <k n="Variação" t="s"/>
    <k n="Pendência" t="s"/>
    <k n="UniqueName" t="s"/>
    <k n="Variação (%)" t="s"/>
    <k n="%ProviderInfo" t="s"/>
    <k n="Símbolo do ticker" t="s"/>
    <k n="52 semanas de alta" t="s"/>
    <k n="52 semanas de baixa" t="s"/>
    <k n="Fechamento anterior" t="s"/>
    <k n="Tipo de instrumento" t="s"/>
    <k n="Abreviatura do câmbio" t="s"/>
    <k n="Hora da última transação" t="s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7">
    <x:dxf>
      <x:numFmt numFmtId="2" formatCode="0.00"/>
    </x:dxf>
    <x:dxf>
      <x:numFmt numFmtId="0" formatCode="General"/>
    </x:dxf>
    <x:dxf>
      <x:numFmt numFmtId="27" formatCode="dd/mm/yyyy\ hh:mm"/>
    </x:dxf>
    <x:dxf>
      <x:numFmt numFmtId="14" formatCode="0.00%"/>
    </x:dxf>
    <x:dxf>
      <x:numFmt numFmtId="3" formatCode="#,##0"/>
    </x:dxf>
    <x:dxf>
      <x:numFmt numFmtId="4" formatCode="#,##0.00"/>
    </x:dxf>
    <x:dxf>
      <x:numFmt numFmtId="1" formatCode="0"/>
    </x:dxf>
  </dxfs>
  <richProperties>
    <rPr n="NumberFormat" t="s"/>
    <rPr n="IsTitleField" t="b"/>
  </richProperties>
  <richStyles>
    <rSty dxfid="1">
      <rpv i="0">_-[$R$-pt-BR] * #,##0.00_-;-[$R$-pt-BR] * #,##0.00_-;_-[$R$-pt-BR] * "-"??_-;_-@_-</rpv>
    </rSty>
    <rSty>
      <rpv i="1">1</rpv>
    </rSty>
    <rSty dxfid="3"/>
    <rSty dxfid="0">
      <rpv i="0">0.00</rpv>
    </rSty>
    <rSty dxfid="2"/>
    <rSty dxfid="4">
      <rpv i="0">#,##0</rpv>
    </rSty>
    <rSty dxfid="5">
      <rpv i="0">#,##0.00</rpv>
    </rSty>
    <rSty dxfid="6">
      <rpv i="0">0</rpv>
    </rSty>
    <rSty dxfid="1">
      <rpv i="0">_-[$R$-pt-BR] * #,##0_-;-[$R$-pt-BR] * #,##0_-;_-[$R$-pt-BR] * "-"_-;_-@_-</rpv>
    </rSty>
  </richStyles>
</richStyleShee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4" displayName="Tabela4" ref="A4:H71" totalsRowShown="0" headerRowDxfId="121" dataDxfId="119" headerRowBorderDxfId="120" tableBorderDxfId="118" totalsRowBorderDxfId="117">
  <autoFilter ref="A4:H71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0000-000001000000}" name="Descrição " dataDxfId="116"/>
    <tableColumn id="7" xr3:uid="{00000000-0010-0000-0000-000007000000}" name="Data" dataDxfId="115"/>
    <tableColumn id="2" xr3:uid="{00000000-0010-0000-0000-000002000000}" name="Tipo" dataDxfId="114"/>
    <tableColumn id="8" xr3:uid="{47A01BA1-A192-4CCE-86E4-D1920D0CD87E}" name="Categoria" dataDxfId="113"/>
    <tableColumn id="3" xr3:uid="{00000000-0010-0000-0000-000003000000}" name="Valor" dataDxfId="112" dataCellStyle="Moeda"/>
    <tableColumn id="4" xr3:uid="{00000000-0010-0000-0000-000004000000}" name="Origem" dataDxfId="111"/>
    <tableColumn id="5" xr3:uid="{00000000-0010-0000-0000-000005000000}" name="Destino" dataDxfId="110"/>
    <tableColumn id="6" xr3:uid="{00000000-0010-0000-0000-000006000000}" name="Recebedor" dataDxfId="109"/>
  </tableColumns>
  <tableStyleInfo name="TableStyleMedium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3" displayName="Tabela3" ref="A4:G5" totalsRowShown="0" headerRowDxfId="108" headerRowBorderDxfId="107" tableBorderDxfId="106" totalsRowBorderDxfId="105">
  <autoFilter ref="A4:G5" xr:uid="{00000000-0009-0000-0100-000002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00000000-0010-0000-0100-000001000000}" name="Capital investido" dataDxfId="104">
      <calculatedColumnFormula>SUM('Investimento CDB'!J6+'Investimento em renda variável'!R5)+SUM(Tabela10[Valor de depósito])+SUM(Outros!H5,Outros!R5,Outros!Z5)+'Tesouro direto'!J4</calculatedColumnFormula>
    </tableColumn>
    <tableColumn id="2" xr3:uid="{00000000-0010-0000-0100-000002000000}" name="Capital total" dataDxfId="103">
      <calculatedColumnFormula>Tabela3[[#This Row],[Capital investido]]+Tabela3[[#This Row],[Lucro]]</calculatedColumnFormula>
    </tableColumn>
    <tableColumn id="6" xr3:uid="{00000000-0010-0000-0100-000006000000}" name="Lucro" dataDxfId="102">
      <calculatedColumnFormula>SUM('Investimento CDB'!J12+'Investimento em renda variável'!R9+Dolar!K8+Extrato!M3)</calculatedColumnFormula>
    </tableColumn>
    <tableColumn id="3" xr3:uid="{00000000-0010-0000-0100-000003000000}" name="Pagamento De funcionários" dataDxfId="101" dataCellStyle="Moeda">
      <calculatedColumnFormula>1.04+1.14+1.25</calculatedColumnFormula>
    </tableColumn>
    <tableColumn id="4" xr3:uid="{00000000-0010-0000-0100-000004000000}" name="Ultimo salário pago" dataDxfId="100"/>
    <tableColumn id="5" xr3:uid="{00000000-0010-0000-0100-000005000000}" name="Saldo em caixa" dataDxfId="99">
      <calculatedColumnFormula>B5</calculatedColumnFormula>
    </tableColumn>
    <tableColumn id="7" xr3:uid="{B26EC0D7-0E97-41C9-A831-D755EDED7FB3}" name="Saldo Projetado" dataDxfId="98">
      <calculatedColumnFormula array="1">[1]!Tabela3[Saldo a receber]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ela6" displayName="Tabela6" ref="I4:T6" totalsRowShown="0" headerRowDxfId="97" dataDxfId="95" headerRowBorderDxfId="96" tableBorderDxfId="94" totalsRowBorderDxfId="93">
  <autoFilter ref="I4:T6" xr:uid="{00000000-0009-0000-0100-000003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00000000-0010-0000-0200-000001000000}" name="Tipo" dataDxfId="92"/>
    <tableColumn id="2" xr3:uid="{00000000-0010-0000-0200-000002000000}" name="CDB" dataDxfId="91"/>
    <tableColumn id="3" xr3:uid="{00000000-0010-0000-0200-000003000000}" name="Ação/BDR" dataDxfId="90"/>
    <tableColumn id="4" xr3:uid="{00000000-0010-0000-0200-000004000000}" name="Dolar" dataDxfId="89"/>
    <tableColumn id="5" xr3:uid="{00000000-0010-0000-0200-000005000000}" name="FII" dataDxfId="88"/>
    <tableColumn id="6" xr3:uid="{00000000-0010-0000-0200-000006000000}" name="Caixa 2" dataDxfId="87"/>
    <tableColumn id="7" xr3:uid="{00000000-0010-0000-0200-000007000000}" name="Empréstimo" dataDxfId="86"/>
    <tableColumn id="8" xr3:uid="{00000000-0010-0000-0200-000008000000}" name="Despesas" dataDxfId="85"/>
    <tableColumn id="9" xr3:uid="{00000000-0010-0000-0200-000009000000}" name="Day trader" dataDxfId="84"/>
    <tableColumn id="11" xr3:uid="{484BDBD6-5949-4CE4-A2CD-9DD4512E605D}" name="ETF" dataDxfId="83">
      <calculatedColumnFormula>'Investimento em renda variável'!R28</calculatedColumnFormula>
    </tableColumn>
    <tableColumn id="12" xr3:uid="{C1D78D4E-CD1C-4D2A-9972-FC7852A66F3A}" name="Tesouro direto"/>
    <tableColumn id="10" xr3:uid="{B4751FF9-43AF-41D1-A1FE-BACE0606B44B}" name="Preço de mercado" dataDxfId="82">
      <calculatedColumnFormula array="1">Tabela3[Capital total]/1000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ela2" displayName="Tabela2" ref="A5:H94" totalsRowShown="0" headerRowDxfId="81" dataDxfId="79" headerRowBorderDxfId="80" tableBorderDxfId="78" totalsRowBorderDxfId="77">
  <autoFilter ref="A5:H94" xr:uid="{00000000-0009-0000-0100-000004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0300-000001000000}" name="Instituição" dataDxfId="76"/>
    <tableColumn id="2" xr3:uid="{00000000-0010-0000-0300-000002000000}" name="Observação" dataDxfId="75"/>
    <tableColumn id="3" xr3:uid="{00000000-0010-0000-0300-000003000000}" name="Valor" dataDxfId="74" dataCellStyle="Moeda"/>
    <tableColumn id="4" xr3:uid="{00000000-0010-0000-0300-000004000000}" name="I.P.C.A" dataDxfId="73" dataCellStyle="Moeda"/>
    <tableColumn id="5" xr3:uid="{00000000-0010-0000-0300-000005000000}" name="Valor projetado" dataDxfId="72" dataCellStyle="Moeda">
      <calculatedColumnFormula>C6+(D6*C6)</calculatedColumnFormula>
    </tableColumn>
    <tableColumn id="6" xr3:uid="{00000000-0010-0000-0300-000006000000}" name="Data" dataDxfId="71" dataCellStyle="Moeda"/>
    <tableColumn id="7" xr3:uid="{00000000-0010-0000-0300-000007000000}" name="Conta Inicial" dataDxfId="70"/>
    <tableColumn id="8" xr3:uid="{00000000-0010-0000-0300-000008000000}" name="Futuro" dataDxfId="69">
      <calculatedColumnFormula>IF(Tabela2[[#This Row],[Data]]-TODAY()&lt;1,"Não","Sim")</calculatedColumnFormula>
    </tableColumn>
  </tableColumns>
  <tableStyleInfo name="TableStyleLight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ela7" displayName="Tabela7" ref="A4:E11" totalsRowShown="0" headerRowDxfId="68" dataDxfId="66" headerRowBorderDxfId="67" tableBorderDxfId="65" totalsRowBorderDxfId="64">
  <autoFilter ref="A4:E11" xr:uid="{00000000-0009-0000-0100-000005000000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00000000-0010-0000-0400-000001000000}" name="Banco" dataDxfId="63"/>
    <tableColumn id="4" xr3:uid="{00000000-0010-0000-0400-000004000000}" name="Nome" dataDxfId="62"/>
    <tableColumn id="5" xr3:uid="{F2BEAABF-5CE5-4E79-990C-B69B7EECD0F1}" name="Tipo de Transação" dataDxfId="61"/>
    <tableColumn id="2" xr3:uid="{00000000-0010-0000-0400-000002000000}" name="Valor" dataDxfId="60" dataCellStyle="Moeda"/>
    <tableColumn id="3" xr3:uid="{00000000-0010-0000-0400-000003000000}" name="Data" dataDxfId="5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ela79" displayName="Tabela79" ref="L4:P10" totalsRowShown="0" headerRowDxfId="58" dataDxfId="56" headerRowBorderDxfId="57" tableBorderDxfId="55" totalsRowBorderDxfId="54">
  <autoFilter ref="L4:P10" xr:uid="{00000000-0009-0000-0100-000006000000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00000000-0010-0000-0500-000001000000}" name="Banco" dataDxfId="53"/>
    <tableColumn id="4" xr3:uid="{00000000-0010-0000-0500-000004000000}" name="Nome" dataDxfId="52"/>
    <tableColumn id="2" xr3:uid="{00000000-0010-0000-0500-000002000000}" name="Valor" dataDxfId="51" dataCellStyle="Moeda"/>
    <tableColumn id="3" xr3:uid="{00000000-0010-0000-0500-000003000000}" name="Data" dataDxfId="50"/>
    <tableColumn id="5" xr3:uid="{CAC7A565-DCE7-4910-A353-F97CF647F844}" name="Tipo de transação" dataDxfId="49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20457B0-8F55-40A0-908F-544955E0B3F7}" name="Tabela7911" displayName="Tabela7911" ref="T4:X11" totalsRowShown="0" headerRowDxfId="48" dataDxfId="46" headerRowBorderDxfId="47" tableBorderDxfId="45" totalsRowBorderDxfId="44">
  <autoFilter ref="T4:X11" xr:uid="{620457B0-8F55-40A0-908F-544955E0B3F7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4D1FB53D-5AC2-4A90-9228-DDC961708C84}" name="Banco" dataDxfId="43"/>
    <tableColumn id="4" xr3:uid="{04D84B6B-0774-4263-B9B6-8FBC04EEA39A}" name="Nome" dataDxfId="42"/>
    <tableColumn id="2" xr3:uid="{BD555A2A-C18E-48E1-89E7-47F5EBA5A972}" name="Valor" dataDxfId="41" dataCellStyle="Moeda"/>
    <tableColumn id="3" xr3:uid="{9394568F-E649-4480-BF29-4D1F2E98F0EB}" name="Data" dataDxfId="40"/>
    <tableColumn id="5" xr3:uid="{2E2C51CB-8C72-4E6D-9D8D-0AF249DB9E93}" name="Tipo de Transação" dataDxfId="39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ela10" displayName="Tabela10" ref="A4:G12" totalsRowShown="0" headerRowDxfId="38" headerRowBorderDxfId="37" tableBorderDxfId="36" totalsRowBorderDxfId="35">
  <autoFilter ref="A4:G12" xr:uid="{00000000-0009-0000-0100-000007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00000000-0010-0000-0600-000001000000}" name="Remetente" dataDxfId="34"/>
    <tableColumn id="7" xr3:uid="{00000000-0010-0000-0600-000007000000}" name="Destino" dataDxfId="33"/>
    <tableColumn id="2" xr3:uid="{00000000-0010-0000-0600-000002000000}" name="Valor de depósito" dataDxfId="32"/>
    <tableColumn id="3" xr3:uid="{00000000-0010-0000-0600-000003000000}" name="Cotação" dataDxfId="31"/>
    <tableColumn id="4" xr3:uid="{00000000-0010-0000-0600-000004000000}" name="Taxas" dataDxfId="30"/>
    <tableColumn id="5" xr3:uid="{00000000-0010-0000-0600-000005000000}" name="Valor em dólar" dataDxfId="29">
      <calculatedColumnFormula>(C5-E5)/D5</calculatedColumnFormula>
    </tableColumn>
    <tableColumn id="6" xr3:uid="{00000000-0010-0000-0600-000006000000}" name="Data" dataDxfId="28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ela27" displayName="Tabela27" ref="A4:P20" totalsRowShown="0" headerRowDxfId="27" dataDxfId="25" headerRowBorderDxfId="26" tableBorderDxfId="24" totalsRowBorderDxfId="23">
  <autoFilter ref="A4:P20" xr:uid="{00000000-0009-0000-0100-000008000000}">
    <filterColumn colId="12">
      <filters>
        <filter val="Sim"/>
      </filters>
    </filterColumn>
  </autoFilter>
  <tableColumns count="16">
    <tableColumn id="1" xr3:uid="{00000000-0010-0000-0700-000001000000}" name="Instituição" dataDxfId="22"/>
    <tableColumn id="2" xr3:uid="{00000000-0010-0000-0700-000002000000}" name="Observação" dataDxfId="21"/>
    <tableColumn id="5" xr3:uid="{00000000-0010-0000-0700-000005000000}" name="Ticker" dataDxfId="20">
      <calculatedColumnFormula array="1">_FV(Tabela27[[#This Row],[Nome do ativo]],"Símbolo do ticker",TRUE)</calculatedColumnFormula>
    </tableColumn>
    <tableColumn id="8" xr3:uid="{00000000-0010-0000-0700-000008000000}" name="Nome do ativo" dataDxfId="19"/>
    <tableColumn id="13" xr3:uid="{00000000-0010-0000-0700-00000D000000}" name="QTD" dataDxfId="18" dataCellStyle="Vírgula"/>
    <tableColumn id="14" xr3:uid="{00000000-0010-0000-0700-00000E000000}" name="Valor da compra" dataDxfId="17" dataCellStyle="Moeda"/>
    <tableColumn id="15" xr3:uid="{00000000-0010-0000-0700-00000F000000}" name="Preço Atual/Venda" dataDxfId="16" dataCellStyle="Moeda">
      <calculatedColumnFormula array="1">_FV(Tabela27[[#This Row],[Nome do ativo]],"Preço")*Tabela27[[#This Row],[QTD]]</calculatedColumnFormula>
    </tableColumn>
    <tableColumn id="6" xr3:uid="{00000000-0010-0000-0700-000006000000}" name="Data" dataDxfId="15" dataCellStyle="Moeda"/>
    <tableColumn id="4" xr3:uid="{00000000-0010-0000-0700-000004000000}" name="Dividendos pagos" dataDxfId="14"/>
    <tableColumn id="16" xr3:uid="{00000000-0010-0000-0700-000010000000}" name="Lucro" dataDxfId="13">
      <calculatedColumnFormula>(Tabela27[[#This Row],[Preço Atual/Venda]]-Tabela27[[#This Row],[Valor da compra]])</calculatedColumnFormula>
    </tableColumn>
    <tableColumn id="11" xr3:uid="{53A2EEA5-FD5A-4086-9BCA-C81EFA32AE8B}" name="Lucro Real" dataDxfId="12">
      <calculatedColumnFormula>Tabela27[[#This Row],[Lucro]]+Tabela27[[#This Row],[Dividendos pagos]]</calculatedColumnFormula>
    </tableColumn>
    <tableColumn id="17" xr3:uid="{00000000-0010-0000-0700-000011000000}" name="Média de lucro diário" dataDxfId="11">
      <calculatedColumnFormula>J5/(IF(TODAY()-H5=0,1,TODAY()-H5))</calculatedColumnFormula>
    </tableColumn>
    <tableColumn id="3" xr3:uid="{00000000-0010-0000-0700-000003000000}" name="Em posse" dataDxfId="10"/>
    <tableColumn id="10" xr3:uid="{00000000-0010-0000-0700-00000A000000}" name="Total" dataDxfId="9">
      <calculatedColumnFormula>Tabela27[[#This Row],[Valor da compra]]+Tabela27[[#This Row],[Lucro]]</calculatedColumnFormula>
    </tableColumn>
    <tableColumn id="7" xr3:uid="{00000000-0010-0000-0700-000007000000}" name="Tipo" dataDxfId="8"/>
    <tableColumn id="9" xr3:uid="{00000000-0010-0000-0700-000009000000}" name="Operação" dataDxfId="7"/>
  </tableColumns>
  <tableStyleInfo name="TableStyleLight6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65EBAA8-91DC-4632-B1B1-99570E24C5A6}" name="Tabela9" displayName="Tabela9" ref="A2:H4" totalsRowShown="0">
  <autoFilter ref="A2:H4" xr:uid="{D65EBAA8-91DC-4632-B1B1-99570E24C5A6}"/>
  <tableColumns count="8">
    <tableColumn id="1" xr3:uid="{F8B0B4F0-EE52-495D-9723-344BD4F4219C}" name="Nome"/>
    <tableColumn id="2" xr3:uid="{B4C15E8F-C215-4BDD-8596-76E68ABFA52C}" name="Valor investido"/>
    <tableColumn id="3" xr3:uid="{83D8F7E4-2820-4459-B833-25FD3C7FF6C6}" name="Valor atual">
      <calculatedColumnFormula>Tabela9[[#This Row],[Valor investido]]+J7</calculatedColumnFormula>
    </tableColumn>
    <tableColumn id="4" xr3:uid="{EAF1E1E7-EA1A-4D8E-8A12-C8C1FCDDAF53}" name="Data" dataDxfId="6"/>
    <tableColumn id="5" xr3:uid="{5846356F-8F9B-48D5-85E7-20D77A72E277}" name="Vencimento" dataDxfId="5"/>
    <tableColumn id="6" xr3:uid="{ED91CEA1-97AB-435A-A7BD-C94412D6FA42}" name="Em posse"/>
    <tableColumn id="7" xr3:uid="{3960053F-6C7C-4F91-9F8D-BFCE2BF1440C}" name="Juros" dataDxfId="4" dataCellStyle="Porcentagem"/>
    <tableColumn id="8" xr3:uid="{BF2DD6DA-EC74-4911-9389-00FDAAAA8126}" name="Lucro">
      <calculatedColumnFormula>C3-B3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1"/>
  <sheetViews>
    <sheetView topLeftCell="A60" zoomScaleNormal="100" zoomScaleSheetLayoutView="100" workbookViewId="0">
      <selection activeCell="H72" sqref="H72"/>
    </sheetView>
  </sheetViews>
  <sheetFormatPr defaultRowHeight="15" x14ac:dyDescent="0.25"/>
  <cols>
    <col min="1" max="1" width="49.140625" bestFit="1" customWidth="1"/>
    <col min="2" max="2" width="10.28515625" bestFit="1" customWidth="1"/>
    <col min="4" max="4" width="19.28515625" bestFit="1" customWidth="1"/>
    <col min="5" max="5" width="10.5703125" bestFit="1" customWidth="1"/>
    <col min="6" max="6" width="11" bestFit="1" customWidth="1"/>
    <col min="7" max="7" width="31.7109375" bestFit="1" customWidth="1"/>
    <col min="8" max="8" width="31.28515625" bestFit="1" customWidth="1"/>
    <col min="10" max="11" width="10.5703125" bestFit="1" customWidth="1"/>
    <col min="12" max="12" width="13.85546875" bestFit="1" customWidth="1"/>
  </cols>
  <sheetData>
    <row r="1" spans="1:13" ht="30.75" customHeight="1" x14ac:dyDescent="0.25">
      <c r="A1" s="117" t="s">
        <v>0</v>
      </c>
      <c r="B1" s="118"/>
      <c r="C1" s="118"/>
      <c r="D1" s="118"/>
      <c r="E1" s="118"/>
      <c r="F1" s="118"/>
      <c r="G1" s="118"/>
      <c r="H1" s="119"/>
    </row>
    <row r="2" spans="1:13" x14ac:dyDescent="0.25">
      <c r="J2" s="46" t="s">
        <v>1</v>
      </c>
      <c r="K2" s="46" t="s">
        <v>2</v>
      </c>
      <c r="L2" s="46" t="s">
        <v>110</v>
      </c>
      <c r="M2" s="46" t="s">
        <v>21</v>
      </c>
    </row>
    <row r="3" spans="1:13" x14ac:dyDescent="0.25">
      <c r="J3" s="47">
        <f>SUMIF(Tabela4[Tipo],"Saída",Tabela4[Valor])</f>
        <v>542.7399999999999</v>
      </c>
      <c r="K3" s="47">
        <f>SUMIF(Tabela4[Tipo],"Entrada",Tabela4[Valor])</f>
        <v>536.38999999999987</v>
      </c>
      <c r="L3" s="47">
        <f>SUMIF(Tabela4[Categoria],"Capital de giro",Tabela4[Valor])</f>
        <v>4.9399999999999986</v>
      </c>
      <c r="M3" s="47">
        <f>K3-J3+L3</f>
        <v>-1.4100000000000241</v>
      </c>
    </row>
    <row r="4" spans="1:13" x14ac:dyDescent="0.25">
      <c r="A4" s="3" t="s">
        <v>3</v>
      </c>
      <c r="B4" s="3" t="s">
        <v>4</v>
      </c>
      <c r="C4" s="4" t="s">
        <v>5</v>
      </c>
      <c r="D4" s="4" t="s">
        <v>86</v>
      </c>
      <c r="E4" s="4" t="s">
        <v>6</v>
      </c>
      <c r="F4" s="4" t="s">
        <v>7</v>
      </c>
      <c r="G4" s="4" t="s">
        <v>8</v>
      </c>
      <c r="H4" s="8" t="s">
        <v>9</v>
      </c>
    </row>
    <row r="5" spans="1:13" x14ac:dyDescent="0.25">
      <c r="A5" s="11" t="s">
        <v>10</v>
      </c>
      <c r="B5" s="45">
        <v>45672</v>
      </c>
      <c r="C5" s="12" t="s">
        <v>11</v>
      </c>
      <c r="D5" s="12" t="s">
        <v>31</v>
      </c>
      <c r="E5" s="13">
        <v>1.04</v>
      </c>
      <c r="F5" s="12" t="s">
        <v>12</v>
      </c>
      <c r="G5" s="12" t="s">
        <v>13</v>
      </c>
      <c r="H5" s="16" t="s">
        <v>14</v>
      </c>
    </row>
    <row r="6" spans="1:13" x14ac:dyDescent="0.25">
      <c r="A6" s="11" t="s">
        <v>88</v>
      </c>
      <c r="B6" s="45">
        <v>45683</v>
      </c>
      <c r="C6" s="12" t="s">
        <v>15</v>
      </c>
      <c r="D6" s="12" t="s">
        <v>89</v>
      </c>
      <c r="E6" s="75">
        <v>0.1</v>
      </c>
      <c r="F6" s="12" t="s">
        <v>75</v>
      </c>
      <c r="G6" s="12" t="s">
        <v>13</v>
      </c>
      <c r="H6" s="16" t="s">
        <v>14</v>
      </c>
    </row>
    <row r="7" spans="1:13" x14ac:dyDescent="0.25">
      <c r="A7" s="11" t="s">
        <v>91</v>
      </c>
      <c r="B7" s="45">
        <v>45686</v>
      </c>
      <c r="C7" s="12" t="s">
        <v>11</v>
      </c>
      <c r="D7" s="12" t="s">
        <v>30</v>
      </c>
      <c r="E7" s="75">
        <v>20</v>
      </c>
      <c r="F7" s="12" t="s">
        <v>12</v>
      </c>
      <c r="G7" s="12" t="s">
        <v>92</v>
      </c>
      <c r="H7" s="16" t="s">
        <v>14</v>
      </c>
    </row>
    <row r="8" spans="1:13" x14ac:dyDescent="0.25">
      <c r="A8" s="11" t="s">
        <v>91</v>
      </c>
      <c r="B8" s="45">
        <v>45687</v>
      </c>
      <c r="C8" s="12" t="s">
        <v>11</v>
      </c>
      <c r="D8" s="12" t="s">
        <v>30</v>
      </c>
      <c r="E8" s="75">
        <v>5</v>
      </c>
      <c r="F8" s="12" t="s">
        <v>13</v>
      </c>
      <c r="G8" s="12" t="s">
        <v>13</v>
      </c>
      <c r="H8" s="16" t="s">
        <v>14</v>
      </c>
    </row>
    <row r="9" spans="1:13" x14ac:dyDescent="0.25">
      <c r="A9" s="11" t="s">
        <v>95</v>
      </c>
      <c r="B9" s="45">
        <v>45688</v>
      </c>
      <c r="C9" s="12" t="s">
        <v>15</v>
      </c>
      <c r="D9" s="12" t="s">
        <v>21</v>
      </c>
      <c r="E9" s="75">
        <v>0.01</v>
      </c>
      <c r="F9" s="12" t="s">
        <v>13</v>
      </c>
      <c r="G9" s="12" t="s">
        <v>13</v>
      </c>
      <c r="H9" s="16" t="s">
        <v>14</v>
      </c>
    </row>
    <row r="10" spans="1:13" x14ac:dyDescent="0.25">
      <c r="A10" s="11" t="s">
        <v>98</v>
      </c>
      <c r="B10" s="45">
        <v>45696</v>
      </c>
      <c r="C10" s="12" t="s">
        <v>15</v>
      </c>
      <c r="D10" s="12" t="s">
        <v>30</v>
      </c>
      <c r="E10" s="75">
        <v>55.92</v>
      </c>
      <c r="F10" s="12" t="s">
        <v>13</v>
      </c>
      <c r="G10" s="12" t="s">
        <v>13</v>
      </c>
      <c r="H10" s="16" t="s">
        <v>14</v>
      </c>
    </row>
    <row r="11" spans="1:13" x14ac:dyDescent="0.25">
      <c r="A11" s="11" t="s">
        <v>91</v>
      </c>
      <c r="B11" s="45">
        <v>45689</v>
      </c>
      <c r="C11" s="12" t="s">
        <v>11</v>
      </c>
      <c r="D11" s="12" t="s">
        <v>30</v>
      </c>
      <c r="E11" s="75">
        <v>28.5</v>
      </c>
      <c r="F11" s="12" t="s">
        <v>13</v>
      </c>
      <c r="G11" s="12" t="s">
        <v>13</v>
      </c>
      <c r="H11" s="16" t="s">
        <v>14</v>
      </c>
    </row>
    <row r="12" spans="1:13" x14ac:dyDescent="0.25">
      <c r="A12" s="11" t="s">
        <v>30</v>
      </c>
      <c r="B12" s="45">
        <v>45696</v>
      </c>
      <c r="C12" s="12" t="s">
        <v>11</v>
      </c>
      <c r="D12" s="12" t="s">
        <v>30</v>
      </c>
      <c r="E12" s="75">
        <f>55.92-1.14</f>
        <v>54.78</v>
      </c>
      <c r="F12" s="12" t="s">
        <v>13</v>
      </c>
      <c r="G12" s="12" t="s">
        <v>13</v>
      </c>
      <c r="H12" s="16" t="s">
        <v>14</v>
      </c>
    </row>
    <row r="13" spans="1:13" x14ac:dyDescent="0.25">
      <c r="A13" s="11" t="s">
        <v>99</v>
      </c>
      <c r="B13" s="45">
        <v>45696</v>
      </c>
      <c r="C13" s="12" t="s">
        <v>11</v>
      </c>
      <c r="D13" s="12" t="s">
        <v>31</v>
      </c>
      <c r="E13" s="75">
        <v>1.1399999999999999</v>
      </c>
      <c r="F13" s="12" t="s">
        <v>13</v>
      </c>
      <c r="G13" s="12" t="s">
        <v>13</v>
      </c>
      <c r="H13" s="16" t="s">
        <v>14</v>
      </c>
    </row>
    <row r="14" spans="1:13" x14ac:dyDescent="0.25">
      <c r="A14" s="11" t="s">
        <v>101</v>
      </c>
      <c r="B14" s="45">
        <v>45702</v>
      </c>
      <c r="C14" s="12" t="s">
        <v>15</v>
      </c>
      <c r="D14" s="12" t="s">
        <v>89</v>
      </c>
      <c r="E14" s="75">
        <v>0.27</v>
      </c>
      <c r="F14" s="12" t="s">
        <v>13</v>
      </c>
      <c r="G14" s="12" t="s">
        <v>13</v>
      </c>
      <c r="H14" s="16" t="s">
        <v>14</v>
      </c>
    </row>
    <row r="15" spans="1:13" x14ac:dyDescent="0.25">
      <c r="A15" s="11" t="s">
        <v>102</v>
      </c>
      <c r="B15" s="45">
        <v>45706</v>
      </c>
      <c r="C15" s="12" t="s">
        <v>11</v>
      </c>
      <c r="D15" s="12" t="s">
        <v>103</v>
      </c>
      <c r="E15" s="75">
        <v>12</v>
      </c>
      <c r="F15" s="12" t="s">
        <v>13</v>
      </c>
      <c r="G15" s="12" t="s">
        <v>13</v>
      </c>
      <c r="H15" s="16" t="s">
        <v>14</v>
      </c>
    </row>
    <row r="16" spans="1:13" x14ac:dyDescent="0.25">
      <c r="A16" s="11" t="s">
        <v>105</v>
      </c>
      <c r="B16" s="85">
        <v>45706</v>
      </c>
      <c r="C16" s="12" t="s">
        <v>15</v>
      </c>
      <c r="D16" s="12" t="s">
        <v>106</v>
      </c>
      <c r="E16" s="75">
        <v>12.01</v>
      </c>
      <c r="F16" s="12" t="s">
        <v>13</v>
      </c>
      <c r="G16" s="12" t="s">
        <v>13</v>
      </c>
      <c r="H16" s="16" t="s">
        <v>14</v>
      </c>
    </row>
    <row r="17" spans="1:8" x14ac:dyDescent="0.25">
      <c r="A17" s="11" t="s">
        <v>107</v>
      </c>
      <c r="B17" s="45">
        <v>45708</v>
      </c>
      <c r="C17" s="12" t="s">
        <v>15</v>
      </c>
      <c r="D17" s="12" t="s">
        <v>106</v>
      </c>
      <c r="E17" s="75">
        <v>12.02</v>
      </c>
      <c r="F17" s="12" t="s">
        <v>13</v>
      </c>
      <c r="G17" s="12" t="s">
        <v>13</v>
      </c>
      <c r="H17" s="16" t="s">
        <v>14</v>
      </c>
    </row>
    <row r="18" spans="1:8" x14ac:dyDescent="0.25">
      <c r="A18" s="11" t="s">
        <v>108</v>
      </c>
      <c r="B18" s="45">
        <v>45708</v>
      </c>
      <c r="C18" s="12" t="s">
        <v>11</v>
      </c>
      <c r="D18" s="12" t="s">
        <v>106</v>
      </c>
      <c r="E18" s="75">
        <v>12.02</v>
      </c>
      <c r="F18" s="12" t="s">
        <v>13</v>
      </c>
      <c r="G18" s="12" t="s">
        <v>13</v>
      </c>
      <c r="H18" s="16" t="s">
        <v>14</v>
      </c>
    </row>
    <row r="19" spans="1:8" x14ac:dyDescent="0.25">
      <c r="A19" s="11" t="s">
        <v>98</v>
      </c>
      <c r="B19" s="45">
        <v>45708</v>
      </c>
      <c r="C19" s="12" t="s">
        <v>15</v>
      </c>
      <c r="D19" s="12" t="s">
        <v>106</v>
      </c>
      <c r="E19" s="75">
        <v>56.19</v>
      </c>
      <c r="F19" s="12" t="s">
        <v>13</v>
      </c>
      <c r="G19" s="12" t="s">
        <v>13</v>
      </c>
      <c r="H19" s="16" t="s">
        <v>14</v>
      </c>
    </row>
    <row r="20" spans="1:8" x14ac:dyDescent="0.25">
      <c r="A20" s="11" t="s">
        <v>108</v>
      </c>
      <c r="B20" s="45">
        <v>45708</v>
      </c>
      <c r="C20" s="12" t="s">
        <v>11</v>
      </c>
      <c r="D20" s="12" t="s">
        <v>110</v>
      </c>
      <c r="E20" s="75">
        <v>1.1200000000000001</v>
      </c>
      <c r="F20" s="12" t="s">
        <v>13</v>
      </c>
      <c r="G20" s="12" t="s">
        <v>13</v>
      </c>
      <c r="H20" s="16" t="s">
        <v>14</v>
      </c>
    </row>
    <row r="21" spans="1:8" x14ac:dyDescent="0.25">
      <c r="A21" s="11" t="s">
        <v>95</v>
      </c>
      <c r="B21" s="45">
        <v>45712</v>
      </c>
      <c r="C21" s="12" t="s">
        <v>15</v>
      </c>
      <c r="D21" s="12" t="s">
        <v>21</v>
      </c>
      <c r="E21" s="75">
        <v>0.01</v>
      </c>
      <c r="F21" s="12" t="s">
        <v>13</v>
      </c>
      <c r="G21" s="12" t="s">
        <v>13</v>
      </c>
      <c r="H21" s="16" t="s">
        <v>14</v>
      </c>
    </row>
    <row r="22" spans="1:8" x14ac:dyDescent="0.25">
      <c r="A22" s="11" t="s">
        <v>108</v>
      </c>
      <c r="B22" s="45">
        <v>45712</v>
      </c>
      <c r="C22" s="12" t="s">
        <v>11</v>
      </c>
      <c r="D22" s="12" t="s">
        <v>110</v>
      </c>
      <c r="E22" s="75">
        <v>0.01</v>
      </c>
      <c r="F22" s="12" t="s">
        <v>13</v>
      </c>
      <c r="G22" s="12" t="s">
        <v>13</v>
      </c>
      <c r="H22" s="16" t="s">
        <v>14</v>
      </c>
    </row>
    <row r="23" spans="1:8" x14ac:dyDescent="0.25">
      <c r="A23" s="11" t="s">
        <v>112</v>
      </c>
      <c r="B23" s="45">
        <v>45712</v>
      </c>
      <c r="C23" s="12" t="s">
        <v>15</v>
      </c>
      <c r="D23" s="12" t="s">
        <v>21</v>
      </c>
      <c r="E23" s="75">
        <v>0.01</v>
      </c>
      <c r="F23" s="12" t="s">
        <v>111</v>
      </c>
      <c r="G23" s="12" t="s">
        <v>111</v>
      </c>
      <c r="H23" s="16" t="s">
        <v>14</v>
      </c>
    </row>
    <row r="24" spans="1:8" x14ac:dyDescent="0.25">
      <c r="A24" s="11" t="s">
        <v>113</v>
      </c>
      <c r="B24" s="45">
        <v>45712</v>
      </c>
      <c r="C24" s="12" t="s">
        <v>15</v>
      </c>
      <c r="D24" s="12" t="s">
        <v>21</v>
      </c>
      <c r="E24" s="75">
        <v>0.02</v>
      </c>
      <c r="F24" s="12" t="s">
        <v>111</v>
      </c>
      <c r="G24" s="12" t="s">
        <v>111</v>
      </c>
      <c r="H24" s="16" t="s">
        <v>14</v>
      </c>
    </row>
    <row r="25" spans="1:8" x14ac:dyDescent="0.25">
      <c r="A25" s="11" t="s">
        <v>108</v>
      </c>
      <c r="B25" s="45">
        <v>45712</v>
      </c>
      <c r="C25" s="12" t="s">
        <v>11</v>
      </c>
      <c r="D25" s="12" t="s">
        <v>110</v>
      </c>
      <c r="E25" s="75">
        <v>0.03</v>
      </c>
      <c r="F25" s="12" t="s">
        <v>111</v>
      </c>
      <c r="G25" s="12" t="s">
        <v>111</v>
      </c>
      <c r="H25" s="16" t="s">
        <v>14</v>
      </c>
    </row>
    <row r="26" spans="1:8" x14ac:dyDescent="0.25">
      <c r="A26" s="11" t="s">
        <v>113</v>
      </c>
      <c r="B26" s="45">
        <v>45717</v>
      </c>
      <c r="C26" s="12" t="s">
        <v>15</v>
      </c>
      <c r="D26" s="12" t="s">
        <v>21</v>
      </c>
      <c r="E26" s="75">
        <v>0.01</v>
      </c>
      <c r="F26" s="12" t="s">
        <v>13</v>
      </c>
      <c r="G26" s="12" t="s">
        <v>13</v>
      </c>
      <c r="H26" s="16" t="s">
        <v>14</v>
      </c>
    </row>
    <row r="27" spans="1:8" x14ac:dyDescent="0.25">
      <c r="A27" s="11" t="s">
        <v>114</v>
      </c>
      <c r="B27" s="45">
        <v>45717</v>
      </c>
      <c r="C27" s="12" t="s">
        <v>11</v>
      </c>
      <c r="D27" s="12" t="s">
        <v>110</v>
      </c>
      <c r="E27" s="75">
        <v>0.01</v>
      </c>
      <c r="F27" s="12" t="s">
        <v>13</v>
      </c>
      <c r="G27" s="12" t="s">
        <v>13</v>
      </c>
      <c r="H27" s="16" t="s">
        <v>14</v>
      </c>
    </row>
    <row r="28" spans="1:8" x14ac:dyDescent="0.25">
      <c r="A28" s="11" t="s">
        <v>115</v>
      </c>
      <c r="B28" s="45">
        <v>45689</v>
      </c>
      <c r="C28" s="12" t="s">
        <v>15</v>
      </c>
      <c r="D28" s="12" t="s">
        <v>21</v>
      </c>
      <c r="E28" s="75">
        <v>0.14000000000000001</v>
      </c>
      <c r="F28" s="12" t="s">
        <v>116</v>
      </c>
      <c r="G28" s="12" t="s">
        <v>116</v>
      </c>
      <c r="H28" s="16" t="s">
        <v>14</v>
      </c>
    </row>
    <row r="29" spans="1:8" x14ac:dyDescent="0.25">
      <c r="A29" s="11" t="s">
        <v>114</v>
      </c>
      <c r="B29" s="45">
        <v>45717</v>
      </c>
      <c r="C29" s="12" t="s">
        <v>11</v>
      </c>
      <c r="D29" s="12" t="s">
        <v>110</v>
      </c>
      <c r="E29" s="75">
        <v>0.14000000000000001</v>
      </c>
      <c r="F29" s="12" t="s">
        <v>116</v>
      </c>
      <c r="G29" s="12" t="s">
        <v>116</v>
      </c>
      <c r="H29" s="16" t="s">
        <v>14</v>
      </c>
    </row>
    <row r="30" spans="1:8" x14ac:dyDescent="0.25">
      <c r="A30" s="11" t="s">
        <v>30</v>
      </c>
      <c r="B30" s="45">
        <v>45717</v>
      </c>
      <c r="C30" s="12" t="s">
        <v>11</v>
      </c>
      <c r="D30" s="12" t="s">
        <v>30</v>
      </c>
      <c r="E30" s="75">
        <v>1.49</v>
      </c>
      <c r="F30" s="12" t="s">
        <v>111</v>
      </c>
      <c r="G30" s="12" t="s">
        <v>13</v>
      </c>
      <c r="H30" s="16" t="s">
        <v>14</v>
      </c>
    </row>
    <row r="31" spans="1:8" x14ac:dyDescent="0.25">
      <c r="A31" s="11" t="s">
        <v>30</v>
      </c>
      <c r="B31" s="45">
        <v>45720</v>
      </c>
      <c r="C31" s="12" t="s">
        <v>11</v>
      </c>
      <c r="D31" s="12" t="s">
        <v>30</v>
      </c>
      <c r="E31" s="75">
        <v>40</v>
      </c>
      <c r="F31" s="12" t="s">
        <v>116</v>
      </c>
      <c r="G31" s="12" t="s">
        <v>13</v>
      </c>
      <c r="H31" s="16" t="s">
        <v>14</v>
      </c>
    </row>
    <row r="32" spans="1:8" x14ac:dyDescent="0.25">
      <c r="A32" s="11" t="s">
        <v>30</v>
      </c>
      <c r="B32" s="45">
        <v>45718</v>
      </c>
      <c r="C32" s="12" t="s">
        <v>11</v>
      </c>
      <c r="D32" s="12" t="s">
        <v>30</v>
      </c>
      <c r="E32" s="75">
        <v>49.46</v>
      </c>
      <c r="F32" s="12" t="s">
        <v>116</v>
      </c>
      <c r="G32" s="12" t="s">
        <v>13</v>
      </c>
      <c r="H32" s="16" t="s">
        <v>14</v>
      </c>
    </row>
    <row r="33" spans="1:8" x14ac:dyDescent="0.25">
      <c r="A33" s="11" t="s">
        <v>98</v>
      </c>
      <c r="B33" s="45">
        <v>45722</v>
      </c>
      <c r="C33" s="12" t="s">
        <v>15</v>
      </c>
      <c r="D33" s="12" t="s">
        <v>30</v>
      </c>
      <c r="E33" s="75">
        <v>89.7</v>
      </c>
      <c r="F33" s="12" t="s">
        <v>13</v>
      </c>
      <c r="G33" s="12" t="s">
        <v>116</v>
      </c>
      <c r="H33" s="16" t="s">
        <v>14</v>
      </c>
    </row>
    <row r="34" spans="1:8" x14ac:dyDescent="0.25">
      <c r="A34" s="11" t="s">
        <v>114</v>
      </c>
      <c r="B34" s="45">
        <v>45722</v>
      </c>
      <c r="C34" s="12" t="s">
        <v>11</v>
      </c>
      <c r="D34" s="12" t="s">
        <v>110</v>
      </c>
      <c r="E34" s="75">
        <v>2.94</v>
      </c>
      <c r="F34" s="12" t="s">
        <v>116</v>
      </c>
      <c r="G34" s="12" t="s">
        <v>13</v>
      </c>
      <c r="H34" s="16" t="s">
        <v>14</v>
      </c>
    </row>
    <row r="35" spans="1:8" x14ac:dyDescent="0.25">
      <c r="A35" s="11" t="s">
        <v>117</v>
      </c>
      <c r="B35" s="45">
        <v>45722</v>
      </c>
      <c r="C35" s="12" t="s">
        <v>15</v>
      </c>
      <c r="D35" s="12" t="s">
        <v>106</v>
      </c>
      <c r="E35" s="75">
        <v>84.09</v>
      </c>
      <c r="F35" s="12" t="s">
        <v>13</v>
      </c>
      <c r="G35" s="12" t="s">
        <v>13</v>
      </c>
      <c r="H35" s="16" t="s">
        <v>14</v>
      </c>
    </row>
    <row r="36" spans="1:8" x14ac:dyDescent="0.25">
      <c r="A36" s="11" t="s">
        <v>118</v>
      </c>
      <c r="B36" s="45">
        <v>45723</v>
      </c>
      <c r="C36" s="12" t="s">
        <v>11</v>
      </c>
      <c r="D36" s="12" t="s">
        <v>106</v>
      </c>
      <c r="E36" s="75">
        <v>84.09</v>
      </c>
      <c r="F36" s="12" t="s">
        <v>13</v>
      </c>
      <c r="G36" s="12" t="s">
        <v>13</v>
      </c>
      <c r="H36" s="16" t="s">
        <v>14</v>
      </c>
    </row>
    <row r="37" spans="1:8" x14ac:dyDescent="0.25">
      <c r="A37" s="11" t="s">
        <v>121</v>
      </c>
      <c r="B37" s="45">
        <v>45723</v>
      </c>
      <c r="C37" s="12" t="s">
        <v>15</v>
      </c>
      <c r="D37" s="12" t="s">
        <v>106</v>
      </c>
      <c r="E37" s="75">
        <v>0.01</v>
      </c>
      <c r="F37" s="12" t="s">
        <v>116</v>
      </c>
      <c r="G37" s="12" t="s">
        <v>116</v>
      </c>
      <c r="H37" s="16" t="s">
        <v>14</v>
      </c>
    </row>
    <row r="38" spans="1:8" x14ac:dyDescent="0.25">
      <c r="A38" s="11" t="s">
        <v>122</v>
      </c>
      <c r="B38" s="45">
        <v>45723</v>
      </c>
      <c r="C38" s="12" t="s">
        <v>11</v>
      </c>
      <c r="D38" s="12" t="s">
        <v>110</v>
      </c>
      <c r="E38" s="75">
        <v>0.01</v>
      </c>
      <c r="F38" s="12" t="s">
        <v>116</v>
      </c>
      <c r="G38" s="12" t="s">
        <v>116</v>
      </c>
      <c r="H38" s="16" t="s">
        <v>14</v>
      </c>
    </row>
    <row r="39" spans="1:8" x14ac:dyDescent="0.25">
      <c r="A39" s="11" t="s">
        <v>123</v>
      </c>
      <c r="B39" s="45">
        <v>45724</v>
      </c>
      <c r="C39" s="12" t="s">
        <v>11</v>
      </c>
      <c r="D39" s="12" t="s">
        <v>30</v>
      </c>
      <c r="E39" s="75">
        <f>11-1.25</f>
        <v>9.75</v>
      </c>
      <c r="F39" s="12" t="s">
        <v>116</v>
      </c>
      <c r="G39" s="12" t="s">
        <v>13</v>
      </c>
      <c r="H39" s="16" t="s">
        <v>14</v>
      </c>
    </row>
    <row r="40" spans="1:8" x14ac:dyDescent="0.25">
      <c r="A40" s="11" t="s">
        <v>124</v>
      </c>
      <c r="B40" s="45">
        <v>45724</v>
      </c>
      <c r="C40" s="12" t="s">
        <v>11</v>
      </c>
      <c r="D40" s="12" t="s">
        <v>31</v>
      </c>
      <c r="E40" s="75">
        <v>1.25</v>
      </c>
      <c r="F40" s="12" t="s">
        <v>116</v>
      </c>
      <c r="G40" s="12" t="s">
        <v>13</v>
      </c>
      <c r="H40" s="16" t="s">
        <v>14</v>
      </c>
    </row>
    <row r="41" spans="1:8" x14ac:dyDescent="0.25">
      <c r="A41" s="11" t="s">
        <v>131</v>
      </c>
      <c r="B41" s="45">
        <v>45727</v>
      </c>
      <c r="C41" s="12" t="s">
        <v>15</v>
      </c>
      <c r="D41" s="12" t="s">
        <v>21</v>
      </c>
      <c r="E41" s="75">
        <v>0.01</v>
      </c>
      <c r="F41" s="12" t="s">
        <v>13</v>
      </c>
      <c r="G41" s="12" t="s">
        <v>13</v>
      </c>
      <c r="H41" s="16" t="s">
        <v>14</v>
      </c>
    </row>
    <row r="42" spans="1:8" x14ac:dyDescent="0.25">
      <c r="A42" s="11" t="s">
        <v>122</v>
      </c>
      <c r="B42" s="45">
        <v>45727</v>
      </c>
      <c r="C42" s="12" t="s">
        <v>11</v>
      </c>
      <c r="D42" s="12" t="s">
        <v>110</v>
      </c>
      <c r="E42" s="75">
        <v>0.01</v>
      </c>
      <c r="F42" s="12" t="s">
        <v>13</v>
      </c>
      <c r="G42" s="12" t="s">
        <v>13</v>
      </c>
      <c r="H42" s="16" t="s">
        <v>14</v>
      </c>
    </row>
    <row r="43" spans="1:8" x14ac:dyDescent="0.25">
      <c r="A43" s="11" t="s">
        <v>121</v>
      </c>
      <c r="B43" s="45">
        <v>45727</v>
      </c>
      <c r="C43" s="12" t="s">
        <v>15</v>
      </c>
      <c r="D43" s="12" t="s">
        <v>21</v>
      </c>
      <c r="E43" s="75">
        <v>0.05</v>
      </c>
      <c r="F43" s="12" t="s">
        <v>13</v>
      </c>
      <c r="G43" s="12" t="s">
        <v>13</v>
      </c>
      <c r="H43" s="16" t="s">
        <v>14</v>
      </c>
    </row>
    <row r="44" spans="1:8" x14ac:dyDescent="0.25">
      <c r="A44" s="11" t="s">
        <v>122</v>
      </c>
      <c r="B44" s="45">
        <v>45727</v>
      </c>
      <c r="C44" s="12" t="s">
        <v>11</v>
      </c>
      <c r="D44" s="12" t="s">
        <v>110</v>
      </c>
      <c r="E44" s="75">
        <v>0.05</v>
      </c>
      <c r="F44" s="12" t="s">
        <v>13</v>
      </c>
      <c r="G44" s="12" t="s">
        <v>13</v>
      </c>
      <c r="H44" s="16" t="s">
        <v>14</v>
      </c>
    </row>
    <row r="45" spans="1:8" x14ac:dyDescent="0.25">
      <c r="A45" s="11" t="s">
        <v>121</v>
      </c>
      <c r="B45" s="45">
        <v>45730</v>
      </c>
      <c r="C45" s="12" t="s">
        <v>15</v>
      </c>
      <c r="D45" s="12" t="s">
        <v>21</v>
      </c>
      <c r="E45" s="75">
        <v>7.0000000000000007E-2</v>
      </c>
      <c r="F45" s="12" t="s">
        <v>116</v>
      </c>
      <c r="G45" s="12" t="s">
        <v>116</v>
      </c>
      <c r="H45" s="16" t="s">
        <v>14</v>
      </c>
    </row>
    <row r="46" spans="1:8" x14ac:dyDescent="0.25">
      <c r="A46" s="11" t="s">
        <v>122</v>
      </c>
      <c r="B46" s="45">
        <v>45730</v>
      </c>
      <c r="C46" s="12" t="s">
        <v>11</v>
      </c>
      <c r="D46" s="12" t="s">
        <v>110</v>
      </c>
      <c r="E46" s="75">
        <v>7.0000000000000007E-2</v>
      </c>
      <c r="F46" s="12" t="s">
        <v>116</v>
      </c>
      <c r="G46" s="12" t="s">
        <v>116</v>
      </c>
      <c r="H46" s="16" t="s">
        <v>14</v>
      </c>
    </row>
    <row r="47" spans="1:8" x14ac:dyDescent="0.25">
      <c r="A47" s="11" t="s">
        <v>132</v>
      </c>
      <c r="B47" s="45">
        <v>45730</v>
      </c>
      <c r="C47" s="12" t="s">
        <v>15</v>
      </c>
      <c r="D47" s="12" t="s">
        <v>106</v>
      </c>
      <c r="E47" s="75">
        <v>18.02</v>
      </c>
      <c r="F47" s="12" t="s">
        <v>13</v>
      </c>
      <c r="G47" s="12" t="s">
        <v>116</v>
      </c>
      <c r="H47" s="16" t="s">
        <v>14</v>
      </c>
    </row>
    <row r="48" spans="1:8" x14ac:dyDescent="0.25">
      <c r="A48" s="11" t="s">
        <v>122</v>
      </c>
      <c r="B48" s="45">
        <v>45730</v>
      </c>
      <c r="C48" s="12" t="s">
        <v>11</v>
      </c>
      <c r="D48" s="12" t="s">
        <v>106</v>
      </c>
      <c r="E48" s="75">
        <v>18.02</v>
      </c>
      <c r="F48" s="12" t="s">
        <v>116</v>
      </c>
      <c r="G48" s="12" t="s">
        <v>116</v>
      </c>
      <c r="H48" s="16" t="s">
        <v>14</v>
      </c>
    </row>
    <row r="49" spans="1:8" x14ac:dyDescent="0.25">
      <c r="A49" s="11" t="s">
        <v>98</v>
      </c>
      <c r="B49" s="45">
        <v>45730</v>
      </c>
      <c r="C49" s="12" t="s">
        <v>15</v>
      </c>
      <c r="D49" s="12" t="s">
        <v>30</v>
      </c>
      <c r="E49" s="75">
        <v>10</v>
      </c>
      <c r="F49" s="12" t="s">
        <v>13</v>
      </c>
      <c r="G49" s="12" t="s">
        <v>13</v>
      </c>
      <c r="H49" s="16" t="s">
        <v>14</v>
      </c>
    </row>
    <row r="50" spans="1:8" x14ac:dyDescent="0.25">
      <c r="A50" s="11" t="s">
        <v>133</v>
      </c>
      <c r="B50" s="45">
        <v>45730</v>
      </c>
      <c r="C50" s="12" t="s">
        <v>15</v>
      </c>
      <c r="D50" s="12" t="s">
        <v>21</v>
      </c>
      <c r="E50" s="75">
        <v>0.01</v>
      </c>
      <c r="F50" s="12" t="s">
        <v>13</v>
      </c>
      <c r="G50" s="12" t="s">
        <v>13</v>
      </c>
      <c r="H50" s="16" t="s">
        <v>14</v>
      </c>
    </row>
    <row r="51" spans="1:8" x14ac:dyDescent="0.25">
      <c r="A51" s="11" t="s">
        <v>122</v>
      </c>
      <c r="B51" s="45">
        <v>45730</v>
      </c>
      <c r="C51" s="12" t="s">
        <v>11</v>
      </c>
      <c r="D51" s="12" t="s">
        <v>110</v>
      </c>
      <c r="E51" s="75">
        <v>0.01</v>
      </c>
      <c r="F51" s="12" t="s">
        <v>13</v>
      </c>
      <c r="G51" s="12" t="s">
        <v>13</v>
      </c>
      <c r="H51" s="16" t="s">
        <v>14</v>
      </c>
    </row>
    <row r="52" spans="1:8" x14ac:dyDescent="0.25">
      <c r="A52" s="11" t="s">
        <v>121</v>
      </c>
      <c r="B52" s="45">
        <v>45732</v>
      </c>
      <c r="C52" s="12" t="s">
        <v>15</v>
      </c>
      <c r="D52" s="12" t="s">
        <v>21</v>
      </c>
      <c r="E52" s="75">
        <v>0.04</v>
      </c>
      <c r="F52" s="12" t="s">
        <v>116</v>
      </c>
      <c r="G52" s="12" t="s">
        <v>116</v>
      </c>
      <c r="H52" s="16" t="s">
        <v>14</v>
      </c>
    </row>
    <row r="53" spans="1:8" x14ac:dyDescent="0.25">
      <c r="A53" s="11" t="s">
        <v>122</v>
      </c>
      <c r="B53" s="45">
        <v>45732</v>
      </c>
      <c r="C53" s="12" t="s">
        <v>11</v>
      </c>
      <c r="D53" s="12" t="s">
        <v>110</v>
      </c>
      <c r="E53" s="75">
        <v>0.04</v>
      </c>
      <c r="F53" s="12" t="s">
        <v>116</v>
      </c>
      <c r="G53" s="12" t="s">
        <v>116</v>
      </c>
      <c r="H53" s="16" t="s">
        <v>14</v>
      </c>
    </row>
    <row r="54" spans="1:8" x14ac:dyDescent="0.25">
      <c r="A54" s="11" t="s">
        <v>136</v>
      </c>
      <c r="B54" s="45">
        <v>45733</v>
      </c>
      <c r="C54" s="12" t="s">
        <v>11</v>
      </c>
      <c r="D54" s="12" t="s">
        <v>30</v>
      </c>
      <c r="E54" s="75">
        <v>93</v>
      </c>
      <c r="F54" s="12" t="s">
        <v>116</v>
      </c>
      <c r="G54" s="12" t="s">
        <v>116</v>
      </c>
      <c r="H54" s="16" t="s">
        <v>14</v>
      </c>
    </row>
    <row r="55" spans="1:8" x14ac:dyDescent="0.25">
      <c r="A55" s="11" t="s">
        <v>138</v>
      </c>
      <c r="B55" s="45">
        <v>45733</v>
      </c>
      <c r="C55" s="12" t="s">
        <v>15</v>
      </c>
      <c r="D55" s="12" t="s">
        <v>21</v>
      </c>
      <c r="E55" s="75">
        <v>0.06</v>
      </c>
      <c r="F55" s="12" t="s">
        <v>13</v>
      </c>
      <c r="G55" s="12" t="s">
        <v>13</v>
      </c>
      <c r="H55" s="16" t="s">
        <v>14</v>
      </c>
    </row>
    <row r="56" spans="1:8" x14ac:dyDescent="0.25">
      <c r="A56" s="11" t="s">
        <v>122</v>
      </c>
      <c r="B56" s="45">
        <v>45733</v>
      </c>
      <c r="C56" s="12" t="s">
        <v>11</v>
      </c>
      <c r="D56" s="12" t="s">
        <v>110</v>
      </c>
      <c r="E56" s="75">
        <v>0.06</v>
      </c>
      <c r="F56" s="12" t="s">
        <v>13</v>
      </c>
      <c r="G56" s="12" t="s">
        <v>13</v>
      </c>
      <c r="H56" s="16" t="s">
        <v>14</v>
      </c>
    </row>
    <row r="57" spans="1:8" x14ac:dyDescent="0.25">
      <c r="A57" s="11" t="s">
        <v>139</v>
      </c>
      <c r="B57" s="45">
        <v>45734</v>
      </c>
      <c r="C57" s="12" t="s">
        <v>15</v>
      </c>
      <c r="D57" s="12" t="s">
        <v>89</v>
      </c>
      <c r="E57" s="75">
        <v>0.27</v>
      </c>
      <c r="F57" s="12" t="s">
        <v>13</v>
      </c>
      <c r="G57" s="12" t="s">
        <v>13</v>
      </c>
      <c r="H57" s="16" t="s">
        <v>14</v>
      </c>
    </row>
    <row r="58" spans="1:8" x14ac:dyDescent="0.25">
      <c r="A58" s="11" t="s">
        <v>122</v>
      </c>
      <c r="B58" s="45">
        <v>45734</v>
      </c>
      <c r="C58" s="12" t="s">
        <v>11</v>
      </c>
      <c r="D58" s="12" t="s">
        <v>110</v>
      </c>
      <c r="E58" s="75">
        <v>0.27</v>
      </c>
      <c r="F58" s="12" t="s">
        <v>13</v>
      </c>
      <c r="G58" s="12" t="s">
        <v>111</v>
      </c>
      <c r="H58" s="16" t="s">
        <v>14</v>
      </c>
    </row>
    <row r="59" spans="1:8" x14ac:dyDescent="0.25">
      <c r="A59" s="11" t="s">
        <v>98</v>
      </c>
      <c r="B59" s="45">
        <v>45736</v>
      </c>
      <c r="C59" s="12" t="s">
        <v>15</v>
      </c>
      <c r="D59" s="12" t="s">
        <v>30</v>
      </c>
      <c r="E59" s="75">
        <v>95.33</v>
      </c>
      <c r="F59" s="12" t="s">
        <v>13</v>
      </c>
      <c r="G59" s="12" t="s">
        <v>116</v>
      </c>
      <c r="H59" s="16" t="s">
        <v>14</v>
      </c>
    </row>
    <row r="60" spans="1:8" x14ac:dyDescent="0.25">
      <c r="A60" s="11" t="s">
        <v>140</v>
      </c>
      <c r="B60" s="45">
        <v>45736</v>
      </c>
      <c r="C60" s="12" t="s">
        <v>11</v>
      </c>
      <c r="D60" s="12" t="s">
        <v>141</v>
      </c>
      <c r="E60" s="75">
        <f>1.5+1.89</f>
        <v>3.3899999999999997</v>
      </c>
      <c r="F60" s="12" t="s">
        <v>116</v>
      </c>
      <c r="G60" s="12" t="s">
        <v>142</v>
      </c>
      <c r="H60" s="16" t="s">
        <v>14</v>
      </c>
    </row>
    <row r="61" spans="1:8" x14ac:dyDescent="0.25">
      <c r="A61" s="112" t="s">
        <v>143</v>
      </c>
      <c r="B61" s="113">
        <v>45736</v>
      </c>
      <c r="C61" s="112" t="s">
        <v>15</v>
      </c>
      <c r="D61" s="112" t="s">
        <v>106</v>
      </c>
      <c r="E61" s="114">
        <v>101.85</v>
      </c>
      <c r="F61" s="112" t="s">
        <v>13</v>
      </c>
      <c r="G61" s="112" t="s">
        <v>13</v>
      </c>
      <c r="H61" s="112" t="s">
        <v>14</v>
      </c>
    </row>
    <row r="62" spans="1:8" x14ac:dyDescent="0.25">
      <c r="A62" s="11" t="s">
        <v>122</v>
      </c>
      <c r="B62" s="45">
        <v>45737</v>
      </c>
      <c r="C62" s="12" t="s">
        <v>11</v>
      </c>
      <c r="D62" s="12" t="s">
        <v>106</v>
      </c>
      <c r="E62" s="75">
        <v>101.85</v>
      </c>
      <c r="F62" s="12" t="s">
        <v>13</v>
      </c>
      <c r="G62" s="12" t="s">
        <v>13</v>
      </c>
      <c r="H62" s="16" t="s">
        <v>14</v>
      </c>
    </row>
    <row r="63" spans="1:8" x14ac:dyDescent="0.25">
      <c r="A63" s="11" t="s">
        <v>133</v>
      </c>
      <c r="B63" s="45">
        <v>45737</v>
      </c>
      <c r="C63" s="12" t="s">
        <v>15</v>
      </c>
      <c r="D63" s="12" t="s">
        <v>21</v>
      </c>
      <c r="E63" s="75">
        <v>0.01</v>
      </c>
      <c r="F63" s="12" t="s">
        <v>13</v>
      </c>
      <c r="G63" s="12" t="s">
        <v>13</v>
      </c>
      <c r="H63" s="16" t="s">
        <v>14</v>
      </c>
    </row>
    <row r="64" spans="1:8" x14ac:dyDescent="0.25">
      <c r="A64" s="11" t="s">
        <v>122</v>
      </c>
      <c r="B64" s="45">
        <v>45737</v>
      </c>
      <c r="C64" s="12" t="s">
        <v>11</v>
      </c>
      <c r="D64" s="12" t="s">
        <v>110</v>
      </c>
      <c r="E64" s="75">
        <v>0.01</v>
      </c>
      <c r="F64" s="12" t="s">
        <v>13</v>
      </c>
      <c r="G64" s="12" t="s">
        <v>13</v>
      </c>
      <c r="H64" s="16" t="s">
        <v>14</v>
      </c>
    </row>
    <row r="65" spans="1:8" x14ac:dyDescent="0.25">
      <c r="A65" s="11" t="s">
        <v>144</v>
      </c>
      <c r="B65" s="45">
        <v>45737</v>
      </c>
      <c r="C65" s="12" t="s">
        <v>11</v>
      </c>
      <c r="D65" s="12" t="s">
        <v>145</v>
      </c>
      <c r="E65" s="75">
        <v>1.02</v>
      </c>
      <c r="F65" s="12"/>
      <c r="G65" s="12"/>
      <c r="H65" s="16" t="s">
        <v>14</v>
      </c>
    </row>
    <row r="66" spans="1:8" x14ac:dyDescent="0.25">
      <c r="A66" s="11" t="s">
        <v>146</v>
      </c>
      <c r="B66" s="45">
        <v>45741</v>
      </c>
      <c r="C66" s="12" t="s">
        <v>15</v>
      </c>
      <c r="D66" s="12" t="s">
        <v>21</v>
      </c>
      <c r="E66" s="75">
        <v>0.08</v>
      </c>
      <c r="F66" s="12" t="s">
        <v>116</v>
      </c>
      <c r="G66" s="12" t="s">
        <v>116</v>
      </c>
      <c r="H66" s="16" t="s">
        <v>14</v>
      </c>
    </row>
    <row r="67" spans="1:8" x14ac:dyDescent="0.25">
      <c r="A67" s="11" t="s">
        <v>122</v>
      </c>
      <c r="B67" s="45">
        <v>45741</v>
      </c>
      <c r="C67" s="12" t="s">
        <v>11</v>
      </c>
      <c r="D67" s="12" t="s">
        <v>110</v>
      </c>
      <c r="E67" s="75">
        <v>0.08</v>
      </c>
      <c r="F67" s="12" t="s">
        <v>116</v>
      </c>
      <c r="G67" s="12" t="s">
        <v>116</v>
      </c>
      <c r="H67" s="16" t="s">
        <v>14</v>
      </c>
    </row>
    <row r="68" spans="1:8" x14ac:dyDescent="0.25">
      <c r="A68" s="11" t="s">
        <v>133</v>
      </c>
      <c r="B68" s="45">
        <v>45741</v>
      </c>
      <c r="C68" s="12" t="s">
        <v>15</v>
      </c>
      <c r="D68" s="12" t="s">
        <v>21</v>
      </c>
      <c r="E68" s="75">
        <v>0.02</v>
      </c>
      <c r="F68" s="12" t="s">
        <v>13</v>
      </c>
      <c r="G68" s="12" t="s">
        <v>13</v>
      </c>
      <c r="H68" s="16" t="s">
        <v>14</v>
      </c>
    </row>
    <row r="69" spans="1:8" x14ac:dyDescent="0.25">
      <c r="A69" s="11" t="s">
        <v>122</v>
      </c>
      <c r="B69" s="45">
        <v>45741</v>
      </c>
      <c r="C69" s="12" t="s">
        <v>11</v>
      </c>
      <c r="D69" s="12" t="s">
        <v>110</v>
      </c>
      <c r="E69" s="75">
        <v>0.02</v>
      </c>
      <c r="F69" s="12" t="s">
        <v>13</v>
      </c>
      <c r="G69" s="12" t="s">
        <v>13</v>
      </c>
      <c r="H69" s="16" t="s">
        <v>14</v>
      </c>
    </row>
    <row r="70" spans="1:8" x14ac:dyDescent="0.25">
      <c r="A70" s="11" t="s">
        <v>121</v>
      </c>
      <c r="B70" s="45">
        <v>45742</v>
      </c>
      <c r="C70" s="12" t="s">
        <v>15</v>
      </c>
      <c r="D70" s="12" t="s">
        <v>21</v>
      </c>
      <c r="E70" s="75">
        <v>0.06</v>
      </c>
      <c r="F70" s="12" t="s">
        <v>116</v>
      </c>
      <c r="G70" s="12" t="s">
        <v>147</v>
      </c>
      <c r="H70" s="16" t="s">
        <v>14</v>
      </c>
    </row>
    <row r="71" spans="1:8" x14ac:dyDescent="0.25">
      <c r="A71" s="11" t="s">
        <v>122</v>
      </c>
      <c r="B71" s="45">
        <v>45742</v>
      </c>
      <c r="C71" s="12" t="s">
        <v>11</v>
      </c>
      <c r="D71" s="12" t="s">
        <v>110</v>
      </c>
      <c r="E71" s="75">
        <v>0.06</v>
      </c>
      <c r="F71" s="12" t="s">
        <v>116</v>
      </c>
      <c r="G71" s="12" t="s">
        <v>116</v>
      </c>
      <c r="H71" s="16" t="s">
        <v>14</v>
      </c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4"/>
  <sheetViews>
    <sheetView zoomScaleNormal="100" workbookViewId="0">
      <selection activeCell="G8" sqref="G8"/>
    </sheetView>
  </sheetViews>
  <sheetFormatPr defaultRowHeight="15" x14ac:dyDescent="0.25"/>
  <cols>
    <col min="1" max="1" width="12.42578125" customWidth="1"/>
    <col min="2" max="3" width="11.42578125" customWidth="1"/>
    <col min="4" max="4" width="19.42578125" customWidth="1"/>
    <col min="5" max="5" width="13.7109375" customWidth="1"/>
    <col min="6" max="7" width="11.7109375" customWidth="1"/>
    <col min="9" max="9" width="10.5703125" customWidth="1"/>
    <col min="10" max="10" width="11.140625" bestFit="1" customWidth="1"/>
    <col min="11" max="11" width="9.85546875" bestFit="1" customWidth="1"/>
    <col min="12" max="12" width="10.5703125" bestFit="1" customWidth="1"/>
    <col min="13" max="13" width="9.5703125" bestFit="1" customWidth="1"/>
    <col min="14" max="14" width="14.28515625" bestFit="1" customWidth="1"/>
    <col min="15" max="15" width="12" bestFit="1" customWidth="1"/>
    <col min="16" max="17" width="10.5703125" bestFit="1" customWidth="1"/>
    <col min="18" max="18" width="17.42578125" bestFit="1" customWidth="1"/>
    <col min="19" max="19" width="14.28515625" bestFit="1" customWidth="1"/>
    <col min="20" max="20" width="17.42578125" bestFit="1" customWidth="1"/>
  </cols>
  <sheetData>
    <row r="1" spans="1:20" ht="15" customHeight="1" x14ac:dyDescent="0.25">
      <c r="A1" s="120" t="s">
        <v>17</v>
      </c>
      <c r="B1" s="121"/>
      <c r="C1" s="121"/>
      <c r="D1" s="121"/>
      <c r="E1" s="121"/>
      <c r="F1" s="122"/>
      <c r="J1" s="120" t="s">
        <v>18</v>
      </c>
      <c r="K1" s="121"/>
      <c r="L1" s="121"/>
      <c r="M1" s="121"/>
      <c r="N1" s="121"/>
      <c r="O1" s="121"/>
      <c r="P1" s="122"/>
    </row>
    <row r="2" spans="1:20" ht="15" customHeight="1" x14ac:dyDescent="0.25">
      <c r="A2" s="123"/>
      <c r="B2" s="124"/>
      <c r="C2" s="124"/>
      <c r="D2" s="124"/>
      <c r="E2" s="124"/>
      <c r="F2" s="125"/>
      <c r="J2" s="123"/>
      <c r="K2" s="124"/>
      <c r="L2" s="124"/>
      <c r="M2" s="124"/>
      <c r="N2" s="124"/>
      <c r="O2" s="124"/>
      <c r="P2" s="125"/>
    </row>
    <row r="4" spans="1:20" ht="33.75" customHeight="1" x14ac:dyDescent="0.25">
      <c r="A4" s="22" t="s">
        <v>19</v>
      </c>
      <c r="B4" s="23" t="s">
        <v>20</v>
      </c>
      <c r="C4" s="23" t="s">
        <v>21</v>
      </c>
      <c r="D4" s="23" t="s">
        <v>22</v>
      </c>
      <c r="E4" s="23" t="s">
        <v>23</v>
      </c>
      <c r="F4" s="23" t="s">
        <v>24</v>
      </c>
      <c r="G4" s="24" t="s">
        <v>96</v>
      </c>
      <c r="I4" s="59" t="s">
        <v>5</v>
      </c>
      <c r="J4" s="107" t="s">
        <v>25</v>
      </c>
      <c r="K4" s="23" t="s">
        <v>26</v>
      </c>
      <c r="L4" s="4" t="s">
        <v>27</v>
      </c>
      <c r="M4" s="4" t="s">
        <v>28</v>
      </c>
      <c r="N4" s="4" t="s">
        <v>29</v>
      </c>
      <c r="O4" s="4" t="s">
        <v>30</v>
      </c>
      <c r="P4" s="8" t="s">
        <v>31</v>
      </c>
      <c r="Q4" s="4" t="s">
        <v>100</v>
      </c>
      <c r="R4" s="4" t="s">
        <v>119</v>
      </c>
      <c r="S4" s="4" t="s">
        <v>137</v>
      </c>
      <c r="T4" s="4" t="s">
        <v>104</v>
      </c>
    </row>
    <row r="5" spans="1:20" x14ac:dyDescent="0.25">
      <c r="A5" s="25">
        <f ca="1">SUM('Investimento CDB'!J6+'Investimento em renda variável'!R5)+SUM(Tabela10[Valor de depósito])+SUM(Outros!H5,Outros!R5,Outros!Z5)+'Tesouro direto'!J4</f>
        <v>478.23608854903347</v>
      </c>
      <c r="B5" s="26">
        <f ca="1">Tabela3[[#This Row],[Capital investido]]+Tabela3[[#This Row],[Lucro]]</f>
        <v>480.86117192080116</v>
      </c>
      <c r="C5" s="26">
        <f ca="1">SUM('Investimento CDB'!J12+'Investimento em renda variável'!R9+Dolar!K8+Extrato!M3)</f>
        <v>2.6250833717677109</v>
      </c>
      <c r="D5" s="27">
        <f>1.04+1.14+1.25</f>
        <v>3.4299999999999997</v>
      </c>
      <c r="E5" s="26">
        <v>1.25</v>
      </c>
      <c r="F5" s="26">
        <f ca="1">B5</f>
        <v>480.86117192080116</v>
      </c>
      <c r="G5" s="28" t="e" cm="1">
        <f t="array" ref="G5">[1]!Tabela3[Saldo a receber]</f>
        <v>#REF!</v>
      </c>
      <c r="I5" s="60" t="s">
        <v>32</v>
      </c>
      <c r="J5" s="62">
        <f ca="1">('Investimento CDB'!J6/Tabela3[[#This Row],[Capital total]])*100/100</f>
        <v>0.22531677514373796</v>
      </c>
      <c r="K5" s="62">
        <f ca="1">'Investimento em renda variável'!R21/Tabela3[[#This Row],[Capital total]]*1</f>
        <v>0.18847435661727113</v>
      </c>
      <c r="L5" s="62">
        <f ca="1">(Dolar!M5/Tabela3[[#This Row],[Capital total]])*100/100</f>
        <v>0.25925379434108342</v>
      </c>
      <c r="M5" s="62">
        <f ca="1">('Investimento em renda variável'!R13/Tabela3[[#This Row],[Capital total]])*1</f>
        <v>0.16994510010772809</v>
      </c>
      <c r="N5" s="62">
        <f ca="1">Outros!R5/Tabela3[[#This Row],[Capital total]]*1</f>
        <v>1.2290449603972993E-2</v>
      </c>
      <c r="O5" s="62">
        <f ca="1">Outros!H5/Tabela3[[#This Row],[Capital total]]*100/100</f>
        <v>7.1954239644241233E-3</v>
      </c>
      <c r="P5" s="103">
        <f ca="1">Outros!Z5/Tabela3[[#This Row],[Capital total]]*1</f>
        <v>1.3455026893012733E-2</v>
      </c>
      <c r="Q5" s="115">
        <f ca="1">('Investimento em renda variável'!R18/Tabela3[[#This Row],[Capital total]])*1</f>
        <v>0</v>
      </c>
      <c r="R5" s="102">
        <f ca="1">('Investimento em renda variável'!R29/Tabela3[[#This Row],[Capital total]])*1</f>
        <v>4.4295529029547337E-2</v>
      </c>
      <c r="S5" s="110">
        <f ca="1">'Tesouro direto'!J4/(Tabela3[[#This Row],[Capital total]]*1)</f>
        <v>7.927443974677674E-2</v>
      </c>
      <c r="T5" s="111">
        <v>5.0000000000000002E-5</v>
      </c>
    </row>
    <row r="6" spans="1:20" x14ac:dyDescent="0.25">
      <c r="I6" s="61" t="s">
        <v>33</v>
      </c>
      <c r="J6" s="41" cm="1">
        <f t="array" aca="1" ref="J6" ca="1">Tabela3[Capital total]+(Tabela3[Capital total]*J5)-Tabela3[Capital total]</f>
        <v>108.34608854903348</v>
      </c>
      <c r="K6" s="41" cm="1">
        <f t="array" aca="1" ref="K6" ca="1">Tabela3[Capital total]+(Tabela3[Capital total]*K5)-Tabela3[Capital total]</f>
        <v>90.630000000000052</v>
      </c>
      <c r="L6" s="41">
        <f t="array" aca="1" ref="L6" ca="1">Tabela3[Capital total]+(Tabela3[Capital total]*L5)-Tabela3[Capital total]</f>
        <v>124.66508337176771</v>
      </c>
      <c r="M6" s="41">
        <f t="array" aca="1" ref="M6" ca="1">Tabela3[Capital total]+(Tabela3[Capital total]*M5)-Tabela3[Capital total]</f>
        <v>81.71999999999997</v>
      </c>
      <c r="N6" s="41">
        <f t="array" aca="1" ref="N6" ca="1">Tabela3[Capital total]+(Tabela3[Capital total]*N5)-Tabela3[Capital total]</f>
        <v>5.910000000000025</v>
      </c>
      <c r="O6" s="41">
        <f t="array" aca="1" ref="O6" ca="1">Tabela3[Capital total]+(Tabela3[Capital total]*O5)-Tabela3[Capital total]</f>
        <v>3.4599999999999795</v>
      </c>
      <c r="P6" s="41">
        <f t="array" aca="1" ref="P6" ca="1">Tabela3[Capital total]+(Tabela3[Capital total]*P5)-Tabela3[Capital total]</f>
        <v>6.4699999999999704</v>
      </c>
      <c r="Q6" s="41">
        <f t="array" aca="1" ref="Q6" ca="1">Tabela3[Capital total]+(Tabela3[Capital total]*Q5)-Tabela3[Capital total]</f>
        <v>0</v>
      </c>
      <c r="R6" s="41">
        <f ca="1">'Investimento em renda variável'!R29</f>
        <v>21.3</v>
      </c>
      <c r="S6" s="41">
        <f>'Tesouro direto'!J4</f>
        <v>38.120000000000005</v>
      </c>
      <c r="T6" s="86" cm="1">
        <f t="array" aca="1" ref="T6" ca="1">Tabela3[Capital total]/4000</f>
        <v>0.12021529298020028</v>
      </c>
    </row>
    <row r="10" spans="1:20" x14ac:dyDescent="0.25">
      <c r="K10" s="58">
        <f ca="1">SUM(J5:Q5)</f>
        <v>0.8759309266712304</v>
      </c>
      <c r="P10" s="20">
        <f ca="1">SUM(J6:S6)</f>
        <v>480.6211719208012</v>
      </c>
      <c r="Q10" s="20"/>
    </row>
    <row r="11" spans="1:20" x14ac:dyDescent="0.25">
      <c r="P11" s="20"/>
      <c r="Q11" s="20"/>
    </row>
    <row r="12" spans="1:20" x14ac:dyDescent="0.25">
      <c r="Q12" s="20"/>
      <c r="R12" s="20"/>
    </row>
    <row r="13" spans="1:20" x14ac:dyDescent="0.25">
      <c r="H13" s="101"/>
      <c r="Q13" s="20"/>
      <c r="R13" s="20"/>
    </row>
    <row r="14" spans="1:20" x14ac:dyDescent="0.25">
      <c r="S14" s="20"/>
    </row>
  </sheetData>
  <mergeCells count="2">
    <mergeCell ref="J1:P2"/>
    <mergeCell ref="A1:F2"/>
  </mergeCells>
  <hyperlinks>
    <hyperlink ref="J4" location="'Investimento CDB'!A1" display="CDB" xr:uid="{62F8208B-E5AF-4AAA-BFCE-855207B2827A}"/>
  </hyperlinks>
  <pageMargins left="0.511811024" right="0.511811024" top="0.78740157499999996" bottom="0.78740157499999996" header="0.31496062000000002" footer="0.31496062000000002"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94"/>
  <sheetViews>
    <sheetView topLeftCell="F1" workbookViewId="0">
      <selection activeCell="B104" sqref="B104"/>
    </sheetView>
  </sheetViews>
  <sheetFormatPr defaultRowHeight="15" x14ac:dyDescent="0.25"/>
  <cols>
    <col min="1" max="1" width="12.7109375" customWidth="1"/>
    <col min="2" max="2" width="40.7109375" bestFit="1" customWidth="1"/>
    <col min="3" max="3" width="9.42578125" style="1" bestFit="1" customWidth="1"/>
    <col min="4" max="4" width="10.5703125" style="1" customWidth="1"/>
    <col min="5" max="5" width="11.140625" style="20" customWidth="1"/>
    <col min="6" max="6" width="10.28515625" style="21" bestFit="1" customWidth="1"/>
    <col min="7" max="7" width="14.42578125" customWidth="1"/>
    <col min="8" max="8" width="10.28515625" bestFit="1" customWidth="1"/>
    <col min="10" max="10" width="11.5703125" bestFit="1" customWidth="1"/>
    <col min="11" max="11" width="9.5703125" bestFit="1" customWidth="1"/>
  </cols>
  <sheetData>
    <row r="1" spans="1:15" x14ac:dyDescent="0.25">
      <c r="E1" s="1"/>
      <c r="F1" s="2"/>
    </row>
    <row r="2" spans="1:15" x14ac:dyDescent="0.25">
      <c r="E2" s="1"/>
      <c r="F2" s="2"/>
    </row>
    <row r="3" spans="1:15" x14ac:dyDescent="0.25">
      <c r="E3" s="1"/>
      <c r="F3" s="2"/>
    </row>
    <row r="4" spans="1:15" x14ac:dyDescent="0.25">
      <c r="E4" s="1"/>
      <c r="F4" s="2"/>
    </row>
    <row r="5" spans="1:15" ht="30" customHeight="1" x14ac:dyDescent="0.25">
      <c r="A5" s="3" t="s">
        <v>34</v>
      </c>
      <c r="B5" s="4" t="s">
        <v>35</v>
      </c>
      <c r="C5" s="5" t="s">
        <v>6</v>
      </c>
      <c r="D5" s="5" t="s">
        <v>36</v>
      </c>
      <c r="E5" s="6" t="s">
        <v>37</v>
      </c>
      <c r="F5" s="7" t="s">
        <v>4</v>
      </c>
      <c r="G5" s="8" t="s">
        <v>38</v>
      </c>
      <c r="H5" s="4" t="s">
        <v>39</v>
      </c>
      <c r="J5" s="9" t="s">
        <v>40</v>
      </c>
      <c r="L5" s="128" t="s">
        <v>41</v>
      </c>
      <c r="M5" s="127"/>
      <c r="N5" s="127"/>
      <c r="O5" s="10"/>
    </row>
    <row r="6" spans="1:15" x14ac:dyDescent="0.25">
      <c r="A6" s="11" t="s">
        <v>42</v>
      </c>
      <c r="B6" s="12" t="s">
        <v>43</v>
      </c>
      <c r="C6" s="13">
        <v>1</v>
      </c>
      <c r="D6" s="14">
        <v>4.5999999999999999E-3</v>
      </c>
      <c r="E6" s="13">
        <f t="shared" ref="E6:E27" si="0">C6+(D6*C6)</f>
        <v>1.0045999999999999</v>
      </c>
      <c r="F6" s="15">
        <v>45663</v>
      </c>
      <c r="G6" s="16" t="s">
        <v>13</v>
      </c>
      <c r="H6" s="31" t="str">
        <f ca="1">IF(Tabela2[[#This Row],[Data]]-TODAY()&lt;1,"Não","Sim")</f>
        <v>Não</v>
      </c>
      <c r="J6" s="17">
        <f ca="1">SUMIFS(Tabela2[Valor],Tabela2[Futuro],"Não")+J12</f>
        <v>108.34608854903348</v>
      </c>
      <c r="L6" s="126" t="s">
        <v>44</v>
      </c>
      <c r="M6" s="127"/>
      <c r="N6" s="127"/>
      <c r="O6" s="10"/>
    </row>
    <row r="7" spans="1:15" x14ac:dyDescent="0.25">
      <c r="A7" s="11" t="s">
        <v>42</v>
      </c>
      <c r="B7" s="12" t="s">
        <v>43</v>
      </c>
      <c r="C7" s="13">
        <f>E6</f>
        <v>1.0045999999999999</v>
      </c>
      <c r="D7" s="14">
        <v>3.8999999999999998E-3</v>
      </c>
      <c r="E7" s="13">
        <f t="shared" si="0"/>
        <v>1.0085179399999999</v>
      </c>
      <c r="F7" s="15">
        <v>45664</v>
      </c>
      <c r="G7" s="16" t="s">
        <v>13</v>
      </c>
      <c r="H7" s="31" t="str">
        <f ca="1">IF(Tabela2[[#This Row],[Data]]-TODAY()&lt;1,"Não","Sim")</f>
        <v>Não</v>
      </c>
      <c r="L7" s="127"/>
      <c r="M7" s="127"/>
      <c r="N7" s="127"/>
      <c r="O7" s="10"/>
    </row>
    <row r="8" spans="1:15" x14ac:dyDescent="0.25">
      <c r="A8" s="11" t="s">
        <v>42</v>
      </c>
      <c r="B8" s="12" t="s">
        <v>43</v>
      </c>
      <c r="C8" s="13">
        <f>E7</f>
        <v>1.0085179399999999</v>
      </c>
      <c r="D8" s="14">
        <v>3.8999999999999998E-3</v>
      </c>
      <c r="E8" s="13">
        <f t="shared" si="0"/>
        <v>1.012451159966</v>
      </c>
      <c r="F8" s="15">
        <v>45665</v>
      </c>
      <c r="G8" s="16" t="s">
        <v>13</v>
      </c>
      <c r="H8" s="31" t="str">
        <f ca="1">IF(Tabela2[[#This Row],[Data]]-TODAY()&lt;1,"Não","Sim")</f>
        <v>Não</v>
      </c>
      <c r="J8" s="18" t="s">
        <v>45</v>
      </c>
      <c r="L8" s="128" t="s">
        <v>46</v>
      </c>
      <c r="M8" s="127"/>
      <c r="N8" s="127"/>
      <c r="O8" s="10"/>
    </row>
    <row r="9" spans="1:15" x14ac:dyDescent="0.25">
      <c r="A9" s="11" t="s">
        <v>42</v>
      </c>
      <c r="B9" s="12" t="s">
        <v>43</v>
      </c>
      <c r="C9" s="13">
        <v>1.03</v>
      </c>
      <c r="D9" s="14">
        <v>3.8999999999999998E-3</v>
      </c>
      <c r="E9" s="13">
        <f t="shared" si="0"/>
        <v>1.034017</v>
      </c>
      <c r="F9" s="15">
        <v>45666</v>
      </c>
      <c r="G9" s="16" t="s">
        <v>13</v>
      </c>
      <c r="H9" s="31" t="str">
        <f ca="1">IF(Tabela2[[#This Row],[Data]]-TODAY()&lt;1,"Não","Sim")</f>
        <v>Não</v>
      </c>
      <c r="J9" s="19">
        <f>COUNTA(Tabela2[Instituição])</f>
        <v>89</v>
      </c>
      <c r="L9" s="127"/>
      <c r="M9" s="127"/>
      <c r="N9" s="127"/>
      <c r="O9" s="10"/>
    </row>
    <row r="10" spans="1:15" x14ac:dyDescent="0.25">
      <c r="A10" s="11" t="s">
        <v>42</v>
      </c>
      <c r="B10" s="12" t="s">
        <v>43</v>
      </c>
      <c r="C10" s="13">
        <v>1.06</v>
      </c>
      <c r="D10" s="14">
        <v>3.8999999999999998E-3</v>
      </c>
      <c r="E10" s="13">
        <f t="shared" si="0"/>
        <v>1.0641340000000001</v>
      </c>
      <c r="F10" s="15">
        <v>45667</v>
      </c>
      <c r="G10" s="16" t="s">
        <v>13</v>
      </c>
      <c r="H10" s="31" t="str">
        <f ca="1">IF(Tabela2[[#This Row],[Data]]-TODAY()&lt;1,"Não","Sim")</f>
        <v>Não</v>
      </c>
      <c r="L10" s="10"/>
      <c r="M10" s="10"/>
      <c r="N10" s="10"/>
      <c r="O10" s="10"/>
    </row>
    <row r="11" spans="1:15" x14ac:dyDescent="0.25">
      <c r="A11" s="11" t="s">
        <v>42</v>
      </c>
      <c r="B11" s="12" t="s">
        <v>43</v>
      </c>
      <c r="C11" s="13">
        <f t="shared" ref="C11:C27" si="1">E10</f>
        <v>1.0641340000000001</v>
      </c>
      <c r="D11" s="14">
        <v>3.8999999999999998E-3</v>
      </c>
      <c r="E11" s="13">
        <f t="shared" si="0"/>
        <v>1.0682841226000002</v>
      </c>
      <c r="F11" s="15">
        <v>45668</v>
      </c>
      <c r="G11" s="16" t="s">
        <v>13</v>
      </c>
      <c r="H11" s="31" t="str">
        <f ca="1">IF(Tabela2[[#This Row],[Data]]-TODAY()&lt;1,"Não","Sim")</f>
        <v>Não</v>
      </c>
      <c r="J11" t="s">
        <v>47</v>
      </c>
      <c r="L11" s="10"/>
      <c r="M11" s="10"/>
      <c r="N11" s="10"/>
      <c r="O11" s="10"/>
    </row>
    <row r="12" spans="1:15" x14ac:dyDescent="0.25">
      <c r="A12" s="11" t="s">
        <v>42</v>
      </c>
      <c r="B12" s="12" t="s">
        <v>43</v>
      </c>
      <c r="C12" s="13">
        <f t="shared" si="1"/>
        <v>1.0682841226000002</v>
      </c>
      <c r="D12" s="14">
        <v>3.8999999999999998E-3</v>
      </c>
      <c r="E12" s="13">
        <f t="shared" si="0"/>
        <v>1.0724504306781402</v>
      </c>
      <c r="F12" s="15">
        <v>45669</v>
      </c>
      <c r="G12" s="16" t="s">
        <v>13</v>
      </c>
      <c r="H12" s="31" t="str">
        <f ca="1">IF(Tabela2[[#This Row],[Data]]-TODAY()&lt;1,"Não","Sim")</f>
        <v>Não</v>
      </c>
      <c r="J12" s="1">
        <v>0.51</v>
      </c>
      <c r="L12" s="10"/>
      <c r="M12" s="10"/>
      <c r="N12" s="10"/>
      <c r="O12" s="10"/>
    </row>
    <row r="13" spans="1:15" x14ac:dyDescent="0.25">
      <c r="A13" s="11" t="s">
        <v>42</v>
      </c>
      <c r="B13" s="12" t="s">
        <v>43</v>
      </c>
      <c r="C13" s="13">
        <f t="shared" si="1"/>
        <v>1.0724504306781402</v>
      </c>
      <c r="D13" s="14">
        <v>3.8999999999999998E-3</v>
      </c>
      <c r="E13" s="13">
        <f t="shared" si="0"/>
        <v>1.0766329873577849</v>
      </c>
      <c r="F13" s="15">
        <v>45670</v>
      </c>
      <c r="G13" s="16" t="s">
        <v>13</v>
      </c>
      <c r="H13" s="31" t="str">
        <f ca="1">IF(Tabela2[[#This Row],[Data]]-TODAY()&lt;1,"Não","Sim")</f>
        <v>Não</v>
      </c>
      <c r="L13" s="10"/>
      <c r="M13" s="10"/>
      <c r="N13" s="10"/>
      <c r="O13" s="10"/>
    </row>
    <row r="14" spans="1:15" x14ac:dyDescent="0.25">
      <c r="A14" s="11" t="s">
        <v>12</v>
      </c>
      <c r="B14" s="12" t="s">
        <v>43</v>
      </c>
      <c r="C14" s="13">
        <f t="shared" si="1"/>
        <v>1.0766329873577849</v>
      </c>
      <c r="D14" s="14">
        <v>3.8999999999999998E-3</v>
      </c>
      <c r="E14" s="13">
        <f t="shared" si="0"/>
        <v>1.0808318560084802</v>
      </c>
      <c r="F14" s="15">
        <v>45671</v>
      </c>
      <c r="G14" s="16" t="s">
        <v>13</v>
      </c>
      <c r="H14" s="31" t="str">
        <f ca="1">IF(Tabela2[[#This Row],[Data]]-TODAY()&lt;1,"Não","Sim")</f>
        <v>Não</v>
      </c>
    </row>
    <row r="15" spans="1:15" x14ac:dyDescent="0.25">
      <c r="A15" s="11" t="s">
        <v>12</v>
      </c>
      <c r="B15" s="12" t="s">
        <v>43</v>
      </c>
      <c r="C15" s="13">
        <f t="shared" si="1"/>
        <v>1.0808318560084802</v>
      </c>
      <c r="D15" s="14">
        <v>3.8999999999999998E-3</v>
      </c>
      <c r="E15" s="13">
        <f t="shared" si="0"/>
        <v>1.0850471002469133</v>
      </c>
      <c r="F15" s="15">
        <v>45672</v>
      </c>
      <c r="G15" s="16" t="s">
        <v>13</v>
      </c>
      <c r="H15" s="31" t="str">
        <f ca="1">IF(Tabela2[[#This Row],[Data]]-TODAY()&lt;1,"Não","Sim")</f>
        <v>Não</v>
      </c>
    </row>
    <row r="16" spans="1:15" x14ac:dyDescent="0.25">
      <c r="A16" s="11" t="s">
        <v>42</v>
      </c>
      <c r="B16" s="12" t="s">
        <v>43</v>
      </c>
      <c r="C16" s="13">
        <f t="shared" si="1"/>
        <v>1.0850471002469133</v>
      </c>
      <c r="D16" s="14">
        <v>4.5999999999999999E-3</v>
      </c>
      <c r="E16" s="13">
        <f t="shared" si="0"/>
        <v>1.0900383169080492</v>
      </c>
      <c r="F16" s="15">
        <v>45673</v>
      </c>
      <c r="G16" s="16" t="s">
        <v>13</v>
      </c>
      <c r="H16" s="31" t="str">
        <f ca="1">IF(Tabela2[[#This Row],[Data]]-TODAY()&lt;1,"Não","Sim")</f>
        <v>Não</v>
      </c>
    </row>
    <row r="17" spans="1:8" x14ac:dyDescent="0.25">
      <c r="A17" s="11" t="s">
        <v>12</v>
      </c>
      <c r="B17" s="12" t="s">
        <v>43</v>
      </c>
      <c r="C17" s="13">
        <f t="shared" si="1"/>
        <v>1.0900383169080492</v>
      </c>
      <c r="D17" s="14">
        <v>4.5999999999999999E-3</v>
      </c>
      <c r="E17" s="13">
        <f t="shared" si="0"/>
        <v>1.0950524931658263</v>
      </c>
      <c r="F17" s="15">
        <v>45674</v>
      </c>
      <c r="G17" s="16" t="s">
        <v>13</v>
      </c>
      <c r="H17" s="31" t="str">
        <f ca="1">IF(Tabela2[[#This Row],[Data]]-TODAY()&lt;1,"Não","Sim")</f>
        <v>Não</v>
      </c>
    </row>
    <row r="18" spans="1:8" x14ac:dyDescent="0.25">
      <c r="A18" s="11" t="s">
        <v>12</v>
      </c>
      <c r="B18" s="12" t="s">
        <v>43</v>
      </c>
      <c r="C18" s="13">
        <f t="shared" si="1"/>
        <v>1.0950524931658263</v>
      </c>
      <c r="D18" s="14">
        <v>4.5999999999999999E-3</v>
      </c>
      <c r="E18" s="13">
        <f t="shared" si="0"/>
        <v>1.1000897346343892</v>
      </c>
      <c r="F18" s="15">
        <v>45675</v>
      </c>
      <c r="G18" s="16" t="s">
        <v>13</v>
      </c>
      <c r="H18" s="31" t="str">
        <f ca="1">IF(Tabela2[[#This Row],[Data]]-TODAY()&lt;1,"Não","Sim")</f>
        <v>Não</v>
      </c>
    </row>
    <row r="19" spans="1:8" x14ac:dyDescent="0.25">
      <c r="A19" s="32" t="s">
        <v>42</v>
      </c>
      <c r="B19" s="31" t="s">
        <v>43</v>
      </c>
      <c r="C19" s="35">
        <f t="shared" si="1"/>
        <v>1.1000897346343892</v>
      </c>
      <c r="D19" s="48">
        <v>4.5999999999999999E-3</v>
      </c>
      <c r="E19" s="35">
        <f t="shared" si="0"/>
        <v>1.1051501474137073</v>
      </c>
      <c r="F19" s="49">
        <v>45676</v>
      </c>
      <c r="G19" s="33" t="s">
        <v>12</v>
      </c>
      <c r="H19" s="31" t="str">
        <f ca="1">IF(Tabela2[[#This Row],[Data]]-TODAY()&lt;1,"Não","Sim")</f>
        <v>Não</v>
      </c>
    </row>
    <row r="20" spans="1:8" x14ac:dyDescent="0.25">
      <c r="A20" s="32" t="s">
        <v>42</v>
      </c>
      <c r="B20" s="31" t="s">
        <v>43</v>
      </c>
      <c r="C20" s="35">
        <f t="shared" si="1"/>
        <v>1.1051501474137073</v>
      </c>
      <c r="D20" s="48">
        <v>4.5999999999999999E-3</v>
      </c>
      <c r="E20" s="35">
        <f t="shared" si="0"/>
        <v>1.1102338380918104</v>
      </c>
      <c r="F20" s="49">
        <v>45677</v>
      </c>
      <c r="G20" s="33" t="s">
        <v>12</v>
      </c>
      <c r="H20" s="31" t="str">
        <f ca="1">IF(Tabela2[[#This Row],[Data]]-TODAY()&lt;1,"Não","Sim")</f>
        <v>Não</v>
      </c>
    </row>
    <row r="21" spans="1:8" x14ac:dyDescent="0.25">
      <c r="A21" s="11" t="s">
        <v>42</v>
      </c>
      <c r="B21" s="12" t="s">
        <v>43</v>
      </c>
      <c r="C21" s="13">
        <f t="shared" si="1"/>
        <v>1.1102338380918104</v>
      </c>
      <c r="D21" s="14">
        <v>4.5999999999999999E-3</v>
      </c>
      <c r="E21" s="13">
        <f t="shared" si="0"/>
        <v>1.1153409137470327</v>
      </c>
      <c r="F21" s="15">
        <v>45678</v>
      </c>
      <c r="G21" s="16" t="s">
        <v>12</v>
      </c>
      <c r="H21" s="31" t="str">
        <f ca="1">IF(Tabela2[[#This Row],[Data]]-TODAY()&lt;1,"Não","Sim")</f>
        <v>Não</v>
      </c>
    </row>
    <row r="22" spans="1:8" x14ac:dyDescent="0.25">
      <c r="A22" s="11" t="s">
        <v>42</v>
      </c>
      <c r="B22" s="12" t="s">
        <v>43</v>
      </c>
      <c r="C22" s="13">
        <f t="shared" si="1"/>
        <v>1.1153409137470327</v>
      </c>
      <c r="D22" s="14">
        <v>4.5999999999999999E-3</v>
      </c>
      <c r="E22" s="13">
        <f t="shared" si="0"/>
        <v>1.120471481950269</v>
      </c>
      <c r="F22" s="15">
        <v>45679</v>
      </c>
      <c r="G22" s="16" t="s">
        <v>12</v>
      </c>
      <c r="H22" s="31" t="str">
        <f ca="1">IF(Tabela2[[#This Row],[Data]]-TODAY()&lt;1,"Não","Sim")</f>
        <v>Não</v>
      </c>
    </row>
    <row r="23" spans="1:8" x14ac:dyDescent="0.25">
      <c r="A23" s="11" t="s">
        <v>12</v>
      </c>
      <c r="B23" s="12" t="s">
        <v>43</v>
      </c>
      <c r="C23" s="13">
        <f t="shared" si="1"/>
        <v>1.120471481950269</v>
      </c>
      <c r="D23" s="14">
        <v>4.5999999999999999E-3</v>
      </c>
      <c r="E23" s="13">
        <f t="shared" si="0"/>
        <v>1.1256256507672402</v>
      </c>
      <c r="F23" s="15">
        <v>45680</v>
      </c>
      <c r="G23" s="16" t="s">
        <v>12</v>
      </c>
      <c r="H23" s="31" t="str">
        <f ca="1">IF(Tabela2[[#This Row],[Data]]-TODAY()&lt;1,"Não","Sim")</f>
        <v>Não</v>
      </c>
    </row>
    <row r="24" spans="1:8" x14ac:dyDescent="0.25">
      <c r="A24" s="11" t="s">
        <v>42</v>
      </c>
      <c r="B24" s="12" t="s">
        <v>43</v>
      </c>
      <c r="C24" s="13">
        <f t="shared" si="1"/>
        <v>1.1256256507672402</v>
      </c>
      <c r="D24" s="14">
        <v>4.5999999999999999E-3</v>
      </c>
      <c r="E24" s="13">
        <f t="shared" si="0"/>
        <v>1.1308035287607694</v>
      </c>
      <c r="F24" s="15">
        <v>45681</v>
      </c>
      <c r="G24" s="16" t="s">
        <v>12</v>
      </c>
      <c r="H24" s="31" t="str">
        <f ca="1">IF(Tabela2[[#This Row],[Data]]-TODAY()&lt;1,"Não","Sim")</f>
        <v>Não</v>
      </c>
    </row>
    <row r="25" spans="1:8" x14ac:dyDescent="0.25">
      <c r="A25" s="11" t="s">
        <v>42</v>
      </c>
      <c r="B25" s="12" t="s">
        <v>43</v>
      </c>
      <c r="C25" s="13">
        <f t="shared" si="1"/>
        <v>1.1308035287607694</v>
      </c>
      <c r="D25" s="14">
        <v>4.5999999999999999E-3</v>
      </c>
      <c r="E25" s="13">
        <f t="shared" si="0"/>
        <v>1.136005224993069</v>
      </c>
      <c r="F25" s="15">
        <v>45682</v>
      </c>
      <c r="G25" s="16" t="s">
        <v>12</v>
      </c>
      <c r="H25" s="31" t="str">
        <f ca="1">IF(Tabela2[[#This Row],[Data]]-TODAY()&lt;1,"Não","Sim")</f>
        <v>Não</v>
      </c>
    </row>
    <row r="26" spans="1:8" x14ac:dyDescent="0.25">
      <c r="A26" s="11" t="s">
        <v>42</v>
      </c>
      <c r="B26" s="12" t="s">
        <v>43</v>
      </c>
      <c r="C26" s="13">
        <f t="shared" si="1"/>
        <v>1.136005224993069</v>
      </c>
      <c r="D26" s="14">
        <v>4.5999999999999999E-3</v>
      </c>
      <c r="E26" s="13">
        <f t="shared" si="0"/>
        <v>1.1412308490280372</v>
      </c>
      <c r="F26" s="15">
        <v>45683</v>
      </c>
      <c r="G26" s="16" t="s">
        <v>12</v>
      </c>
      <c r="H26" s="31" t="str">
        <f ca="1">IF(Tabela2[[#This Row],[Data]]-TODAY()&lt;1,"Não","Sim")</f>
        <v>Não</v>
      </c>
    </row>
    <row r="27" spans="1:8" x14ac:dyDescent="0.25">
      <c r="A27" s="11" t="s">
        <v>42</v>
      </c>
      <c r="B27" s="12" t="s">
        <v>43</v>
      </c>
      <c r="C27" s="13">
        <f t="shared" si="1"/>
        <v>1.1412308490280372</v>
      </c>
      <c r="D27" s="14">
        <v>4.5999999999999999E-3</v>
      </c>
      <c r="E27" s="13">
        <f t="shared" si="0"/>
        <v>1.1464805109335661</v>
      </c>
      <c r="F27" s="15">
        <v>45684</v>
      </c>
      <c r="G27" s="16" t="s">
        <v>12</v>
      </c>
      <c r="H27" s="12" t="str">
        <f ca="1">IF(Tabela2[[#This Row],[Data]]-TODAY()&lt;1,"Não","Sim")</f>
        <v>Não</v>
      </c>
    </row>
    <row r="28" spans="1:8" x14ac:dyDescent="0.25">
      <c r="A28" s="11" t="s">
        <v>42</v>
      </c>
      <c r="B28" s="12" t="s">
        <v>43</v>
      </c>
      <c r="C28" s="13">
        <f t="shared" ref="C28:C32" si="2">E27</f>
        <v>1.1464805109335661</v>
      </c>
      <c r="D28" s="14">
        <v>1.1000000000000001E-3</v>
      </c>
      <c r="E28" s="13">
        <f t="shared" ref="E28:E32" si="3">C28+(D28*C28)</f>
        <v>1.147741639495593</v>
      </c>
      <c r="F28" s="15">
        <v>45685</v>
      </c>
      <c r="G28" s="16" t="s">
        <v>13</v>
      </c>
      <c r="H28" s="12" t="str">
        <f ca="1">IF(Tabela2[[#This Row],[Data]]-TODAY()&lt;1,"Não","Sim")</f>
        <v>Não</v>
      </c>
    </row>
    <row r="29" spans="1:8" x14ac:dyDescent="0.25">
      <c r="A29" s="11" t="s">
        <v>42</v>
      </c>
      <c r="B29" s="12" t="s">
        <v>43</v>
      </c>
      <c r="C29" s="13">
        <f t="shared" si="2"/>
        <v>1.147741639495593</v>
      </c>
      <c r="D29" s="14">
        <v>1.1000000000000001E-3</v>
      </c>
      <c r="E29" s="13">
        <f t="shared" si="3"/>
        <v>1.1490041552990382</v>
      </c>
      <c r="F29" s="15">
        <v>45686</v>
      </c>
      <c r="G29" s="16" t="s">
        <v>13</v>
      </c>
      <c r="H29" s="12" t="str">
        <f ca="1">IF(Tabela2[[#This Row],[Data]]-TODAY()&lt;1,"Não","Sim")</f>
        <v>Não</v>
      </c>
    </row>
    <row r="30" spans="1:8" x14ac:dyDescent="0.25">
      <c r="A30" s="11" t="s">
        <v>42</v>
      </c>
      <c r="B30" s="12" t="s">
        <v>43</v>
      </c>
      <c r="C30" s="13">
        <f t="shared" si="2"/>
        <v>1.1490041552990382</v>
      </c>
      <c r="D30" s="14">
        <v>1.1000000000000001E-3</v>
      </c>
      <c r="E30" s="13">
        <f t="shared" si="3"/>
        <v>1.1502680598698671</v>
      </c>
      <c r="F30" s="15">
        <v>45687</v>
      </c>
      <c r="G30" s="16" t="s">
        <v>13</v>
      </c>
      <c r="H30" s="12" t="str">
        <f ca="1">IF(Tabela2[[#This Row],[Data]]-TODAY()&lt;1,"Não","Sim")</f>
        <v>Não</v>
      </c>
    </row>
    <row r="31" spans="1:8" x14ac:dyDescent="0.25">
      <c r="A31" s="11" t="s">
        <v>42</v>
      </c>
      <c r="B31" s="12" t="s">
        <v>43</v>
      </c>
      <c r="C31" s="13">
        <f t="shared" si="2"/>
        <v>1.1502680598698671</v>
      </c>
      <c r="D31" s="14">
        <v>1.1000000000000001E-3</v>
      </c>
      <c r="E31" s="13">
        <f t="shared" si="3"/>
        <v>1.151533354735724</v>
      </c>
      <c r="F31" s="15">
        <v>45688</v>
      </c>
      <c r="G31" s="16" t="s">
        <v>13</v>
      </c>
      <c r="H31" s="12" t="str">
        <f ca="1">IF(Tabela2[[#This Row],[Data]]-TODAY()&lt;1,"Não","Sim")</f>
        <v>Não</v>
      </c>
    </row>
    <row r="32" spans="1:8" x14ac:dyDescent="0.25">
      <c r="A32" s="11" t="s">
        <v>42</v>
      </c>
      <c r="B32" s="12" t="s">
        <v>43</v>
      </c>
      <c r="C32" s="13">
        <f t="shared" si="2"/>
        <v>1.151533354735724</v>
      </c>
      <c r="D32" s="14">
        <v>1.1000000000000001E-3</v>
      </c>
      <c r="E32" s="13">
        <f t="shared" si="3"/>
        <v>1.1528000414259334</v>
      </c>
      <c r="F32" s="15">
        <v>45689</v>
      </c>
      <c r="G32" s="16" t="s">
        <v>13</v>
      </c>
      <c r="H32" s="12" t="str">
        <f ca="1">IF(Tabela2[[#This Row],[Data]]-TODAY()&lt;1,"Não","Sim")</f>
        <v>Não</v>
      </c>
    </row>
    <row r="33" spans="1:11" x14ac:dyDescent="0.25">
      <c r="A33" s="11" t="s">
        <v>42</v>
      </c>
      <c r="B33" s="12" t="s">
        <v>43</v>
      </c>
      <c r="C33" s="13">
        <f t="shared" ref="C33:C42" si="4">E32</f>
        <v>1.1528000414259334</v>
      </c>
      <c r="D33" s="14">
        <v>1.1000000000000001E-3</v>
      </c>
      <c r="E33" s="13">
        <f t="shared" ref="E33:E42" si="5">C33+(D33*C33)</f>
        <v>1.1540681214715018</v>
      </c>
      <c r="F33" s="15">
        <v>45690</v>
      </c>
      <c r="G33" s="16" t="s">
        <v>13</v>
      </c>
      <c r="H33" s="12" t="str">
        <f ca="1">IF(Tabela2[[#This Row],[Data]]-TODAY()&lt;1,"Não","Sim")</f>
        <v>Não</v>
      </c>
    </row>
    <row r="34" spans="1:11" x14ac:dyDescent="0.25">
      <c r="A34" s="11" t="s">
        <v>42</v>
      </c>
      <c r="B34" s="12" t="s">
        <v>43</v>
      </c>
      <c r="C34" s="13">
        <f t="shared" si="4"/>
        <v>1.1540681214715018</v>
      </c>
      <c r="D34" s="14">
        <v>1.1000000000000001E-3</v>
      </c>
      <c r="E34" s="13">
        <f t="shared" si="5"/>
        <v>1.1553375964051205</v>
      </c>
      <c r="F34" s="15">
        <v>45691</v>
      </c>
      <c r="G34" s="16" t="s">
        <v>13</v>
      </c>
      <c r="H34" s="12" t="str">
        <f ca="1">IF(Tabela2[[#This Row],[Data]]-TODAY()&lt;1,"Não","Sim")</f>
        <v>Não</v>
      </c>
    </row>
    <row r="35" spans="1:11" x14ac:dyDescent="0.25">
      <c r="A35" s="11" t="s">
        <v>42</v>
      </c>
      <c r="B35" s="12" t="s">
        <v>43</v>
      </c>
      <c r="C35" s="13">
        <f t="shared" si="4"/>
        <v>1.1553375964051205</v>
      </c>
      <c r="D35" s="14">
        <v>1.1000000000000001E-3</v>
      </c>
      <c r="E35" s="13">
        <f t="shared" si="5"/>
        <v>1.1566084677611661</v>
      </c>
      <c r="F35" s="15">
        <v>45692</v>
      </c>
      <c r="G35" s="16" t="s">
        <v>13</v>
      </c>
      <c r="H35" s="12" t="str">
        <f ca="1">IF(Tabela2[[#This Row],[Data]]-TODAY()&lt;1,"Não","Sim")</f>
        <v>Não</v>
      </c>
    </row>
    <row r="36" spans="1:11" x14ac:dyDescent="0.25">
      <c r="A36" s="11" t="s">
        <v>42</v>
      </c>
      <c r="B36" s="12" t="s">
        <v>43</v>
      </c>
      <c r="C36" s="13">
        <f t="shared" si="4"/>
        <v>1.1566084677611661</v>
      </c>
      <c r="D36" s="14">
        <v>1.1000000000000001E-3</v>
      </c>
      <c r="E36" s="13">
        <f t="shared" si="5"/>
        <v>1.1578807370757034</v>
      </c>
      <c r="F36" s="15">
        <v>45693</v>
      </c>
      <c r="G36" s="16" t="s">
        <v>13</v>
      </c>
      <c r="H36" s="12" t="str">
        <f ca="1">IF(Tabela2[[#This Row],[Data]]-TODAY()&lt;1,"Não","Sim")</f>
        <v>Não</v>
      </c>
    </row>
    <row r="37" spans="1:11" x14ac:dyDescent="0.25">
      <c r="A37" s="11" t="s">
        <v>42</v>
      </c>
      <c r="B37" s="12" t="s">
        <v>43</v>
      </c>
      <c r="C37" s="13">
        <f t="shared" si="4"/>
        <v>1.1578807370757034</v>
      </c>
      <c r="D37" s="14">
        <v>1.1000000000000001E-3</v>
      </c>
      <c r="E37" s="13">
        <f t="shared" si="5"/>
        <v>1.1591544058864867</v>
      </c>
      <c r="F37" s="15">
        <v>45694</v>
      </c>
      <c r="G37" s="16" t="s">
        <v>13</v>
      </c>
      <c r="H37" s="12" t="str">
        <f ca="1">IF(Tabela2[[#This Row],[Data]]-TODAY()&lt;1,"Não","Sim")</f>
        <v>Não</v>
      </c>
    </row>
    <row r="38" spans="1:11" x14ac:dyDescent="0.25">
      <c r="A38" s="11" t="s">
        <v>42</v>
      </c>
      <c r="B38" s="12" t="s">
        <v>43</v>
      </c>
      <c r="C38" s="13">
        <f t="shared" si="4"/>
        <v>1.1591544058864867</v>
      </c>
      <c r="D38" s="14">
        <v>1.1000000000000001E-3</v>
      </c>
      <c r="E38" s="13">
        <f t="shared" si="5"/>
        <v>1.1604294757329618</v>
      </c>
      <c r="F38" s="15">
        <v>45695</v>
      </c>
      <c r="G38" s="16" t="s">
        <v>13</v>
      </c>
      <c r="H38" s="12" t="str">
        <f ca="1">IF(Tabela2[[#This Row],[Data]]-TODAY()&lt;1,"Não","Sim")</f>
        <v>Não</v>
      </c>
    </row>
    <row r="39" spans="1:11" x14ac:dyDescent="0.25">
      <c r="A39" s="11" t="s">
        <v>42</v>
      </c>
      <c r="B39" s="12" t="s">
        <v>43</v>
      </c>
      <c r="C39" s="13">
        <f t="shared" si="4"/>
        <v>1.1604294757329618</v>
      </c>
      <c r="D39" s="14">
        <v>1.1000000000000001E-3</v>
      </c>
      <c r="E39" s="13">
        <f t="shared" si="5"/>
        <v>1.1617059481562682</v>
      </c>
      <c r="F39" s="15">
        <v>45696</v>
      </c>
      <c r="G39" s="16" t="s">
        <v>13</v>
      </c>
      <c r="H39" s="12" t="str">
        <f ca="1">IF(Tabela2[[#This Row],[Data]]-TODAY()&lt;1,"Não","Sim")</f>
        <v>Não</v>
      </c>
    </row>
    <row r="40" spans="1:11" x14ac:dyDescent="0.25">
      <c r="A40" s="11" t="s">
        <v>42</v>
      </c>
      <c r="B40" s="12" t="s">
        <v>43</v>
      </c>
      <c r="C40" s="13">
        <f t="shared" si="4"/>
        <v>1.1617059481562682</v>
      </c>
      <c r="D40" s="14">
        <v>1.1000000000000001E-3</v>
      </c>
      <c r="E40" s="13">
        <f t="shared" si="5"/>
        <v>1.1629838246992401</v>
      </c>
      <c r="F40" s="15">
        <v>45697</v>
      </c>
      <c r="G40" s="16" t="s">
        <v>13</v>
      </c>
      <c r="H40" s="12" t="str">
        <f ca="1">IF(Tabela2[[#This Row],[Data]]-TODAY()&lt;1,"Não","Sim")</f>
        <v>Não</v>
      </c>
    </row>
    <row r="41" spans="1:11" x14ac:dyDescent="0.25">
      <c r="A41" s="11" t="s">
        <v>42</v>
      </c>
      <c r="B41" s="12" t="s">
        <v>43</v>
      </c>
      <c r="C41" s="13">
        <f t="shared" si="4"/>
        <v>1.1629838246992401</v>
      </c>
      <c r="D41" s="14">
        <v>1.1000000000000001E-3</v>
      </c>
      <c r="E41" s="13">
        <f t="shared" si="5"/>
        <v>1.1642631069064093</v>
      </c>
      <c r="F41" s="15">
        <v>45698</v>
      </c>
      <c r="G41" s="16" t="s">
        <v>13</v>
      </c>
      <c r="H41" s="12" t="str">
        <f ca="1">IF(Tabela2[[#This Row],[Data]]-TODAY()&lt;1,"Não","Sim")</f>
        <v>Não</v>
      </c>
    </row>
    <row r="42" spans="1:11" x14ac:dyDescent="0.25">
      <c r="A42" s="11" t="s">
        <v>42</v>
      </c>
      <c r="B42" s="12" t="s">
        <v>43</v>
      </c>
      <c r="C42" s="13">
        <f t="shared" si="4"/>
        <v>1.1642631069064093</v>
      </c>
      <c r="D42" s="14">
        <v>1.1000000000000001E-3</v>
      </c>
      <c r="E42" s="13">
        <f t="shared" si="5"/>
        <v>1.1655437963240063</v>
      </c>
      <c r="F42" s="15">
        <v>45699</v>
      </c>
      <c r="G42" s="16" t="s">
        <v>13</v>
      </c>
      <c r="H42" s="12" t="str">
        <f ca="1">IF(Tabela2[[#This Row],[Data]]-TODAY()&lt;1,"Não","Sim")</f>
        <v>Não</v>
      </c>
      <c r="I42" s="20"/>
    </row>
    <row r="43" spans="1:11" x14ac:dyDescent="0.25">
      <c r="A43" s="11" t="s">
        <v>42</v>
      </c>
      <c r="B43" s="12" t="s">
        <v>43</v>
      </c>
      <c r="C43" s="13">
        <f t="shared" ref="C43:C48" si="6">E42</f>
        <v>1.1655437963240063</v>
      </c>
      <c r="D43" s="14">
        <v>1.06E-2</v>
      </c>
      <c r="E43" s="13">
        <f t="shared" ref="E43:E61" si="7">C43+(D43*C43)</f>
        <v>1.1778985605650407</v>
      </c>
      <c r="F43" s="15">
        <v>45700</v>
      </c>
      <c r="G43" s="16" t="s">
        <v>13</v>
      </c>
      <c r="H43" s="12" t="str">
        <f ca="1">IF(Tabela2[[#This Row],[Data]]-TODAY()&lt;1,"Não","Sim")</f>
        <v>Não</v>
      </c>
      <c r="I43" s="89"/>
    </row>
    <row r="44" spans="1:11" x14ac:dyDescent="0.25">
      <c r="A44" s="11" t="s">
        <v>42</v>
      </c>
      <c r="B44" s="12" t="s">
        <v>43</v>
      </c>
      <c r="C44" s="13">
        <f t="shared" si="6"/>
        <v>1.1778985605650407</v>
      </c>
      <c r="D44" s="14">
        <v>1.06E-2</v>
      </c>
      <c r="E44" s="13">
        <f t="shared" si="7"/>
        <v>1.1903842853070301</v>
      </c>
      <c r="F44" s="15">
        <v>45701</v>
      </c>
      <c r="G44" s="16" t="s">
        <v>13</v>
      </c>
      <c r="H44" s="12" t="str">
        <f ca="1">IF(Tabela2[[#This Row],[Data]]-TODAY()&lt;1,"Não","Sim")</f>
        <v>Não</v>
      </c>
    </row>
    <row r="45" spans="1:11" x14ac:dyDescent="0.25">
      <c r="A45" s="11" t="s">
        <v>42</v>
      </c>
      <c r="B45" s="12" t="s">
        <v>43</v>
      </c>
      <c r="C45" s="13">
        <f t="shared" si="6"/>
        <v>1.1903842853070301</v>
      </c>
      <c r="D45" s="14">
        <v>1.06E-2</v>
      </c>
      <c r="E45" s="13">
        <f t="shared" si="7"/>
        <v>1.2030023587312846</v>
      </c>
      <c r="F45" s="15">
        <v>45702</v>
      </c>
      <c r="G45" s="16" t="s">
        <v>13</v>
      </c>
      <c r="H45" s="12" t="str">
        <f ca="1">IF(Tabela2[[#This Row],[Data]]-TODAY()&lt;1,"Não","Sim")</f>
        <v>Não</v>
      </c>
    </row>
    <row r="46" spans="1:11" x14ac:dyDescent="0.25">
      <c r="A46" s="11" t="s">
        <v>42</v>
      </c>
      <c r="B46" s="12" t="s">
        <v>43</v>
      </c>
      <c r="C46" s="13">
        <f t="shared" si="6"/>
        <v>1.2030023587312846</v>
      </c>
      <c r="D46" s="14">
        <v>1.06E-2</v>
      </c>
      <c r="E46" s="13">
        <f t="shared" si="7"/>
        <v>1.2157541837338361</v>
      </c>
      <c r="F46" s="15">
        <v>45703</v>
      </c>
      <c r="G46" s="16" t="s">
        <v>13</v>
      </c>
      <c r="H46" s="12" t="str">
        <f ca="1">IF(Tabela2[[#This Row],[Data]]-TODAY()&lt;1,"Não","Sim")</f>
        <v>Não</v>
      </c>
      <c r="K46" s="20">
        <f>SUM(C43:C62)</f>
        <v>25.789553354191376</v>
      </c>
    </row>
    <row r="47" spans="1:11" x14ac:dyDescent="0.25">
      <c r="A47" s="11" t="s">
        <v>42</v>
      </c>
      <c r="B47" s="12" t="s">
        <v>43</v>
      </c>
      <c r="C47" s="13">
        <f t="shared" si="6"/>
        <v>1.2157541837338361</v>
      </c>
      <c r="D47" s="14">
        <v>1.06E-2</v>
      </c>
      <c r="E47" s="13">
        <f t="shared" si="7"/>
        <v>1.2286411780814148</v>
      </c>
      <c r="F47" s="15">
        <v>45704</v>
      </c>
      <c r="G47" s="16" t="s">
        <v>13</v>
      </c>
      <c r="H47" s="12" t="str">
        <f ca="1">IF(Tabela2[[#This Row],[Data]]-TODAY()&lt;1,"Não","Sim")</f>
        <v>Não</v>
      </c>
    </row>
    <row r="48" spans="1:11" x14ac:dyDescent="0.25">
      <c r="A48" s="11" t="s">
        <v>42</v>
      </c>
      <c r="B48" s="12" t="s">
        <v>43</v>
      </c>
      <c r="C48" s="13">
        <f t="shared" si="6"/>
        <v>1.2286411780814148</v>
      </c>
      <c r="D48" s="14">
        <v>1.06E-2</v>
      </c>
      <c r="E48" s="13">
        <f t="shared" si="7"/>
        <v>1.2416647745690779</v>
      </c>
      <c r="F48" s="15">
        <v>45705</v>
      </c>
      <c r="G48" s="16" t="s">
        <v>13</v>
      </c>
      <c r="H48" s="12" t="str">
        <f ca="1">IF(Tabela2[[#This Row],[Data]]-TODAY()&lt;1,"Não","Sim")</f>
        <v>Não</v>
      </c>
    </row>
    <row r="49" spans="1:8" x14ac:dyDescent="0.25">
      <c r="A49" s="11" t="s">
        <v>42</v>
      </c>
      <c r="B49" s="12" t="s">
        <v>43</v>
      </c>
      <c r="C49" s="13">
        <v>1.24</v>
      </c>
      <c r="D49" s="14">
        <v>1.06E-2</v>
      </c>
      <c r="E49" s="13">
        <f t="shared" si="7"/>
        <v>1.253144</v>
      </c>
      <c r="F49" s="15">
        <v>45706</v>
      </c>
      <c r="G49" s="16" t="s">
        <v>13</v>
      </c>
      <c r="H49" s="12" t="str">
        <f ca="1">IF(Tabela2[[#This Row],[Data]]-TODAY()&lt;1,"Não","Sim")</f>
        <v>Não</v>
      </c>
    </row>
    <row r="50" spans="1:8" x14ac:dyDescent="0.25">
      <c r="A50" s="11" t="s">
        <v>42</v>
      </c>
      <c r="B50" s="12" t="s">
        <v>43</v>
      </c>
      <c r="C50" s="13">
        <f t="shared" ref="C50:C61" si="8">E49</f>
        <v>1.253144</v>
      </c>
      <c r="D50" s="14">
        <v>1.06E-2</v>
      </c>
      <c r="E50" s="13">
        <f t="shared" si="7"/>
        <v>1.2664273264000001</v>
      </c>
      <c r="F50" s="15">
        <v>45707</v>
      </c>
      <c r="G50" s="16" t="s">
        <v>13</v>
      </c>
      <c r="H50" s="12" t="str">
        <f ca="1">IF(Tabela2[[#This Row],[Data]]-TODAY()&lt;1,"Não","Sim")</f>
        <v>Não</v>
      </c>
    </row>
    <row r="51" spans="1:8" x14ac:dyDescent="0.25">
      <c r="A51" s="11" t="s">
        <v>42</v>
      </c>
      <c r="B51" s="12" t="s">
        <v>43</v>
      </c>
      <c r="C51" s="13">
        <f t="shared" si="8"/>
        <v>1.2664273264000001</v>
      </c>
      <c r="D51" s="14">
        <v>1.06E-2</v>
      </c>
      <c r="E51" s="13">
        <f t="shared" si="7"/>
        <v>1.2798514560598402</v>
      </c>
      <c r="F51" s="15">
        <v>45708</v>
      </c>
      <c r="G51" s="16" t="s">
        <v>13</v>
      </c>
      <c r="H51" s="12" t="str">
        <f ca="1">IF(Tabela2[[#This Row],[Data]]-TODAY()&lt;1,"Não","Sim")</f>
        <v>Não</v>
      </c>
    </row>
    <row r="52" spans="1:8" x14ac:dyDescent="0.25">
      <c r="A52" s="11" t="s">
        <v>42</v>
      </c>
      <c r="B52" s="12" t="s">
        <v>43</v>
      </c>
      <c r="C52" s="13">
        <f t="shared" si="8"/>
        <v>1.2798514560598402</v>
      </c>
      <c r="D52" s="14">
        <v>1.06E-2</v>
      </c>
      <c r="E52" s="13">
        <f t="shared" si="7"/>
        <v>1.2934178814940744</v>
      </c>
      <c r="F52" s="15">
        <v>45709</v>
      </c>
      <c r="G52" s="16" t="s">
        <v>13</v>
      </c>
      <c r="H52" s="12" t="str">
        <f ca="1">IF(Tabela2[[#This Row],[Data]]-TODAY()&lt;1,"Não","Sim")</f>
        <v>Não</v>
      </c>
    </row>
    <row r="53" spans="1:8" x14ac:dyDescent="0.25">
      <c r="A53" s="11" t="s">
        <v>42</v>
      </c>
      <c r="B53" s="12" t="s">
        <v>43</v>
      </c>
      <c r="C53" s="13">
        <f t="shared" si="8"/>
        <v>1.2934178814940744</v>
      </c>
      <c r="D53" s="14">
        <v>1.06E-2</v>
      </c>
      <c r="E53" s="13">
        <f t="shared" si="7"/>
        <v>1.3071281110379116</v>
      </c>
      <c r="F53" s="15">
        <v>45710</v>
      </c>
      <c r="G53" s="16" t="s">
        <v>13</v>
      </c>
      <c r="H53" s="12" t="str">
        <f ca="1">IF(Tabela2[[#This Row],[Data]]-TODAY()&lt;1,"Não","Sim")</f>
        <v>Não</v>
      </c>
    </row>
    <row r="54" spans="1:8" x14ac:dyDescent="0.25">
      <c r="A54" s="11" t="s">
        <v>42</v>
      </c>
      <c r="B54" s="12" t="s">
        <v>43</v>
      </c>
      <c r="C54" s="13">
        <f t="shared" si="8"/>
        <v>1.3071281110379116</v>
      </c>
      <c r="D54" s="14">
        <v>1.06E-2</v>
      </c>
      <c r="E54" s="13">
        <f t="shared" si="7"/>
        <v>1.3209836690149135</v>
      </c>
      <c r="F54" s="15">
        <v>45711</v>
      </c>
      <c r="G54" s="16" t="s">
        <v>13</v>
      </c>
      <c r="H54" s="12" t="str">
        <f ca="1">IF(Tabela2[[#This Row],[Data]]-TODAY()&lt;1,"Não","Sim")</f>
        <v>Não</v>
      </c>
    </row>
    <row r="55" spans="1:8" x14ac:dyDescent="0.25">
      <c r="A55" s="11" t="s">
        <v>42</v>
      </c>
      <c r="B55" s="12" t="s">
        <v>43</v>
      </c>
      <c r="C55" s="13">
        <f t="shared" si="8"/>
        <v>1.3209836690149135</v>
      </c>
      <c r="D55" s="14">
        <v>1.06E-2</v>
      </c>
      <c r="E55" s="13">
        <f t="shared" si="7"/>
        <v>1.3349860959064717</v>
      </c>
      <c r="F55" s="15">
        <v>45712</v>
      </c>
      <c r="G55" s="16" t="s">
        <v>13</v>
      </c>
      <c r="H55" s="12" t="str">
        <f ca="1">IF(Tabela2[[#This Row],[Data]]-TODAY()&lt;1,"Não","Sim")</f>
        <v>Não</v>
      </c>
    </row>
    <row r="56" spans="1:8" x14ac:dyDescent="0.25">
      <c r="A56" s="11" t="s">
        <v>42</v>
      </c>
      <c r="B56" s="12" t="s">
        <v>43</v>
      </c>
      <c r="C56" s="13">
        <f t="shared" si="8"/>
        <v>1.3349860959064717</v>
      </c>
      <c r="D56" s="14">
        <v>1.06E-2</v>
      </c>
      <c r="E56" s="13">
        <f t="shared" si="7"/>
        <v>1.3491369485230802</v>
      </c>
      <c r="F56" s="15">
        <v>45713</v>
      </c>
      <c r="G56" s="16" t="s">
        <v>13</v>
      </c>
      <c r="H56" s="12" t="str">
        <f ca="1">IF(Tabela2[[#This Row],[Data]]-TODAY()&lt;1,"Não","Sim")</f>
        <v>Não</v>
      </c>
    </row>
    <row r="57" spans="1:8" x14ac:dyDescent="0.25">
      <c r="A57" s="11" t="s">
        <v>42</v>
      </c>
      <c r="B57" s="12" t="s">
        <v>43</v>
      </c>
      <c r="C57" s="13">
        <f t="shared" si="8"/>
        <v>1.3491369485230802</v>
      </c>
      <c r="D57" s="14">
        <v>1.06E-2</v>
      </c>
      <c r="E57" s="13">
        <f t="shared" si="7"/>
        <v>1.3634378001774248</v>
      </c>
      <c r="F57" s="15">
        <v>45714</v>
      </c>
      <c r="G57" s="16" t="s">
        <v>13</v>
      </c>
      <c r="H57" s="12" t="str">
        <f ca="1">IF(Tabela2[[#This Row],[Data]]-TODAY()&lt;1,"Não","Sim")</f>
        <v>Não</v>
      </c>
    </row>
    <row r="58" spans="1:8" x14ac:dyDescent="0.25">
      <c r="A58" s="11" t="s">
        <v>42</v>
      </c>
      <c r="B58" s="12" t="s">
        <v>43</v>
      </c>
      <c r="C58" s="13">
        <f t="shared" si="8"/>
        <v>1.3634378001774248</v>
      </c>
      <c r="D58" s="14">
        <v>1.06E-2</v>
      </c>
      <c r="E58" s="13">
        <f t="shared" si="7"/>
        <v>1.3778902408593054</v>
      </c>
      <c r="F58" s="15">
        <v>45715</v>
      </c>
      <c r="G58" s="16" t="s">
        <v>13</v>
      </c>
      <c r="H58" s="12" t="str">
        <f ca="1">IF(Tabela2[[#This Row],[Data]]-TODAY()&lt;1,"Não","Sim")</f>
        <v>Não</v>
      </c>
    </row>
    <row r="59" spans="1:8" x14ac:dyDescent="0.25">
      <c r="A59" s="11" t="s">
        <v>42</v>
      </c>
      <c r="B59" s="12" t="s">
        <v>43</v>
      </c>
      <c r="C59" s="13">
        <f t="shared" si="8"/>
        <v>1.3778902408593054</v>
      </c>
      <c r="D59" s="14">
        <v>1.06E-2</v>
      </c>
      <c r="E59" s="13">
        <f t="shared" si="7"/>
        <v>1.3924958774124141</v>
      </c>
      <c r="F59" s="15">
        <v>45716</v>
      </c>
      <c r="G59" s="16" t="s">
        <v>13</v>
      </c>
      <c r="H59" s="12" t="str">
        <f ca="1">IF(Tabela2[[#This Row],[Data]]-TODAY()&lt;1,"Não","Sim")</f>
        <v>Não</v>
      </c>
    </row>
    <row r="60" spans="1:8" x14ac:dyDescent="0.25">
      <c r="A60" s="11" t="s">
        <v>42</v>
      </c>
      <c r="B60" s="12" t="s">
        <v>43</v>
      </c>
      <c r="C60" s="13">
        <f t="shared" si="8"/>
        <v>1.3924958774124141</v>
      </c>
      <c r="D60" s="14">
        <v>1.06E-2</v>
      </c>
      <c r="E60" s="13">
        <f t="shared" si="7"/>
        <v>1.4072563337129858</v>
      </c>
      <c r="F60" s="15">
        <v>45717</v>
      </c>
      <c r="G60" s="16" t="s">
        <v>13</v>
      </c>
      <c r="H60" s="12" t="str">
        <f ca="1">IF(Tabela2[[#This Row],[Data]]-TODAY()&lt;1,"Não","Sim")</f>
        <v>Não</v>
      </c>
    </row>
    <row r="61" spans="1:8" x14ac:dyDescent="0.25">
      <c r="A61" s="11" t="s">
        <v>42</v>
      </c>
      <c r="B61" s="12" t="s">
        <v>43</v>
      </c>
      <c r="C61" s="13">
        <f t="shared" si="8"/>
        <v>1.4072563337129858</v>
      </c>
      <c r="D61" s="14">
        <v>1.06E-2</v>
      </c>
      <c r="E61" s="13">
        <f t="shared" si="7"/>
        <v>1.4221732508503433</v>
      </c>
      <c r="F61" s="15">
        <v>45718</v>
      </c>
      <c r="G61" s="16" t="s">
        <v>13</v>
      </c>
      <c r="H61" s="12" t="str">
        <f ca="1">IF(Tabela2[[#This Row],[Data]]-TODAY()&lt;1,"Não","Sim")</f>
        <v>Não</v>
      </c>
    </row>
    <row r="62" spans="1:8" x14ac:dyDescent="0.25">
      <c r="A62" s="11" t="s">
        <v>42</v>
      </c>
      <c r="B62" s="12" t="s">
        <v>43</v>
      </c>
      <c r="C62" s="13">
        <f t="shared" ref="C62:C79" si="9">E61</f>
        <v>1.4221732508503433</v>
      </c>
      <c r="D62" s="14">
        <v>1.06E-2</v>
      </c>
      <c r="E62" s="13">
        <f t="shared" ref="E62:E79" si="10">C62+(D62*C62)</f>
        <v>1.4372482873093568</v>
      </c>
      <c r="F62" s="15">
        <v>45719</v>
      </c>
      <c r="G62" s="16" t="s">
        <v>13</v>
      </c>
      <c r="H62" s="12" t="str">
        <f ca="1">IF(Tabela2[[#This Row],[Data]]-TODAY()&lt;1,"Não","Sim")</f>
        <v>Não</v>
      </c>
    </row>
    <row r="63" spans="1:8" x14ac:dyDescent="0.25">
      <c r="A63" s="11" t="s">
        <v>42</v>
      </c>
      <c r="B63" s="12" t="s">
        <v>43</v>
      </c>
      <c r="C63" s="13">
        <f t="shared" si="9"/>
        <v>1.4372482873093568</v>
      </c>
      <c r="D63" s="14">
        <v>1.06E-2</v>
      </c>
      <c r="E63" s="13">
        <f t="shared" si="10"/>
        <v>1.452483119154836</v>
      </c>
      <c r="F63" s="15">
        <v>45720</v>
      </c>
      <c r="G63" s="16" t="s">
        <v>13</v>
      </c>
      <c r="H63" s="12" t="str">
        <f ca="1">IF(Tabela2[[#This Row],[Data]]-TODAY()&lt;1,"Não","Sim")</f>
        <v>Não</v>
      </c>
    </row>
    <row r="64" spans="1:8" x14ac:dyDescent="0.25">
      <c r="A64" s="11" t="s">
        <v>42</v>
      </c>
      <c r="B64" s="12" t="s">
        <v>43</v>
      </c>
      <c r="C64" s="13">
        <f t="shared" si="9"/>
        <v>1.452483119154836</v>
      </c>
      <c r="D64" s="14">
        <v>1.06E-2</v>
      </c>
      <c r="E64" s="13">
        <f t="shared" si="10"/>
        <v>1.4678794402178772</v>
      </c>
      <c r="F64" s="15">
        <v>45721</v>
      </c>
      <c r="G64" s="16" t="s">
        <v>13</v>
      </c>
      <c r="H64" s="12" t="str">
        <f ca="1">IF(Tabela2[[#This Row],[Data]]-TODAY()&lt;1,"Não","Sim")</f>
        <v>Não</v>
      </c>
    </row>
    <row r="65" spans="1:10" x14ac:dyDescent="0.25">
      <c r="A65" s="11" t="s">
        <v>42</v>
      </c>
      <c r="B65" s="12" t="s">
        <v>43</v>
      </c>
      <c r="C65" s="13">
        <f t="shared" si="9"/>
        <v>1.4678794402178772</v>
      </c>
      <c r="D65" s="14">
        <v>1.06E-2</v>
      </c>
      <c r="E65" s="13">
        <f t="shared" si="10"/>
        <v>1.4834389622841866</v>
      </c>
      <c r="F65" s="15">
        <v>45722</v>
      </c>
      <c r="G65" s="16" t="s">
        <v>13</v>
      </c>
      <c r="H65" s="12" t="str">
        <f ca="1">IF(Tabela2[[#This Row],[Data]]-TODAY()&lt;1,"Não","Sim")</f>
        <v>Não</v>
      </c>
    </row>
    <row r="66" spans="1:10" x14ac:dyDescent="0.25">
      <c r="A66" s="11" t="s">
        <v>42</v>
      </c>
      <c r="B66" s="12" t="s">
        <v>43</v>
      </c>
      <c r="C66" s="13">
        <f t="shared" si="9"/>
        <v>1.4834389622841866</v>
      </c>
      <c r="D66" s="14">
        <v>1.06E-2</v>
      </c>
      <c r="E66" s="13">
        <f t="shared" si="10"/>
        <v>1.4991634152843989</v>
      </c>
      <c r="F66" s="15">
        <v>45723</v>
      </c>
      <c r="G66" s="16" t="s">
        <v>13</v>
      </c>
      <c r="H66" s="12" t="str">
        <f ca="1">IF(Tabela2[[#This Row],[Data]]-TODAY()&lt;1,"Não","Sim")</f>
        <v>Não</v>
      </c>
    </row>
    <row r="67" spans="1:10" x14ac:dyDescent="0.25">
      <c r="A67" s="11" t="s">
        <v>42</v>
      </c>
      <c r="B67" s="12" t="s">
        <v>43</v>
      </c>
      <c r="C67" s="13">
        <f t="shared" si="9"/>
        <v>1.4991634152843989</v>
      </c>
      <c r="D67" s="14">
        <v>1.06E-2</v>
      </c>
      <c r="E67" s="13">
        <f t="shared" si="10"/>
        <v>1.5150545474864134</v>
      </c>
      <c r="F67" s="15">
        <v>45724</v>
      </c>
      <c r="G67" s="16" t="s">
        <v>13</v>
      </c>
      <c r="H67" s="12" t="str">
        <f ca="1">IF(Tabela2[[#This Row],[Data]]-TODAY()&lt;1,"Não","Sim")</f>
        <v>Não</v>
      </c>
    </row>
    <row r="68" spans="1:10" x14ac:dyDescent="0.25">
      <c r="A68" s="11" t="s">
        <v>42</v>
      </c>
      <c r="B68" s="12" t="s">
        <v>43</v>
      </c>
      <c r="C68" s="13">
        <f t="shared" si="9"/>
        <v>1.5150545474864134</v>
      </c>
      <c r="D68" s="14">
        <v>1.06E-2</v>
      </c>
      <c r="E68" s="13">
        <f t="shared" si="10"/>
        <v>1.5311141256897693</v>
      </c>
      <c r="F68" s="15">
        <v>45725</v>
      </c>
      <c r="G68" s="16" t="s">
        <v>13</v>
      </c>
      <c r="H68" s="12" t="str">
        <f ca="1">IF(Tabela2[[#This Row],[Data]]-TODAY()&lt;1,"Não","Sim")</f>
        <v>Não</v>
      </c>
    </row>
    <row r="69" spans="1:10" x14ac:dyDescent="0.25">
      <c r="A69" s="11" t="s">
        <v>42</v>
      </c>
      <c r="B69" s="12" t="s">
        <v>43</v>
      </c>
      <c r="C69" s="13">
        <f t="shared" si="9"/>
        <v>1.5311141256897693</v>
      </c>
      <c r="D69" s="14">
        <v>1.06E-2</v>
      </c>
      <c r="E69" s="13">
        <f t="shared" si="10"/>
        <v>1.5473439354220808</v>
      </c>
      <c r="F69" s="15">
        <v>45726</v>
      </c>
      <c r="G69" s="16" t="s">
        <v>13</v>
      </c>
      <c r="H69" s="12" t="str">
        <f ca="1">IF(Tabela2[[#This Row],[Data]]-TODAY()&lt;1,"Não","Sim")</f>
        <v>Não</v>
      </c>
    </row>
    <row r="70" spans="1:10" x14ac:dyDescent="0.25">
      <c r="A70" s="11" t="s">
        <v>42</v>
      </c>
      <c r="B70" s="12" t="s">
        <v>43</v>
      </c>
      <c r="C70" s="13">
        <f t="shared" si="9"/>
        <v>1.5473439354220808</v>
      </c>
      <c r="D70" s="14">
        <v>1.06E-2</v>
      </c>
      <c r="E70" s="13">
        <f t="shared" si="10"/>
        <v>1.5637457811375548</v>
      </c>
      <c r="F70" s="15">
        <v>45727</v>
      </c>
      <c r="G70" s="16" t="s">
        <v>13</v>
      </c>
      <c r="H70" s="12" t="str">
        <f ca="1">IF(Tabela2[[#This Row],[Data]]-TODAY()&lt;1,"Não","Sim")</f>
        <v>Não</v>
      </c>
    </row>
    <row r="71" spans="1:10" x14ac:dyDescent="0.25">
      <c r="A71" s="11" t="s">
        <v>42</v>
      </c>
      <c r="B71" s="12" t="s">
        <v>43</v>
      </c>
      <c r="C71" s="13">
        <f t="shared" si="9"/>
        <v>1.5637457811375548</v>
      </c>
      <c r="D71" s="14">
        <v>1.06E-2</v>
      </c>
      <c r="E71" s="13">
        <f t="shared" si="10"/>
        <v>1.5803214864176129</v>
      </c>
      <c r="F71" s="15">
        <v>45728</v>
      </c>
      <c r="G71" s="16" t="s">
        <v>13</v>
      </c>
      <c r="H71" s="12" t="str">
        <f ca="1">IF(Tabela2[[#This Row],[Data]]-TODAY()&lt;1,"Não","Sim")</f>
        <v>Não</v>
      </c>
    </row>
    <row r="72" spans="1:10" x14ac:dyDescent="0.25">
      <c r="A72" s="11" t="s">
        <v>42</v>
      </c>
      <c r="B72" s="12" t="s">
        <v>43</v>
      </c>
      <c r="C72" s="13">
        <f t="shared" si="9"/>
        <v>1.5803214864176129</v>
      </c>
      <c r="D72" s="14">
        <v>1.06E-2</v>
      </c>
      <c r="E72" s="13">
        <f t="shared" si="10"/>
        <v>1.5970728941736396</v>
      </c>
      <c r="F72" s="15">
        <v>45729</v>
      </c>
      <c r="G72" s="16" t="s">
        <v>13</v>
      </c>
      <c r="H72" s="12" t="str">
        <f ca="1">IF(Tabela2[[#This Row],[Data]]-TODAY()&lt;1,"Não","Sim")</f>
        <v>Não</v>
      </c>
    </row>
    <row r="73" spans="1:10" x14ac:dyDescent="0.25">
      <c r="A73" s="11" t="s">
        <v>42</v>
      </c>
      <c r="B73" s="12" t="s">
        <v>43</v>
      </c>
      <c r="C73" s="13">
        <f t="shared" si="9"/>
        <v>1.5970728941736396</v>
      </c>
      <c r="D73" s="14">
        <v>1.06E-2</v>
      </c>
      <c r="E73" s="13">
        <f t="shared" si="10"/>
        <v>1.6140018668518803</v>
      </c>
      <c r="F73" s="15">
        <v>45730</v>
      </c>
      <c r="G73" s="16" t="s">
        <v>13</v>
      </c>
      <c r="H73" s="12" t="str">
        <f ca="1">IF(Tabela2[[#This Row],[Data]]-TODAY()&lt;1,"Não","Sim")</f>
        <v>Não</v>
      </c>
    </row>
    <row r="74" spans="1:10" x14ac:dyDescent="0.25">
      <c r="A74" s="11" t="s">
        <v>42</v>
      </c>
      <c r="B74" s="12" t="s">
        <v>43</v>
      </c>
      <c r="C74" s="13">
        <f t="shared" si="9"/>
        <v>1.6140018668518803</v>
      </c>
      <c r="D74" s="14">
        <v>1.06E-2</v>
      </c>
      <c r="E74" s="13">
        <f t="shared" si="10"/>
        <v>1.6311102866405103</v>
      </c>
      <c r="F74" s="15">
        <v>45731</v>
      </c>
      <c r="G74" s="16" t="s">
        <v>13</v>
      </c>
      <c r="H74" s="12" t="str">
        <f ca="1">IF(Tabela2[[#This Row],[Data]]-TODAY()&lt;1,"Não","Sim")</f>
        <v>Não</v>
      </c>
    </row>
    <row r="75" spans="1:10" x14ac:dyDescent="0.25">
      <c r="A75" s="11" t="s">
        <v>42</v>
      </c>
      <c r="B75" s="12" t="s">
        <v>43</v>
      </c>
      <c r="C75" s="13">
        <f t="shared" si="9"/>
        <v>1.6311102866405103</v>
      </c>
      <c r="D75" s="14">
        <v>1.06E-2</v>
      </c>
      <c r="E75" s="13">
        <f t="shared" si="10"/>
        <v>1.6484000556788996</v>
      </c>
      <c r="F75" s="15">
        <v>45732</v>
      </c>
      <c r="G75" s="16" t="s">
        <v>13</v>
      </c>
      <c r="H75" s="12" t="str">
        <f ca="1">IF(Tabela2[[#This Row],[Data]]-TODAY()&lt;1,"Não","Sim")</f>
        <v>Não</v>
      </c>
    </row>
    <row r="76" spans="1:10" x14ac:dyDescent="0.25">
      <c r="A76" s="11" t="s">
        <v>42</v>
      </c>
      <c r="B76" s="12" t="s">
        <v>43</v>
      </c>
      <c r="C76" s="13">
        <f t="shared" si="9"/>
        <v>1.6484000556788996</v>
      </c>
      <c r="D76" s="14">
        <v>1.06E-2</v>
      </c>
      <c r="E76" s="13">
        <f t="shared" si="10"/>
        <v>1.665873096269096</v>
      </c>
      <c r="F76" s="15">
        <v>45733</v>
      </c>
      <c r="G76" s="16" t="s">
        <v>13</v>
      </c>
      <c r="H76" s="12" t="str">
        <f ca="1">IF(Tabela2[[#This Row],[Data]]-TODAY()&lt;1,"Não","Sim")</f>
        <v>Não</v>
      </c>
    </row>
    <row r="77" spans="1:10" x14ac:dyDescent="0.25">
      <c r="A77" s="11" t="s">
        <v>42</v>
      </c>
      <c r="B77" s="12" t="s">
        <v>43</v>
      </c>
      <c r="C77" s="13">
        <f t="shared" si="9"/>
        <v>1.665873096269096</v>
      </c>
      <c r="D77" s="14">
        <v>1.06E-2</v>
      </c>
      <c r="E77" s="13">
        <f t="shared" si="10"/>
        <v>1.6835313510895484</v>
      </c>
      <c r="F77" s="15">
        <v>45734</v>
      </c>
      <c r="G77" s="16" t="s">
        <v>13</v>
      </c>
      <c r="H77" s="12" t="str">
        <f ca="1">IF(Tabela2[[#This Row],[Data]]-TODAY()&lt;1,"Não","Sim")</f>
        <v>Não</v>
      </c>
    </row>
    <row r="78" spans="1:10" x14ac:dyDescent="0.25">
      <c r="A78" s="11" t="s">
        <v>42</v>
      </c>
      <c r="B78" s="12" t="s">
        <v>43</v>
      </c>
      <c r="C78" s="13">
        <f t="shared" si="9"/>
        <v>1.6835313510895484</v>
      </c>
      <c r="D78" s="14">
        <v>1.06E-2</v>
      </c>
      <c r="E78" s="13">
        <f t="shared" si="10"/>
        <v>1.7013767834110975</v>
      </c>
      <c r="F78" s="15">
        <v>45735</v>
      </c>
      <c r="G78" s="16" t="s">
        <v>13</v>
      </c>
      <c r="H78" s="12" t="str">
        <f ca="1">IF(Tabela2[[#This Row],[Data]]-TODAY()&lt;1,"Não","Sim")</f>
        <v>Não</v>
      </c>
    </row>
    <row r="79" spans="1:10" x14ac:dyDescent="0.25">
      <c r="A79" s="11" t="s">
        <v>42</v>
      </c>
      <c r="B79" s="12" t="s">
        <v>43</v>
      </c>
      <c r="C79" s="13">
        <f t="shared" si="9"/>
        <v>1.7013767834110975</v>
      </c>
      <c r="D79" s="14">
        <v>1.06E-2</v>
      </c>
      <c r="E79" s="13">
        <f t="shared" si="10"/>
        <v>1.7194113773152553</v>
      </c>
      <c r="F79" s="15">
        <v>45736</v>
      </c>
      <c r="G79" s="16" t="s">
        <v>13</v>
      </c>
      <c r="H79" s="12" t="str">
        <f ca="1">IF(Tabela2[[#This Row],[Data]]-TODAY()&lt;1,"Não","Sim")</f>
        <v>Não</v>
      </c>
    </row>
    <row r="80" spans="1:10" x14ac:dyDescent="0.25">
      <c r="A80" s="11" t="s">
        <v>42</v>
      </c>
      <c r="B80" s="12" t="s">
        <v>43</v>
      </c>
      <c r="C80" s="13">
        <f t="shared" ref="C80:C94" si="11">E79</f>
        <v>1.7194113773152553</v>
      </c>
      <c r="D80" s="14">
        <v>1.06E-2</v>
      </c>
      <c r="E80" s="13">
        <f t="shared" ref="E80:E94" si="12">C80+(D80*C80)</f>
        <v>1.737637137914797</v>
      </c>
      <c r="F80" s="15">
        <v>45737</v>
      </c>
      <c r="G80" s="16" t="s">
        <v>13</v>
      </c>
      <c r="H80" s="12" t="str">
        <f ca="1">IF(Tabela2[[#This Row],[Data]]-TODAY()&lt;1,"Não","Sim")</f>
        <v>Não</v>
      </c>
      <c r="J80" s="20">
        <f>SUM(C80:C84)</f>
        <v>8.781256684134723</v>
      </c>
    </row>
    <row r="81" spans="1:8" x14ac:dyDescent="0.25">
      <c r="A81" s="11" t="s">
        <v>42</v>
      </c>
      <c r="B81" s="12" t="s">
        <v>43</v>
      </c>
      <c r="C81" s="13">
        <f t="shared" si="11"/>
        <v>1.737637137914797</v>
      </c>
      <c r="D81" s="14">
        <v>1.06E-2</v>
      </c>
      <c r="E81" s="13">
        <f t="shared" si="12"/>
        <v>1.7560560915766938</v>
      </c>
      <c r="F81" s="15">
        <v>45738</v>
      </c>
      <c r="G81" s="16" t="s">
        <v>13</v>
      </c>
      <c r="H81" s="12" t="str">
        <f ca="1">IF(Tabela2[[#This Row],[Data]]-TODAY()&lt;1,"Não","Sim")</f>
        <v>Não</v>
      </c>
    </row>
    <row r="82" spans="1:8" x14ac:dyDescent="0.25">
      <c r="A82" s="11" t="s">
        <v>42</v>
      </c>
      <c r="B82" s="12" t="s">
        <v>43</v>
      </c>
      <c r="C82" s="13">
        <f t="shared" si="11"/>
        <v>1.7560560915766938</v>
      </c>
      <c r="D82" s="14">
        <v>1.06E-2</v>
      </c>
      <c r="E82" s="13">
        <f t="shared" si="12"/>
        <v>1.7746702861474069</v>
      </c>
      <c r="F82" s="15">
        <v>45739</v>
      </c>
      <c r="G82" s="16" t="s">
        <v>13</v>
      </c>
      <c r="H82" s="12" t="str">
        <f ca="1">IF(Tabela2[[#This Row],[Data]]-TODAY()&lt;1,"Não","Sim")</f>
        <v>Não</v>
      </c>
    </row>
    <row r="83" spans="1:8" x14ac:dyDescent="0.25">
      <c r="A83" s="11" t="s">
        <v>42</v>
      </c>
      <c r="B83" s="12" t="s">
        <v>43</v>
      </c>
      <c r="C83" s="13">
        <f t="shared" si="11"/>
        <v>1.7746702861474069</v>
      </c>
      <c r="D83" s="14">
        <v>1.06E-2</v>
      </c>
      <c r="E83" s="13">
        <f t="shared" si="12"/>
        <v>1.7934817911805694</v>
      </c>
      <c r="F83" s="15">
        <v>45740</v>
      </c>
      <c r="G83" s="16" t="s">
        <v>13</v>
      </c>
      <c r="H83" s="12" t="str">
        <f ca="1">IF(Tabela2[[#This Row],[Data]]-TODAY()&lt;1,"Não","Sim")</f>
        <v>Não</v>
      </c>
    </row>
    <row r="84" spans="1:8" x14ac:dyDescent="0.25">
      <c r="A84" s="11" t="s">
        <v>42</v>
      </c>
      <c r="B84" s="12" t="s">
        <v>43</v>
      </c>
      <c r="C84" s="13">
        <f t="shared" si="11"/>
        <v>1.7934817911805694</v>
      </c>
      <c r="D84" s="14">
        <v>1.06E-2</v>
      </c>
      <c r="E84" s="13">
        <f t="shared" si="12"/>
        <v>1.8124926981670835</v>
      </c>
      <c r="F84" s="15">
        <v>45741</v>
      </c>
      <c r="G84" s="16" t="s">
        <v>13</v>
      </c>
      <c r="H84" s="12" t="str">
        <f ca="1">IF(Tabela2[[#This Row],[Data]]-TODAY()&lt;1,"Não","Sim")</f>
        <v>Não</v>
      </c>
    </row>
    <row r="85" spans="1:8" x14ac:dyDescent="0.25">
      <c r="A85" s="11" t="s">
        <v>42</v>
      </c>
      <c r="B85" s="12" t="s">
        <v>43</v>
      </c>
      <c r="C85" s="13">
        <f t="shared" si="11"/>
        <v>1.8124926981670835</v>
      </c>
      <c r="D85" s="14">
        <v>1.06E-2</v>
      </c>
      <c r="E85" s="13">
        <f t="shared" si="12"/>
        <v>1.8317051207676545</v>
      </c>
      <c r="F85" s="15">
        <v>45742</v>
      </c>
      <c r="G85" s="16" t="s">
        <v>13</v>
      </c>
      <c r="H85" s="12" t="str">
        <f ca="1">IF(Tabela2[[#This Row],[Data]]-TODAY()&lt;1,"Não","Sim")</f>
        <v>Não</v>
      </c>
    </row>
    <row r="86" spans="1:8" x14ac:dyDescent="0.25">
      <c r="A86" s="11" t="s">
        <v>42</v>
      </c>
      <c r="B86" s="12" t="s">
        <v>43</v>
      </c>
      <c r="C86" s="13">
        <f t="shared" si="11"/>
        <v>1.8317051207676545</v>
      </c>
      <c r="D86" s="14">
        <v>1.06E-2</v>
      </c>
      <c r="E86" s="13">
        <f t="shared" si="12"/>
        <v>1.8511211950477915</v>
      </c>
      <c r="F86" s="15">
        <v>45743</v>
      </c>
      <c r="G86" s="16" t="s">
        <v>13</v>
      </c>
      <c r="H86" s="12" t="str">
        <f ca="1">IF(Tabela2[[#This Row],[Data]]-TODAY()&lt;1,"Não","Sim")</f>
        <v>Não</v>
      </c>
    </row>
    <row r="87" spans="1:8" x14ac:dyDescent="0.25">
      <c r="A87" s="11" t="s">
        <v>42</v>
      </c>
      <c r="B87" s="12" t="s">
        <v>43</v>
      </c>
      <c r="C87" s="13">
        <f t="shared" si="11"/>
        <v>1.8511211950477915</v>
      </c>
      <c r="D87" s="14">
        <v>1.06E-2</v>
      </c>
      <c r="E87" s="13">
        <f t="shared" si="12"/>
        <v>1.8707430797152982</v>
      </c>
      <c r="F87" s="15">
        <v>45744</v>
      </c>
      <c r="G87" s="16" t="s">
        <v>13</v>
      </c>
      <c r="H87" s="12" t="str">
        <f ca="1">IF(Tabela2[[#This Row],[Data]]-TODAY()&lt;1,"Não","Sim")</f>
        <v>Não</v>
      </c>
    </row>
    <row r="88" spans="1:8" x14ac:dyDescent="0.25">
      <c r="A88" s="11" t="s">
        <v>42</v>
      </c>
      <c r="B88" s="12" t="s">
        <v>43</v>
      </c>
      <c r="C88" s="13">
        <f t="shared" si="11"/>
        <v>1.8707430797152982</v>
      </c>
      <c r="D88" s="14">
        <v>1.06E-2</v>
      </c>
      <c r="E88" s="13">
        <f t="shared" si="12"/>
        <v>1.8905729563602804</v>
      </c>
      <c r="F88" s="15">
        <v>45745</v>
      </c>
      <c r="G88" s="16" t="s">
        <v>13</v>
      </c>
      <c r="H88" s="12" t="str">
        <f ca="1">IF(Tabela2[[#This Row],[Data]]-TODAY()&lt;1,"Não","Sim")</f>
        <v>Sim</v>
      </c>
    </row>
    <row r="89" spans="1:8" x14ac:dyDescent="0.25">
      <c r="A89" s="11" t="s">
        <v>42</v>
      </c>
      <c r="B89" s="12" t="s">
        <v>43</v>
      </c>
      <c r="C89" s="13">
        <f t="shared" si="11"/>
        <v>1.8905729563602804</v>
      </c>
      <c r="D89" s="14">
        <v>1.06E-2</v>
      </c>
      <c r="E89" s="13">
        <f t="shared" si="12"/>
        <v>1.9106130296976995</v>
      </c>
      <c r="F89" s="15">
        <v>45746</v>
      </c>
      <c r="G89" s="16" t="s">
        <v>13</v>
      </c>
      <c r="H89" s="12" t="str">
        <f ca="1">IF(Tabela2[[#This Row],[Data]]-TODAY()&lt;1,"Não","Sim")</f>
        <v>Sim</v>
      </c>
    </row>
    <row r="90" spans="1:8" x14ac:dyDescent="0.25">
      <c r="A90" s="11" t="s">
        <v>42</v>
      </c>
      <c r="B90" s="12" t="s">
        <v>43</v>
      </c>
      <c r="C90" s="13">
        <f t="shared" si="11"/>
        <v>1.9106130296976995</v>
      </c>
      <c r="D90" s="14">
        <v>1.06E-2</v>
      </c>
      <c r="E90" s="13">
        <f t="shared" si="12"/>
        <v>1.9308655278124951</v>
      </c>
      <c r="F90" s="15">
        <v>45747</v>
      </c>
      <c r="G90" s="16" t="s">
        <v>13</v>
      </c>
      <c r="H90" s="12" t="str">
        <f ca="1">IF(Tabela2[[#This Row],[Data]]-TODAY()&lt;1,"Não","Sim")</f>
        <v>Sim</v>
      </c>
    </row>
    <row r="91" spans="1:8" x14ac:dyDescent="0.25">
      <c r="A91" s="11" t="s">
        <v>42</v>
      </c>
      <c r="B91" s="12" t="s">
        <v>43</v>
      </c>
      <c r="C91" s="13">
        <f t="shared" si="11"/>
        <v>1.9308655278124951</v>
      </c>
      <c r="D91" s="14">
        <v>1.06E-2</v>
      </c>
      <c r="E91" s="13">
        <f t="shared" si="12"/>
        <v>1.9513327024073075</v>
      </c>
      <c r="F91" s="15">
        <v>45748</v>
      </c>
      <c r="G91" s="16" t="s">
        <v>13</v>
      </c>
      <c r="H91" s="12" t="str">
        <f ca="1">IF(Tabela2[[#This Row],[Data]]-TODAY()&lt;1,"Não","Sim")</f>
        <v>Sim</v>
      </c>
    </row>
    <row r="92" spans="1:8" x14ac:dyDescent="0.25">
      <c r="A92" s="11" t="s">
        <v>42</v>
      </c>
      <c r="B92" s="12" t="s">
        <v>43</v>
      </c>
      <c r="C92" s="13">
        <f t="shared" si="11"/>
        <v>1.9513327024073075</v>
      </c>
      <c r="D92" s="14">
        <v>1.06E-2</v>
      </c>
      <c r="E92" s="13">
        <f t="shared" si="12"/>
        <v>1.972016829052825</v>
      </c>
      <c r="F92" s="15">
        <v>45749</v>
      </c>
      <c r="G92" s="16" t="s">
        <v>13</v>
      </c>
      <c r="H92" s="12" t="str">
        <f ca="1">IF(Tabela2[[#This Row],[Data]]-TODAY()&lt;1,"Não","Sim")</f>
        <v>Sim</v>
      </c>
    </row>
    <row r="93" spans="1:8" x14ac:dyDescent="0.25">
      <c r="A93" s="11" t="s">
        <v>42</v>
      </c>
      <c r="B93" s="12" t="s">
        <v>43</v>
      </c>
      <c r="C93" s="13">
        <f t="shared" si="11"/>
        <v>1.972016829052825</v>
      </c>
      <c r="D93" s="14">
        <v>1.06E-2</v>
      </c>
      <c r="E93" s="13">
        <f t="shared" si="12"/>
        <v>1.992920207440785</v>
      </c>
      <c r="F93" s="15">
        <v>45750</v>
      </c>
      <c r="G93" s="16" t="s">
        <v>13</v>
      </c>
      <c r="H93" s="12" t="str">
        <f ca="1">IF(Tabela2[[#This Row],[Data]]-TODAY()&lt;1,"Não","Sim")</f>
        <v>Sim</v>
      </c>
    </row>
    <row r="94" spans="1:8" x14ac:dyDescent="0.25">
      <c r="A94" s="11" t="s">
        <v>42</v>
      </c>
      <c r="B94" s="12" t="s">
        <v>43</v>
      </c>
      <c r="C94" s="13">
        <f t="shared" si="11"/>
        <v>1.992920207440785</v>
      </c>
      <c r="D94" s="14">
        <v>1.06E-2</v>
      </c>
      <c r="E94" s="13">
        <f t="shared" si="12"/>
        <v>2.0140451616396575</v>
      </c>
      <c r="F94" s="15">
        <v>45751</v>
      </c>
      <c r="G94" s="16" t="s">
        <v>13</v>
      </c>
      <c r="H94" s="12" t="str">
        <f ca="1">IF(Tabela2[[#This Row],[Data]]-TODAY()&lt;1,"Não","Sim")</f>
        <v>Sim</v>
      </c>
    </row>
  </sheetData>
  <mergeCells count="3">
    <mergeCell ref="L6:N7"/>
    <mergeCell ref="L8:N9"/>
    <mergeCell ref="L5:N5"/>
  </mergeCells>
  <pageMargins left="0.511811024" right="0.511811024" top="0.78740157499999996" bottom="0.78740157499999996" header="0.31496062000000002" footer="0.31496062000000002"/>
  <pageSetup paperSize="9"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2"/>
  <sheetViews>
    <sheetView workbookViewId="0">
      <selection activeCell="B12" sqref="B12"/>
    </sheetView>
  </sheetViews>
  <sheetFormatPr defaultRowHeight="15" x14ac:dyDescent="0.25"/>
  <cols>
    <col min="1" max="1" width="11.5703125" bestFit="1" customWidth="1"/>
    <col min="2" max="2" width="31.28515625" bestFit="1" customWidth="1"/>
    <col min="3" max="3" width="17.28515625" bestFit="1" customWidth="1"/>
    <col min="4" max="5" width="10.28515625" bestFit="1" customWidth="1"/>
    <col min="6" max="6" width="11.5703125" customWidth="1"/>
    <col min="7" max="7" width="10.140625" bestFit="1" customWidth="1"/>
    <col min="8" max="8" width="13.28515625" bestFit="1" customWidth="1"/>
    <col min="9" max="9" width="15.28515625" bestFit="1" customWidth="1"/>
    <col min="10" max="10" width="11.7109375" customWidth="1"/>
    <col min="13" max="13" width="10.28515625" bestFit="1" customWidth="1"/>
    <col min="14" max="14" width="16.5703125" bestFit="1" customWidth="1"/>
    <col min="15" max="15" width="16.5703125" customWidth="1"/>
    <col min="16" max="16" width="10.140625" bestFit="1" customWidth="1"/>
    <col min="21" max="21" width="10.28515625" bestFit="1" customWidth="1"/>
    <col min="22" max="22" width="16.5703125" bestFit="1" customWidth="1"/>
    <col min="23" max="23" width="10.28515625" bestFit="1" customWidth="1"/>
    <col min="24" max="24" width="10.140625" bestFit="1" customWidth="1"/>
    <col min="25" max="25" width="9.42578125" bestFit="1" customWidth="1"/>
  </cols>
  <sheetData>
    <row r="1" spans="1:26" x14ac:dyDescent="0.25">
      <c r="A1" s="129" t="s">
        <v>48</v>
      </c>
      <c r="B1" s="121"/>
      <c r="C1" s="121"/>
      <c r="D1" s="121"/>
      <c r="E1" s="121"/>
      <c r="F1" s="121"/>
      <c r="G1" s="121"/>
      <c r="H1" s="122"/>
      <c r="K1" s="79"/>
      <c r="L1" s="129" t="s">
        <v>29</v>
      </c>
      <c r="M1" s="129"/>
      <c r="N1" s="129"/>
      <c r="O1" s="129"/>
      <c r="P1" s="129"/>
      <c r="Q1" s="87"/>
      <c r="S1" s="129" t="s">
        <v>31</v>
      </c>
      <c r="T1" s="121"/>
      <c r="U1" s="121"/>
      <c r="V1" s="121"/>
      <c r="W1" s="121"/>
      <c r="X1" s="121"/>
      <c r="Y1" s="122"/>
    </row>
    <row r="2" spans="1:26" x14ac:dyDescent="0.25">
      <c r="A2" s="123"/>
      <c r="B2" s="124"/>
      <c r="C2" s="124"/>
      <c r="D2" s="124"/>
      <c r="E2" s="124"/>
      <c r="F2" s="124"/>
      <c r="G2" s="124"/>
      <c r="H2" s="125"/>
      <c r="J2" s="80"/>
      <c r="K2" s="81"/>
      <c r="L2" s="129"/>
      <c r="M2" s="129"/>
      <c r="N2" s="129"/>
      <c r="O2" s="129"/>
      <c r="P2" s="129"/>
      <c r="Q2" s="87"/>
      <c r="S2" s="123"/>
      <c r="T2" s="124"/>
      <c r="U2" s="124"/>
      <c r="V2" s="124"/>
      <c r="W2" s="124"/>
      <c r="X2" s="124"/>
      <c r="Y2" s="125"/>
    </row>
    <row r="4" spans="1:26" x14ac:dyDescent="0.25">
      <c r="A4" s="3" t="s">
        <v>49</v>
      </c>
      <c r="B4" s="3" t="s">
        <v>50</v>
      </c>
      <c r="C4" s="3" t="s">
        <v>84</v>
      </c>
      <c r="D4" s="4" t="s">
        <v>6</v>
      </c>
      <c r="E4" s="8" t="s">
        <v>4</v>
      </c>
      <c r="H4" s="66" t="s">
        <v>51</v>
      </c>
      <c r="I4" s="66" t="s">
        <v>93</v>
      </c>
      <c r="J4" s="66" t="s">
        <v>36</v>
      </c>
      <c r="L4" s="3" t="s">
        <v>49</v>
      </c>
      <c r="M4" s="4" t="s">
        <v>50</v>
      </c>
      <c r="N4" s="4" t="s">
        <v>6</v>
      </c>
      <c r="O4" s="4" t="s">
        <v>4</v>
      </c>
      <c r="P4" s="8" t="s">
        <v>83</v>
      </c>
      <c r="R4" s="66" t="s">
        <v>51</v>
      </c>
      <c r="T4" s="31" t="s">
        <v>49</v>
      </c>
      <c r="U4" s="31" t="s">
        <v>50</v>
      </c>
      <c r="V4" s="31" t="s">
        <v>6</v>
      </c>
      <c r="W4" s="31" t="s">
        <v>4</v>
      </c>
      <c r="X4" s="74" t="s">
        <v>84</v>
      </c>
      <c r="Z4" s="66" t="s">
        <v>51</v>
      </c>
    </row>
    <row r="5" spans="1:26" x14ac:dyDescent="0.25">
      <c r="A5" s="11" t="s">
        <v>16</v>
      </c>
      <c r="B5" s="11" t="s">
        <v>52</v>
      </c>
      <c r="C5" s="11" t="s">
        <v>15</v>
      </c>
      <c r="D5" s="13">
        <v>2.16</v>
      </c>
      <c r="E5" s="52">
        <v>45677</v>
      </c>
      <c r="H5" s="67">
        <f>SUMIF(Tabela7[Tipo de Transação],"Entrada",Tabela7[Valor])-SUMIF(Tabela7[Tipo de Transação],"Saída",Tabela7[Valor])</f>
        <v>3.4600000000000009</v>
      </c>
      <c r="I5" s="77">
        <v>0.13250000000000001</v>
      </c>
      <c r="J5" s="77">
        <v>1.1000000000000001E-3</v>
      </c>
      <c r="L5" s="32" t="s">
        <v>16</v>
      </c>
      <c r="M5" s="31" t="s">
        <v>29</v>
      </c>
      <c r="N5" s="35">
        <v>3</v>
      </c>
      <c r="O5" s="71">
        <v>45677</v>
      </c>
      <c r="P5" s="33" t="s">
        <v>15</v>
      </c>
      <c r="Q5" s="63"/>
      <c r="R5" s="67">
        <f>SUMIFS(Tabela79[Valor],Tabela79[Tipo de transação],"Entrada")-SUMIF(Tabela79[Tipo de transação],"Saída",Tabela79[Valor])</f>
        <v>5.91</v>
      </c>
      <c r="T5" s="31" t="s">
        <v>13</v>
      </c>
      <c r="U5" s="31" t="s">
        <v>31</v>
      </c>
      <c r="V5" s="35">
        <v>5</v>
      </c>
      <c r="W5" s="71">
        <v>45682</v>
      </c>
      <c r="X5" s="72" t="s">
        <v>15</v>
      </c>
      <c r="Z5" s="67">
        <f>SUMIF(Tabela7911[Tipo de Transação],"Entrada",Tabela7911[Valor])-SUMIF(Tabela7911[Tipo de Transação],"Saída",Tabela7911[Valor])+0.01</f>
        <v>6.4699999999999989</v>
      </c>
    </row>
    <row r="6" spans="1:26" x14ac:dyDescent="0.25">
      <c r="A6" s="11" t="s">
        <v>90</v>
      </c>
      <c r="B6" s="11" t="s">
        <v>52</v>
      </c>
      <c r="C6" s="11" t="s">
        <v>11</v>
      </c>
      <c r="D6" s="13">
        <v>20</v>
      </c>
      <c r="E6" s="52">
        <v>45686</v>
      </c>
      <c r="L6" s="11" t="s">
        <v>16</v>
      </c>
      <c r="M6" s="12" t="s">
        <v>29</v>
      </c>
      <c r="N6" s="13">
        <v>1.81</v>
      </c>
      <c r="O6" s="73">
        <v>45678</v>
      </c>
      <c r="P6" s="16" t="s">
        <v>11</v>
      </c>
      <c r="Q6" s="63"/>
      <c r="T6" s="63" t="s">
        <v>13</v>
      </c>
      <c r="U6" s="63" t="s">
        <v>31</v>
      </c>
      <c r="V6" s="83">
        <v>1.4</v>
      </c>
      <c r="W6" s="21">
        <v>45687</v>
      </c>
      <c r="X6" s="63" t="s">
        <v>15</v>
      </c>
      <c r="Y6" s="63"/>
    </row>
    <row r="7" spans="1:26" x14ac:dyDescent="0.25">
      <c r="A7" s="11" t="s">
        <v>16</v>
      </c>
      <c r="B7" s="11" t="s">
        <v>52</v>
      </c>
      <c r="C7" s="11" t="s">
        <v>15</v>
      </c>
      <c r="D7" s="13">
        <v>20</v>
      </c>
      <c r="E7" s="52">
        <v>45686</v>
      </c>
      <c r="L7" s="11" t="s">
        <v>109</v>
      </c>
      <c r="M7" s="12" t="s">
        <v>29</v>
      </c>
      <c r="N7" s="13">
        <v>0.77</v>
      </c>
      <c r="O7" s="73">
        <v>45708</v>
      </c>
      <c r="P7" s="16" t="s">
        <v>15</v>
      </c>
      <c r="T7" s="63" t="s">
        <v>13</v>
      </c>
      <c r="U7" s="63" t="s">
        <v>31</v>
      </c>
      <c r="V7" s="83">
        <v>0.01</v>
      </c>
      <c r="W7" s="21">
        <v>45712</v>
      </c>
      <c r="X7" s="63" t="s">
        <v>15</v>
      </c>
    </row>
    <row r="8" spans="1:26" x14ac:dyDescent="0.25">
      <c r="A8" s="11" t="s">
        <v>13</v>
      </c>
      <c r="B8" s="11" t="s">
        <v>52</v>
      </c>
      <c r="C8" s="11" t="s">
        <v>15</v>
      </c>
      <c r="D8" s="13">
        <v>5</v>
      </c>
      <c r="E8" s="52">
        <v>45686</v>
      </c>
      <c r="L8" s="11" t="s">
        <v>109</v>
      </c>
      <c r="M8" s="12" t="s">
        <v>29</v>
      </c>
      <c r="N8" s="13">
        <v>0.01</v>
      </c>
      <c r="O8" s="73">
        <v>45708</v>
      </c>
      <c r="P8" s="16" t="s">
        <v>15</v>
      </c>
      <c r="T8" s="63" t="s">
        <v>13</v>
      </c>
      <c r="U8" s="63" t="s">
        <v>31</v>
      </c>
      <c r="V8" s="83">
        <v>0.01</v>
      </c>
      <c r="W8" s="21">
        <v>45717</v>
      </c>
      <c r="X8" s="63" t="s">
        <v>15</v>
      </c>
    </row>
    <row r="9" spans="1:26" x14ac:dyDescent="0.25">
      <c r="A9" s="11" t="s">
        <v>13</v>
      </c>
      <c r="B9" s="11" t="s">
        <v>52</v>
      </c>
      <c r="C9" s="11" t="s">
        <v>11</v>
      </c>
      <c r="D9" s="13">
        <v>5</v>
      </c>
      <c r="E9" s="52">
        <v>45687</v>
      </c>
      <c r="L9" s="11" t="s">
        <v>109</v>
      </c>
      <c r="M9" s="12" t="s">
        <v>29</v>
      </c>
      <c r="N9" s="13">
        <v>0.94</v>
      </c>
      <c r="O9" s="73">
        <v>45730</v>
      </c>
      <c r="P9" s="16" t="s">
        <v>15</v>
      </c>
      <c r="T9" s="63" t="s">
        <v>13</v>
      </c>
      <c r="U9" s="63" t="s">
        <v>31</v>
      </c>
      <c r="V9" s="83">
        <v>0.01</v>
      </c>
      <c r="W9" s="21">
        <v>45727</v>
      </c>
      <c r="X9" s="63" t="s">
        <v>15</v>
      </c>
    </row>
    <row r="10" spans="1:26" x14ac:dyDescent="0.25">
      <c r="A10" s="11" t="s">
        <v>111</v>
      </c>
      <c r="B10" s="11" t="s">
        <v>52</v>
      </c>
      <c r="C10" s="11" t="s">
        <v>15</v>
      </c>
      <c r="D10" s="13">
        <v>0.02</v>
      </c>
      <c r="E10" s="52">
        <v>45712</v>
      </c>
      <c r="L10" s="11" t="s">
        <v>109</v>
      </c>
      <c r="M10" s="12" t="s">
        <v>29</v>
      </c>
      <c r="N10" s="13">
        <v>3</v>
      </c>
      <c r="O10" s="73">
        <v>45737</v>
      </c>
      <c r="P10" s="16" t="s">
        <v>15</v>
      </c>
      <c r="T10" s="63" t="s">
        <v>13</v>
      </c>
      <c r="U10" s="63" t="s">
        <v>31</v>
      </c>
      <c r="V10" s="83">
        <v>0.01</v>
      </c>
      <c r="W10" s="21">
        <v>45730</v>
      </c>
      <c r="X10" s="63" t="s">
        <v>15</v>
      </c>
    </row>
    <row r="11" spans="1:26" x14ac:dyDescent="0.25">
      <c r="A11" s="11" t="s">
        <v>111</v>
      </c>
      <c r="B11" s="11" t="s">
        <v>52</v>
      </c>
      <c r="C11" s="11" t="s">
        <v>15</v>
      </c>
      <c r="D11" s="13">
        <v>1.28</v>
      </c>
      <c r="E11" s="52">
        <v>45734</v>
      </c>
      <c r="T11" s="63" t="s">
        <v>13</v>
      </c>
      <c r="U11" s="63" t="s">
        <v>31</v>
      </c>
      <c r="V11" s="83">
        <v>0.02</v>
      </c>
      <c r="W11" s="21">
        <v>45741</v>
      </c>
      <c r="X11" s="63" t="s">
        <v>15</v>
      </c>
    </row>
    <row r="12" spans="1:26" ht="28.5" customHeight="1" x14ac:dyDescent="0.25"/>
  </sheetData>
  <mergeCells count="3">
    <mergeCell ref="A1:H2"/>
    <mergeCell ref="S1:Y2"/>
    <mergeCell ref="L1:P2"/>
  </mergeCells>
  <pageMargins left="0.511811024" right="0.511811024" top="0.78740157499999996" bottom="0.78740157499999996" header="0.31496062000000002" footer="0.31496062000000002"/>
  <tableParts count="3"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3"/>
  <sheetViews>
    <sheetView workbookViewId="0">
      <selection activeCell="B14" sqref="B14"/>
    </sheetView>
  </sheetViews>
  <sheetFormatPr defaultRowHeight="15" x14ac:dyDescent="0.25"/>
  <cols>
    <col min="1" max="1" width="15.7109375" bestFit="1" customWidth="1"/>
    <col min="2" max="2" width="25.28515625" bestFit="1" customWidth="1"/>
    <col min="3" max="3" width="13.5703125" bestFit="1" customWidth="1"/>
    <col min="4" max="5" width="10.5703125" bestFit="1" customWidth="1"/>
    <col min="6" max="6" width="13.42578125" bestFit="1" customWidth="1"/>
    <col min="7" max="7" width="10.28515625" bestFit="1" customWidth="1"/>
    <col min="8" max="8" width="8.85546875" customWidth="1"/>
    <col min="9" max="9" width="10.7109375" customWidth="1"/>
    <col min="11" max="11" width="11.5703125" bestFit="1" customWidth="1"/>
    <col min="12" max="12" width="9.5703125" bestFit="1" customWidth="1"/>
    <col min="13" max="13" width="10" bestFit="1" customWidth="1"/>
  </cols>
  <sheetData>
    <row r="1" spans="1:19" x14ac:dyDescent="0.25">
      <c r="A1" s="130" t="s">
        <v>53</v>
      </c>
      <c r="B1" s="121"/>
      <c r="C1" s="121"/>
      <c r="D1" s="121"/>
      <c r="E1" s="121"/>
      <c r="F1" s="121"/>
      <c r="G1" s="121"/>
      <c r="H1" s="121"/>
      <c r="I1" s="121"/>
      <c r="J1" s="121"/>
      <c r="K1" s="122"/>
    </row>
    <row r="2" spans="1:19" x14ac:dyDescent="0.25">
      <c r="A2" s="123"/>
      <c r="B2" s="124"/>
      <c r="C2" s="124"/>
      <c r="D2" s="124"/>
      <c r="E2" s="124"/>
      <c r="F2" s="124"/>
      <c r="G2" s="124"/>
      <c r="H2" s="124"/>
      <c r="I2" s="124"/>
      <c r="J2" s="124"/>
      <c r="K2" s="125"/>
      <c r="Q2" s="128" t="s">
        <v>41</v>
      </c>
      <c r="R2" s="127"/>
      <c r="S2" s="127"/>
    </row>
    <row r="3" spans="1:19" x14ac:dyDescent="0.25">
      <c r="L3" s="56" t="e" vm="1">
        <v>#VALUE!</v>
      </c>
      <c r="Q3" s="126" t="s">
        <v>44</v>
      </c>
      <c r="R3" s="127"/>
      <c r="S3" s="127"/>
    </row>
    <row r="4" spans="1:19" ht="30" customHeight="1" x14ac:dyDescent="0.25">
      <c r="A4" s="22" t="s">
        <v>54</v>
      </c>
      <c r="B4" s="23" t="s">
        <v>8</v>
      </c>
      <c r="C4" s="23" t="s">
        <v>55</v>
      </c>
      <c r="D4" s="23" t="s">
        <v>56</v>
      </c>
      <c r="E4" s="23" t="s">
        <v>57</v>
      </c>
      <c r="F4" s="23" t="s">
        <v>58</v>
      </c>
      <c r="G4" s="24" t="s">
        <v>4</v>
      </c>
      <c r="I4" s="50" t="s">
        <v>59</v>
      </c>
      <c r="K4" s="55" t="s">
        <v>60</v>
      </c>
      <c r="M4" s="64" t="s">
        <v>61</v>
      </c>
      <c r="Q4" s="127"/>
      <c r="R4" s="127"/>
      <c r="S4" s="127"/>
    </row>
    <row r="5" spans="1:19" ht="24" customHeight="1" x14ac:dyDescent="0.25">
      <c r="A5" s="88" t="s">
        <v>13</v>
      </c>
      <c r="B5" s="91" t="s">
        <v>62</v>
      </c>
      <c r="C5" s="35">
        <v>10</v>
      </c>
      <c r="D5" s="35">
        <v>6.1</v>
      </c>
      <c r="E5" s="35">
        <v>0.11</v>
      </c>
      <c r="F5" s="92">
        <f t="shared" ref="F5:F10" si="0">(C5-E5)/D5</f>
        <v>1.6213114754098363</v>
      </c>
      <c r="G5" s="93">
        <v>45664</v>
      </c>
      <c r="I5" s="53">
        <f>SUM(Tabela10[Valor em dólar])</f>
        <v>21.71865563968079</v>
      </c>
      <c r="K5" s="57">
        <f t="array" aca="1" ref="K5" ca="1">_FV(L3,"Preço")</f>
        <v>5.74</v>
      </c>
      <c r="M5" s="65">
        <f ca="1">K5*I5</f>
        <v>124.66508337176774</v>
      </c>
      <c r="Q5" s="128" t="s">
        <v>46</v>
      </c>
      <c r="R5" s="127"/>
      <c r="S5" s="127"/>
    </row>
    <row r="6" spans="1:19" x14ac:dyDescent="0.25">
      <c r="A6" s="88" t="s">
        <v>13</v>
      </c>
      <c r="B6" s="91" t="s">
        <v>62</v>
      </c>
      <c r="C6" s="94">
        <v>10</v>
      </c>
      <c r="D6" s="94">
        <v>6.05</v>
      </c>
      <c r="E6" s="94">
        <v>0.11</v>
      </c>
      <c r="F6" s="95">
        <f t="shared" si="0"/>
        <v>1.634710743801653</v>
      </c>
      <c r="G6" s="96">
        <v>45671</v>
      </c>
      <c r="Q6" s="127"/>
      <c r="R6" s="127"/>
      <c r="S6" s="127"/>
    </row>
    <row r="7" spans="1:19" x14ac:dyDescent="0.25">
      <c r="A7" s="88" t="s">
        <v>13</v>
      </c>
      <c r="B7" s="91" t="s">
        <v>62</v>
      </c>
      <c r="C7" s="97">
        <v>10</v>
      </c>
      <c r="D7" s="98">
        <v>5.9</v>
      </c>
      <c r="E7" s="97">
        <v>0.11</v>
      </c>
      <c r="F7" s="99">
        <f t="shared" si="0"/>
        <v>1.6762711864406779</v>
      </c>
      <c r="G7" s="96">
        <v>45684</v>
      </c>
      <c r="I7" s="50" t="s">
        <v>85</v>
      </c>
      <c r="K7" s="50" t="s">
        <v>21</v>
      </c>
    </row>
    <row r="8" spans="1:19" x14ac:dyDescent="0.25">
      <c r="A8" s="100" t="s">
        <v>13</v>
      </c>
      <c r="B8" s="91" t="s">
        <v>62</v>
      </c>
      <c r="C8" s="97">
        <v>10</v>
      </c>
      <c r="D8" s="97">
        <v>5.7</v>
      </c>
      <c r="E8" s="97">
        <v>0.11</v>
      </c>
      <c r="F8" s="99">
        <f t="shared" si="0"/>
        <v>1.7350877192982457</v>
      </c>
      <c r="G8" s="96">
        <v>45708</v>
      </c>
      <c r="I8" s="57">
        <f>SUM(Tabela10[Valor de depósito])</f>
        <v>127.68</v>
      </c>
      <c r="K8" s="57">
        <f ca="1">M5-I8</f>
        <v>-3.014916628232271</v>
      </c>
    </row>
    <row r="9" spans="1:19" x14ac:dyDescent="0.25">
      <c r="A9" s="51" t="s">
        <v>13</v>
      </c>
      <c r="B9" s="91" t="s">
        <v>62</v>
      </c>
      <c r="C9" s="78">
        <v>19.68</v>
      </c>
      <c r="D9" s="78">
        <v>5.78</v>
      </c>
      <c r="E9" s="78">
        <v>0.43</v>
      </c>
      <c r="F9" s="76">
        <f t="shared" si="0"/>
        <v>3.3304498269896192</v>
      </c>
      <c r="G9" s="54">
        <v>45695</v>
      </c>
    </row>
    <row r="10" spans="1:19" x14ac:dyDescent="0.25">
      <c r="A10" s="51" t="s">
        <v>116</v>
      </c>
      <c r="B10" s="91" t="s">
        <v>62</v>
      </c>
      <c r="C10" s="106">
        <v>8.9700000000000006</v>
      </c>
      <c r="D10" s="106">
        <v>5.74</v>
      </c>
      <c r="E10" s="106">
        <v>0.2</v>
      </c>
      <c r="F10" s="76">
        <f t="shared" si="0"/>
        <v>1.5278745644599305</v>
      </c>
      <c r="G10" s="54">
        <v>45730</v>
      </c>
    </row>
    <row r="11" spans="1:19" x14ac:dyDescent="0.25">
      <c r="A11" s="51" t="s">
        <v>116</v>
      </c>
      <c r="B11" s="91" t="s">
        <v>62</v>
      </c>
      <c r="C11" s="106">
        <v>49.03</v>
      </c>
      <c r="D11" s="106">
        <v>5.68</v>
      </c>
      <c r="E11" s="106">
        <v>0.9</v>
      </c>
      <c r="F11" s="76">
        <f>(C11-E11)/D11</f>
        <v>8.4735915492957758</v>
      </c>
      <c r="G11" s="54">
        <v>45736</v>
      </c>
    </row>
    <row r="12" spans="1:19" x14ac:dyDescent="0.25">
      <c r="A12" s="51" t="s">
        <v>116</v>
      </c>
      <c r="B12" s="91" t="s">
        <v>62</v>
      </c>
      <c r="C12" s="106">
        <v>10</v>
      </c>
      <c r="D12" s="106">
        <v>5.6997999999999998</v>
      </c>
      <c r="E12" s="106">
        <v>0.2</v>
      </c>
      <c r="F12" s="76">
        <f>(C12-E12)/D12</f>
        <v>1.7193585739850523</v>
      </c>
      <c r="G12" s="54">
        <v>45741</v>
      </c>
    </row>
    <row r="13" spans="1:19" x14ac:dyDescent="0.25">
      <c r="L13" s="90"/>
    </row>
  </sheetData>
  <mergeCells count="4">
    <mergeCell ref="Q3:S4"/>
    <mergeCell ref="A1:K2"/>
    <mergeCell ref="Q2:S2"/>
    <mergeCell ref="Q5:S6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4:V29"/>
  <sheetViews>
    <sheetView tabSelected="1" topLeftCell="A3" workbookViewId="0">
      <selection activeCell="G5" sqref="G5"/>
    </sheetView>
  </sheetViews>
  <sheetFormatPr defaultRowHeight="15" x14ac:dyDescent="0.25"/>
  <cols>
    <col min="1" max="1" width="10.5703125" bestFit="1" customWidth="1"/>
    <col min="2" max="2" width="11.5703125" bestFit="1" customWidth="1"/>
    <col min="3" max="3" width="8.85546875" bestFit="1" customWidth="1"/>
    <col min="4" max="4" width="47.42578125" style="44" bestFit="1" customWidth="1"/>
    <col min="5" max="5" width="4.85546875" style="1" bestFit="1" customWidth="1"/>
    <col min="6" max="6" width="10.28515625" style="1" bestFit="1" customWidth="1"/>
    <col min="7" max="7" width="11.85546875" style="1" customWidth="1"/>
    <col min="8" max="8" width="10.28515625" bestFit="1" customWidth="1"/>
    <col min="9" max="9" width="11.28515625" customWidth="1"/>
    <col min="10" max="11" width="11.85546875" bestFit="1" customWidth="1"/>
    <col min="12" max="12" width="12.5703125" bestFit="1" customWidth="1"/>
    <col min="13" max="13" width="9.7109375" bestFit="1" customWidth="1"/>
    <col min="14" max="14" width="9.7109375" customWidth="1"/>
    <col min="16" max="16" width="14" bestFit="1" customWidth="1"/>
    <col min="17" max="17" width="12.28515625" customWidth="1"/>
    <col min="18" max="18" width="13.140625" customWidth="1"/>
    <col min="19" max="20" width="9.5703125" bestFit="1" customWidth="1"/>
  </cols>
  <sheetData>
    <row r="4" spans="1:22" ht="45" customHeight="1" x14ac:dyDescent="0.25">
      <c r="A4" s="3" t="s">
        <v>34</v>
      </c>
      <c r="B4" s="4" t="s">
        <v>35</v>
      </c>
      <c r="C4" s="24" t="s">
        <v>63</v>
      </c>
      <c r="D4" s="23" t="s">
        <v>64</v>
      </c>
      <c r="E4" s="29" t="s">
        <v>65</v>
      </c>
      <c r="F4" s="6" t="s">
        <v>66</v>
      </c>
      <c r="G4" s="23" t="s">
        <v>94</v>
      </c>
      <c r="H4" s="30" t="s">
        <v>4</v>
      </c>
      <c r="I4" s="23" t="s">
        <v>67</v>
      </c>
      <c r="J4" s="31" t="s">
        <v>21</v>
      </c>
      <c r="K4" s="4" t="s">
        <v>87</v>
      </c>
      <c r="L4" s="23" t="s">
        <v>68</v>
      </c>
      <c r="M4" s="23" t="s">
        <v>69</v>
      </c>
      <c r="N4" s="23" t="s">
        <v>59</v>
      </c>
      <c r="O4" s="4" t="s">
        <v>5</v>
      </c>
      <c r="P4" s="8" t="s">
        <v>70</v>
      </c>
      <c r="Q4" s="63"/>
      <c r="R4" s="68" t="s">
        <v>71</v>
      </c>
      <c r="T4" s="20"/>
    </row>
    <row r="5" spans="1:22" x14ac:dyDescent="0.25">
      <c r="A5" s="32" t="s">
        <v>13</v>
      </c>
      <c r="B5" s="31"/>
      <c r="C5" s="33" t="str">
        <f t="array" aca="1" ref="C5" ca="1">_FV(Tabela27[[#This Row],[Nome do ativo]],"Símbolo do ticker",TRUE)</f>
        <v>MXRF11</v>
      </c>
      <c r="D5" s="31" t="e" vm="2">
        <v>#VALUE!</v>
      </c>
      <c r="E5" s="34">
        <v>1</v>
      </c>
      <c r="F5" s="35">
        <v>9.2899999999999991</v>
      </c>
      <c r="G5" s="35" cm="1">
        <f t="array" aca="1" ref="G5" ca="1">_FV(Tabela27[[#This Row],[Nome do ativo]],"Preço")*Tabela27[[#This Row],[QTD]]</f>
        <v>9.08</v>
      </c>
      <c r="H5" s="36">
        <v>45632</v>
      </c>
      <c r="I5" s="37">
        <f>0.19+0.09</f>
        <v>0.28000000000000003</v>
      </c>
      <c r="J5" s="37">
        <f ca="1">(Tabela27[[#This Row],[Preço Atual/Venda]]-Tabela27[[#This Row],[Valor da compra]])</f>
        <v>-0.20999999999999908</v>
      </c>
      <c r="K5" s="37">
        <f ca="1">Tabela27[[#This Row],[Lucro]]+Tabela27[[#This Row],[Dividendos pagos]]</f>
        <v>7.000000000000095E-2</v>
      </c>
      <c r="L5" s="38">
        <f t="shared" ref="L5:L17" ca="1" si="0">J5/(IF(TODAY()-H5=0,1,TODAY()-H5))</f>
        <v>-1.8749999999999917E-3</v>
      </c>
      <c r="M5" s="38" t="s">
        <v>72</v>
      </c>
      <c r="N5" s="35">
        <f ca="1">Tabela27[[#This Row],[Valor da compra]]+Tabela27[[#This Row],[Lucro]]</f>
        <v>9.08</v>
      </c>
      <c r="O5" s="31" t="s">
        <v>28</v>
      </c>
      <c r="P5" s="33" t="s">
        <v>73</v>
      </c>
      <c r="Q5" s="63"/>
      <c r="R5" s="69">
        <f>SUMIF(Tabela27[Em posse],"Sim",Tabela27[Valor da compra])</f>
        <v>188.25</v>
      </c>
    </row>
    <row r="6" spans="1:22" x14ac:dyDescent="0.25">
      <c r="A6" s="11" t="s">
        <v>13</v>
      </c>
      <c r="B6" s="12"/>
      <c r="C6" s="16" t="str">
        <f t="array" aca="1" ref="C6" ca="1">_FV(Tabela27[[#This Row],[Nome do ativo]],"Símbolo do ticker",TRUE)</f>
        <v>MXRF11</v>
      </c>
      <c r="D6" s="12" t="e" vm="2">
        <f>D5</f>
        <v>#VALUE!</v>
      </c>
      <c r="E6" s="39">
        <v>1</v>
      </c>
      <c r="F6" s="13">
        <v>9.49</v>
      </c>
      <c r="G6" s="13" cm="1">
        <f t="array" aca="1" ref="G6" ca="1">_FV(Tabela27[[#This Row],[Nome do ativo]],"Preço")*Tabela27[[#This Row],[QTD]]</f>
        <v>9.08</v>
      </c>
      <c r="H6" s="40">
        <v>45663</v>
      </c>
      <c r="I6" s="41">
        <v>0.18</v>
      </c>
      <c r="J6" s="41">
        <f ca="1">(Tabela27[[#This Row],[Preço Atual/Venda]]-Tabela27[[#This Row],[Valor da compra]])</f>
        <v>-0.41000000000000014</v>
      </c>
      <c r="K6" s="41">
        <f ca="1">Tabela27[[#This Row],[Lucro]]+Tabela27[[#This Row],[Dividendos pagos]]</f>
        <v>-0.23000000000000015</v>
      </c>
      <c r="L6" s="42">
        <f t="shared" ca="1" si="0"/>
        <v>-5.0617283950617304E-3</v>
      </c>
      <c r="M6" s="43" t="s">
        <v>72</v>
      </c>
      <c r="N6" s="37">
        <f ca="1">Tabela27[[#This Row],[Valor da compra]]+Tabela27[[#This Row],[Lucro]]</f>
        <v>9.08</v>
      </c>
      <c r="O6" s="31" t="s">
        <v>28</v>
      </c>
      <c r="P6" s="33" t="s">
        <v>73</v>
      </c>
      <c r="Q6" s="63"/>
      <c r="T6" s="128" t="s">
        <v>41</v>
      </c>
      <c r="U6" s="127"/>
      <c r="V6" s="127"/>
    </row>
    <row r="7" spans="1:22" ht="15" hidden="1" customHeight="1" x14ac:dyDescent="0.25">
      <c r="A7" s="11" t="s">
        <v>74</v>
      </c>
      <c r="B7" s="12"/>
      <c r="C7" s="16" t="str" cm="1">
        <f t="array" aca="1" ref="C7" ca="1">_FV(Tabela27[[#This Row],[Nome do ativo]],"Símbolo do ticker",TRUE)</f>
        <v>MXRF11</v>
      </c>
      <c r="D7" s="39" t="e" vm="2">
        <v>#VALUE!</v>
      </c>
      <c r="E7" s="39">
        <v>1</v>
      </c>
      <c r="F7" s="13">
        <v>9.2100000000000009</v>
      </c>
      <c r="G7" s="13" cm="1">
        <f t="array" aca="1" ref="G7" ca="1">_FV(Tabela27[[#This Row],[Nome do ativo]],"Preço")*Tabela27[[#This Row],[QTD]]</f>
        <v>9.08</v>
      </c>
      <c r="H7" s="15">
        <v>45670</v>
      </c>
      <c r="I7" s="41">
        <v>0</v>
      </c>
      <c r="J7" s="41">
        <f ca="1">(Tabela27[[#This Row],[Preço Atual/Venda]]-Tabela27[[#This Row],[Valor da compra]])</f>
        <v>-0.13000000000000078</v>
      </c>
      <c r="K7" s="41">
        <f ca="1">Tabela27[[#This Row],[Lucro]]+Tabela27[[#This Row],[Dividendos pagos]]</f>
        <v>-0.13000000000000078</v>
      </c>
      <c r="L7" s="41">
        <f t="shared" ca="1" si="0"/>
        <v>-1.7567567567567672E-3</v>
      </c>
      <c r="M7" s="37" t="s">
        <v>76</v>
      </c>
      <c r="N7" s="37">
        <f ca="1">Tabela27[[#This Row],[Valor da compra]]+Tabela27[[#This Row],[Lucro]]</f>
        <v>9.08</v>
      </c>
      <c r="O7" s="31" t="s">
        <v>28</v>
      </c>
      <c r="P7" s="33" t="s">
        <v>77</v>
      </c>
      <c r="Q7" s="63"/>
      <c r="R7" s="135" t="s">
        <v>78</v>
      </c>
      <c r="T7" s="126" t="s">
        <v>44</v>
      </c>
      <c r="U7" s="127"/>
      <c r="V7" s="127"/>
    </row>
    <row r="8" spans="1:22" x14ac:dyDescent="0.25">
      <c r="A8" s="11" t="s">
        <v>13</v>
      </c>
      <c r="B8" s="12"/>
      <c r="C8" s="16" t="s">
        <v>75</v>
      </c>
      <c r="D8" s="39" t="e" vm="2">
        <v>#VALUE!</v>
      </c>
      <c r="E8" s="39">
        <v>1</v>
      </c>
      <c r="F8" s="27">
        <v>9.17</v>
      </c>
      <c r="G8" s="13" cm="1">
        <f t="array" aca="1" ref="G8" ca="1">_FV(Tabela27[[#This Row],[Nome do ativo]],"Preço")*Tabela27[[#This Row],[QTD]]</f>
        <v>9.08</v>
      </c>
      <c r="H8" s="15">
        <v>45677</v>
      </c>
      <c r="I8" s="41">
        <v>0.18</v>
      </c>
      <c r="J8" s="41">
        <f ca="1">(Tabela27[[#This Row],[Preço Atual/Venda]]-Tabela27[[#This Row],[Valor da compra]])</f>
        <v>-8.9999999999999858E-2</v>
      </c>
      <c r="K8" s="41">
        <f ca="1">Tabela27[[#This Row],[Lucro]]+Tabela27[[#This Row],[Dividendos pagos]]</f>
        <v>9.0000000000000135E-2</v>
      </c>
      <c r="L8" s="84">
        <f t="shared" ca="1" si="0"/>
        <v>-1.3432835820895502E-3</v>
      </c>
      <c r="M8" s="12" t="s">
        <v>72</v>
      </c>
      <c r="N8" s="37">
        <f ca="1">Tabela27[[#This Row],[Valor da compra]]+Tabela27[[#This Row],[Lucro]]</f>
        <v>9.08</v>
      </c>
      <c r="O8" s="31" t="s">
        <v>28</v>
      </c>
      <c r="P8" s="33" t="s">
        <v>73</v>
      </c>
      <c r="Q8" s="63"/>
      <c r="R8" s="136"/>
      <c r="T8" s="127"/>
      <c r="U8" s="127"/>
      <c r="V8" s="127"/>
    </row>
    <row r="9" spans="1:22" hidden="1" x14ac:dyDescent="0.25">
      <c r="A9" s="11" t="s">
        <v>74</v>
      </c>
      <c r="B9" s="12"/>
      <c r="C9" s="16" t="str">
        <f t="array" aca="1" ref="C9" ca="1">_FV(Tabela27[[#This Row],[Nome do ativo]],"Símbolo do ticker",TRUE)</f>
        <v>MXRF11</v>
      </c>
      <c r="D9" s="39" t="e" vm="2">
        <v>#VALUE!</v>
      </c>
      <c r="E9" s="39">
        <v>1</v>
      </c>
      <c r="F9" s="27">
        <v>9.18</v>
      </c>
      <c r="G9" s="13" cm="1">
        <f t="array" aca="1" ref="G9" ca="1">_FV(Tabela27[[#This Row],[Nome do ativo]],"Preço")*Tabela27[[#This Row],[QTD]]</f>
        <v>9.08</v>
      </c>
      <c r="H9" s="15">
        <v>45677</v>
      </c>
      <c r="I9" s="41"/>
      <c r="J9" s="41">
        <f ca="1">(Tabela27[[#This Row],[Preço Atual/Venda]]-Tabela27[[#This Row],[Valor da compra]])</f>
        <v>-9.9999999999999645E-2</v>
      </c>
      <c r="K9" s="41">
        <f ca="1">Tabela27[[#This Row],[Lucro]]+Tabela27[[#This Row],[Dividendos pagos]]</f>
        <v>-9.9999999999999645E-2</v>
      </c>
      <c r="L9" s="41">
        <f t="shared" ca="1" si="0"/>
        <v>-1.4925373134328304E-3</v>
      </c>
      <c r="M9" s="12" t="s">
        <v>76</v>
      </c>
      <c r="N9" s="37">
        <f ca="1">Tabela27[[#This Row],[Valor da compra]]+Tabela27[[#This Row],[Lucro]]</f>
        <v>9.08</v>
      </c>
      <c r="O9" s="31" t="s">
        <v>28</v>
      </c>
      <c r="P9" s="33" t="s">
        <v>77</v>
      </c>
      <c r="Q9" s="63"/>
      <c r="R9" s="69">
        <f ca="1">SUM(Tabela27[Lucro])</f>
        <v>6.5400000000000063</v>
      </c>
      <c r="T9" s="128" t="s">
        <v>46</v>
      </c>
      <c r="U9" s="127"/>
      <c r="V9" s="127"/>
    </row>
    <row r="10" spans="1:22" x14ac:dyDescent="0.25">
      <c r="A10" s="11" t="s">
        <v>13</v>
      </c>
      <c r="B10" s="12" t="s">
        <v>134</v>
      </c>
      <c r="C10" s="16" t="str">
        <f t="array" aca="1" ref="C10" ca="1">_FV(Tabela27[[#This Row],[Nome do ativo]],"Símbolo do ticker",TRUE)</f>
        <v>UCAS3</v>
      </c>
      <c r="D10" s="39" t="e" vm="3">
        <v>#VALUE!</v>
      </c>
      <c r="E10" s="39">
        <v>1</v>
      </c>
      <c r="F10" s="27">
        <v>1.81</v>
      </c>
      <c r="G10" s="13" cm="1">
        <f t="array" aca="1" ref="G10" ca="1">_FV(Tabela27[[#This Row],[Nome do ativo]],"Preço")*Tabela27[[#This Row],[QTD]]</f>
        <v>1.51</v>
      </c>
      <c r="H10" s="15">
        <v>45680</v>
      </c>
      <c r="I10" s="41"/>
      <c r="J10" s="41">
        <f ca="1">(Tabela27[[#This Row],[Preço Atual/Venda]]-Tabela27[[#This Row],[Valor da compra]])</f>
        <v>-0.30000000000000004</v>
      </c>
      <c r="K10" s="41">
        <f ca="1">Tabela27[[#This Row],[Lucro]]+Tabela27[[#This Row],[Dividendos pagos]]</f>
        <v>-0.30000000000000004</v>
      </c>
      <c r="L10" s="84">
        <f ca="1">J10/(IF(TODAY()-H10=0,1,TODAY()-H10))</f>
        <v>-4.6875000000000007E-3</v>
      </c>
      <c r="M10" s="12" t="s">
        <v>72</v>
      </c>
      <c r="N10" s="70">
        <f ca="1">Tabela27[[#This Row],[Valor da compra]]+Tabela27[[#This Row],[Lucro]]</f>
        <v>1.51</v>
      </c>
      <c r="O10" s="12" t="s">
        <v>79</v>
      </c>
      <c r="P10" s="12" t="s">
        <v>73</v>
      </c>
      <c r="T10" s="127"/>
      <c r="U10" s="127"/>
      <c r="V10" s="127"/>
    </row>
    <row r="11" spans="1:22" ht="15" hidden="1" customHeight="1" x14ac:dyDescent="0.25">
      <c r="A11" s="11" t="s">
        <v>74</v>
      </c>
      <c r="B11" s="12"/>
      <c r="C11" s="16" t="str" cm="1">
        <f t="array" aca="1" ref="C11" ca="1">_FV(Tabela27[[#This Row],[Nome do ativo]],"Símbolo do ticker",TRUE)</f>
        <v>B3SA3</v>
      </c>
      <c r="D11" s="39" t="e" vm="4">
        <v>#VALUE!</v>
      </c>
      <c r="E11" s="82">
        <v>1</v>
      </c>
      <c r="F11" s="78">
        <v>11.12</v>
      </c>
      <c r="G11" s="75" cm="1">
        <f t="array" aca="1" ref="G11" ca="1">_FV(Tabela27[[#This Row],[Nome do ativo]],"Preço")*Tabela27[[#This Row],[QTD]]</f>
        <v>12.39</v>
      </c>
      <c r="H11" s="15">
        <v>45688</v>
      </c>
      <c r="I11" s="41"/>
      <c r="J11" s="41">
        <f ca="1">(Tabela27[[#This Row],[Preço Atual/Venda]]-Tabela27[[#This Row],[Valor da compra]])</f>
        <v>1.2700000000000014</v>
      </c>
      <c r="K11" s="41">
        <f ca="1">Tabela27[[#This Row],[Lucro]]+Tabela27[[#This Row],[Dividendos pagos]]</f>
        <v>1.2700000000000014</v>
      </c>
      <c r="L11" s="41">
        <f t="shared" ca="1" si="0"/>
        <v>2.2678571428571454E-2</v>
      </c>
      <c r="M11" s="12" t="s">
        <v>76</v>
      </c>
      <c r="N11" s="26">
        <f ca="1">Tabela27[[#This Row],[Valor da compra]]+Tabela27[[#This Row],[Lucro]]</f>
        <v>12.39</v>
      </c>
      <c r="O11" s="12" t="s">
        <v>79</v>
      </c>
      <c r="P11" s="12" t="s">
        <v>77</v>
      </c>
      <c r="R11" s="133" t="s">
        <v>80</v>
      </c>
    </row>
    <row r="12" spans="1:22" hidden="1" x14ac:dyDescent="0.25">
      <c r="A12" s="11" t="s">
        <v>74</v>
      </c>
      <c r="B12" s="12"/>
      <c r="C12" s="16" t="str" cm="1">
        <f t="array" aca="1" ref="C12" ca="1">_FV(Tabela27[[#This Row],[Nome do ativo]],"Símbolo do ticker",TRUE)</f>
        <v>MXRF11</v>
      </c>
      <c r="D12" s="39" t="e" vm="2">
        <v>#VALUE!</v>
      </c>
      <c r="E12" s="82">
        <v>1</v>
      </c>
      <c r="F12" s="78">
        <v>8.98</v>
      </c>
      <c r="G12" s="75" cm="1">
        <f t="array" aca="1" ref="G12" ca="1">_FV(Tabela27[[#This Row],[Nome do ativo]],"Preço")*Tabela27[[#This Row],[QTD]]</f>
        <v>9.08</v>
      </c>
      <c r="H12" s="15">
        <v>45692</v>
      </c>
      <c r="I12" s="41"/>
      <c r="J12" s="41">
        <f ca="1">(Tabela27[[#This Row],[Preço Atual/Venda]]-Tabela27[[#This Row],[Valor da compra]])</f>
        <v>9.9999999999999645E-2</v>
      </c>
      <c r="K12" s="41">
        <f ca="1">Tabela27[[#This Row],[Lucro]]+Tabela27[[#This Row],[Dividendos pagos]]</f>
        <v>9.9999999999999645E-2</v>
      </c>
      <c r="L12" s="84">
        <f t="shared" ca="1" si="0"/>
        <v>1.9230769230769162E-3</v>
      </c>
      <c r="M12" s="12" t="s">
        <v>76</v>
      </c>
      <c r="N12" s="26">
        <f ca="1">Tabela27[[#This Row],[Valor da compra]]+Tabela27[[#This Row],[Lucro]]</f>
        <v>9.08</v>
      </c>
      <c r="O12" s="12" t="s">
        <v>97</v>
      </c>
      <c r="P12" s="12" t="s">
        <v>77</v>
      </c>
      <c r="R12" s="134"/>
      <c r="S12" s="20"/>
    </row>
    <row r="13" spans="1:22" x14ac:dyDescent="0.25">
      <c r="A13" s="11" t="s">
        <v>13</v>
      </c>
      <c r="B13" s="12"/>
      <c r="C13" s="16" t="str" cm="1">
        <f t="array" aca="1" ref="C13" ca="1">_FV(Tabela27[[#This Row],[Nome do ativo]],"Símbolo do ticker",TRUE)</f>
        <v>B3SA3</v>
      </c>
      <c r="D13" s="39" t="e" vm="4">
        <v>#VALUE!</v>
      </c>
      <c r="E13" s="82">
        <v>1</v>
      </c>
      <c r="F13" s="78">
        <v>11.25</v>
      </c>
      <c r="G13" s="75" cm="1">
        <f t="array" aca="1" ref="G13" ca="1">_FV(Tabela27[[#This Row],[Nome do ativo]],"Preço")*Tabela27[[#This Row],[QTD]]</f>
        <v>12.39</v>
      </c>
      <c r="H13" s="15">
        <v>45708</v>
      </c>
      <c r="I13" s="41"/>
      <c r="J13" s="41">
        <f ca="1">(Tabela27[[#This Row],[Preço Atual/Venda]]-Tabela27[[#This Row],[Valor da compra]])</f>
        <v>1.1400000000000006</v>
      </c>
      <c r="K13" s="41">
        <f ca="1">Tabela27[[#This Row],[Lucro]]+Tabela27[[#This Row],[Dividendos pagos]]</f>
        <v>1.1400000000000006</v>
      </c>
      <c r="L13" s="41">
        <f t="shared" ca="1" si="0"/>
        <v>3.1666666666666683E-2</v>
      </c>
      <c r="M13" s="12" t="s">
        <v>72</v>
      </c>
      <c r="N13" s="26">
        <f ca="1">Tabela27[[#This Row],[Valor da compra]]+Tabela27[[#This Row],[Lucro]]</f>
        <v>12.39</v>
      </c>
      <c r="O13" s="12" t="s">
        <v>79</v>
      </c>
      <c r="P13" s="12" t="s">
        <v>73</v>
      </c>
      <c r="R13" s="47">
        <f ca="1">SUMIFS(Tabela27[Total],Tabela27[Em posse],"Sim",Tabela27[Tipo],"FII",Tabela27[Operação],"Renda variável")</f>
        <v>81.72</v>
      </c>
    </row>
    <row r="14" spans="1:22" x14ac:dyDescent="0.25">
      <c r="A14" s="11" t="s">
        <v>13</v>
      </c>
      <c r="B14" s="12"/>
      <c r="C14" s="16" t="s">
        <v>120</v>
      </c>
      <c r="D14" s="39" t="e" vm="5">
        <v>#VALUE!</v>
      </c>
      <c r="E14" s="82">
        <v>1</v>
      </c>
      <c r="F14" s="78">
        <f>35.02-0.32</f>
        <v>34.700000000000003</v>
      </c>
      <c r="G14" s="75" cm="1">
        <f t="array" aca="1" ref="G14" ca="1">_FV(Tabela27[[#This Row],[Nome do ativo]],"Preço")*Tabela27[[#This Row],[QTD]]</f>
        <v>37.67</v>
      </c>
      <c r="H14" s="15">
        <v>45723</v>
      </c>
      <c r="I14" s="41"/>
      <c r="J14" s="41">
        <f ca="1">(Tabela27[[#This Row],[Preço Atual/Venda]]-Tabela27[[#This Row],[Valor da compra]])</f>
        <v>2.9699999999999989</v>
      </c>
      <c r="K14" s="41">
        <f ca="1">Tabela27[[#This Row],[Lucro]]+Tabela27[[#This Row],[Dividendos pagos]]</f>
        <v>2.9699999999999989</v>
      </c>
      <c r="L14" s="84">
        <f t="shared" ca="1" si="0"/>
        <v>0.14142857142857138</v>
      </c>
      <c r="M14" s="12" t="s">
        <v>72</v>
      </c>
      <c r="N14" s="26">
        <f ca="1">Tabela27[[#This Row],[Valor da compra]]+Tabela27[[#This Row],[Lucro]]</f>
        <v>37.67</v>
      </c>
      <c r="O14" s="12" t="s">
        <v>79</v>
      </c>
      <c r="P14" s="12" t="s">
        <v>73</v>
      </c>
      <c r="R14" s="47"/>
    </row>
    <row r="15" spans="1:22" x14ac:dyDescent="0.25">
      <c r="A15" s="11" t="s">
        <v>13</v>
      </c>
      <c r="B15" s="12"/>
      <c r="C15" s="16" t="s">
        <v>75</v>
      </c>
      <c r="D15" s="39" t="e" vm="2">
        <v>#VALUE!</v>
      </c>
      <c r="E15" s="82">
        <v>2</v>
      </c>
      <c r="F15" s="78">
        <f>9.07*2</f>
        <v>18.14</v>
      </c>
      <c r="G15" s="75" cm="1">
        <f t="array" aca="1" ref="G15" ca="1">_FV(Tabela27[[#This Row],[Nome do ativo]],"Preço")*Tabela27[[#This Row],[QTD]]</f>
        <v>18.16</v>
      </c>
      <c r="H15" s="15">
        <v>45723</v>
      </c>
      <c r="I15" s="41"/>
      <c r="J15" s="41">
        <f ca="1">(Tabela27[[#This Row],[Preço Atual/Venda]]-Tabela27[[#This Row],[Valor da compra]])</f>
        <v>1.9999999999999574E-2</v>
      </c>
      <c r="K15" s="41">
        <f ca="1">Tabela27[[#This Row],[Lucro]]+Tabela27[[#This Row],[Dividendos pagos]]</f>
        <v>1.9999999999999574E-2</v>
      </c>
      <c r="L15" s="84">
        <f t="shared" ca="1" si="0"/>
        <v>9.5238095238093211E-4</v>
      </c>
      <c r="M15" s="12" t="s">
        <v>72</v>
      </c>
      <c r="N15" s="26">
        <f ca="1">Tabela27[[#This Row],[Valor da compra]]+Tabela27[[#This Row],[Lucro]]</f>
        <v>18.16</v>
      </c>
      <c r="O15" s="12" t="s">
        <v>28</v>
      </c>
      <c r="P15" s="12" t="s">
        <v>73</v>
      </c>
      <c r="R15" s="47"/>
      <c r="S15" s="20"/>
    </row>
    <row r="16" spans="1:22" x14ac:dyDescent="0.25">
      <c r="A16" s="11" t="s">
        <v>13</v>
      </c>
      <c r="B16" s="12"/>
      <c r="C16" s="16" t="str" cm="1">
        <f t="array" aca="1" ref="C16" ca="1">_FV(Tabela27[[#This Row],[Nome do ativo]],"Símbolo do ticker",TRUE)</f>
        <v>ACWI11</v>
      </c>
      <c r="D16" s="39" t="e" vm="6">
        <v>#VALUE!</v>
      </c>
      <c r="E16" s="82">
        <v>1</v>
      </c>
      <c r="F16" s="78">
        <v>14.28</v>
      </c>
      <c r="G16" s="75" cm="1">
        <f t="array" aca="1" ref="G16" ca="1">_FV(Tabela27[[#This Row],[Nome do ativo]],"Preço")*Tabela27[[#This Row],[QTD]]</f>
        <v>14.16</v>
      </c>
      <c r="H16" s="15">
        <v>45723</v>
      </c>
      <c r="I16" s="41"/>
      <c r="J16" s="41">
        <f ca="1">(Tabela27[[#This Row],[Preço Atual/Venda]]-Tabela27[[#This Row],[Valor da compra]])</f>
        <v>-0.11999999999999922</v>
      </c>
      <c r="K16" s="41">
        <f ca="1">Tabela27[[#This Row],[Lucro]]+Tabela27[[#This Row],[Dividendos pagos]]</f>
        <v>-0.11999999999999922</v>
      </c>
      <c r="L16" s="84">
        <f t="shared" ca="1" si="0"/>
        <v>-5.714285714285677E-3</v>
      </c>
      <c r="M16" s="12" t="s">
        <v>72</v>
      </c>
      <c r="N16" s="26">
        <f ca="1">Tabela27[[#This Row],[Valor da compra]]+Tabela27[[#This Row],[Lucro]]</f>
        <v>14.16</v>
      </c>
      <c r="O16" s="12" t="s">
        <v>119</v>
      </c>
      <c r="P16" s="12" t="s">
        <v>73</v>
      </c>
      <c r="R16" s="133" t="s">
        <v>81</v>
      </c>
    </row>
    <row r="17" spans="1:18" x14ac:dyDescent="0.25">
      <c r="A17" s="11" t="s">
        <v>13</v>
      </c>
      <c r="B17" s="12"/>
      <c r="C17" s="16" t="str" cm="1">
        <f t="array" aca="1" ref="C17" ca="1">_FV(Tabela27[[#This Row],[Nome do ativo]],"Símbolo do ticker",TRUE)</f>
        <v>AAZQ11</v>
      </c>
      <c r="D17" s="39" t="e" vm="7">
        <v>#VALUE!</v>
      </c>
      <c r="E17" s="82">
        <v>1</v>
      </c>
      <c r="F17" s="78">
        <v>6.41</v>
      </c>
      <c r="G17" s="75" cm="1">
        <f t="array" aca="1" ref="G17" ca="1">_FV(Tabela27[[#This Row],[Nome do ativo]],"Preço")*Tabela27[[#This Row],[QTD]]</f>
        <v>7.14</v>
      </c>
      <c r="H17" s="15">
        <v>45723</v>
      </c>
      <c r="I17" s="41"/>
      <c r="J17" s="41">
        <f ca="1">(Tabela27[[#This Row],[Preço Atual/Venda]]-Tabela27[[#This Row],[Valor da compra]])</f>
        <v>0.72999999999999954</v>
      </c>
      <c r="K17" s="41">
        <f ca="1">Tabela27[[#This Row],[Lucro]]+Tabela27[[#This Row],[Dividendos pagos]]</f>
        <v>0.72999999999999954</v>
      </c>
      <c r="L17" s="84">
        <f t="shared" ca="1" si="0"/>
        <v>3.4761904761904737E-2</v>
      </c>
      <c r="M17" s="12" t="s">
        <v>72</v>
      </c>
      <c r="N17" s="26">
        <f ca="1">Tabela27[[#This Row],[Valor da compra]]+Tabela27[[#This Row],[Lucro]]</f>
        <v>7.14</v>
      </c>
      <c r="O17" s="12" t="s">
        <v>119</v>
      </c>
      <c r="P17" s="12" t="s">
        <v>73</v>
      </c>
      <c r="R17" s="134"/>
    </row>
    <row r="18" spans="1:18" x14ac:dyDescent="0.25">
      <c r="A18" s="11" t="s">
        <v>13</v>
      </c>
      <c r="B18" s="12"/>
      <c r="C18" s="16" t="s">
        <v>75</v>
      </c>
      <c r="D18" s="39" t="e" vm="2">
        <v>#VALUE!</v>
      </c>
      <c r="E18" s="82">
        <v>1</v>
      </c>
      <c r="F18" s="78">
        <v>9.06</v>
      </c>
      <c r="G18" s="75" cm="1">
        <f t="array" aca="1" ref="G18" ca="1">_FV(Tabela27[[#This Row],[Nome do ativo]],"Preço")*Tabela27[[#This Row],[QTD]]</f>
        <v>9.08</v>
      </c>
      <c r="H18" s="15">
        <v>45730</v>
      </c>
      <c r="I18" s="41"/>
      <c r="J18" s="41">
        <f ca="1">(Tabela27[[#This Row],[Preço Atual/Venda]]-Tabela27[[#This Row],[Valor da compra]])</f>
        <v>1.9999999999999574E-2</v>
      </c>
      <c r="K18" s="41">
        <f ca="1">Tabela27[[#This Row],[Lucro]]+Tabela27[[#This Row],[Dividendos pagos]]</f>
        <v>1.9999999999999574E-2</v>
      </c>
      <c r="L18" s="41">
        <f ca="1">J18/(IF(TODAY()-H18=0,1,TODAY()-H18))</f>
        <v>1.4285714285713982E-3</v>
      </c>
      <c r="M18" s="12" t="s">
        <v>72</v>
      </c>
      <c r="N18" s="26">
        <f ca="1">Tabela27[[#This Row],[Valor da compra]]+Tabela27[[#This Row],[Lucro]]</f>
        <v>9.08</v>
      </c>
      <c r="O18" s="12" t="s">
        <v>28</v>
      </c>
      <c r="P18" s="12" t="s">
        <v>73</v>
      </c>
      <c r="R18" s="47"/>
    </row>
    <row r="19" spans="1:18" x14ac:dyDescent="0.25">
      <c r="A19" s="11" t="s">
        <v>13</v>
      </c>
      <c r="B19" s="12"/>
      <c r="C19" s="16" t="str" cm="1">
        <f t="array" aca="1" ref="C19" ca="1">_FV(Tabela27[[#This Row],[Nome do ativo]],"Símbolo do ticker",TRUE)</f>
        <v>BBDC4</v>
      </c>
      <c r="D19" s="39" t="e" vm="8">
        <v>#VALUE!</v>
      </c>
      <c r="E19" s="82">
        <v>3</v>
      </c>
      <c r="F19" s="78">
        <v>37.549999999999997</v>
      </c>
      <c r="G19" s="75" cm="1">
        <f t="array" aca="1" ref="G19" ca="1">_FV(Tabela27[[#This Row],[Nome do ativo]],"Preço")*Tabela27[[#This Row],[QTD]]</f>
        <v>39.06</v>
      </c>
      <c r="H19" s="15">
        <v>45737</v>
      </c>
      <c r="I19" s="41"/>
      <c r="J19" s="41">
        <f ca="1">(Tabela27[[#This Row],[Preço Atual/Venda]]-Tabela27[[#This Row],[Valor da compra]])</f>
        <v>1.5100000000000051</v>
      </c>
      <c r="K19" s="41">
        <f ca="1">Tabela27[[#This Row],[Lucro]]+Tabela27[[#This Row],[Dividendos pagos]]</f>
        <v>1.5100000000000051</v>
      </c>
      <c r="L19" s="41">
        <f ca="1">J19/(IF(TODAY()-H19=0,1,TODAY()-H19))</f>
        <v>0.21571428571428644</v>
      </c>
      <c r="M19" s="12" t="s">
        <v>72</v>
      </c>
      <c r="N19" s="26">
        <f ca="1">Tabela27[[#This Row],[Valor da compra]]+Tabela27[[#This Row],[Lucro]]</f>
        <v>39.06</v>
      </c>
      <c r="O19" s="12" t="s">
        <v>79</v>
      </c>
      <c r="P19" s="12" t="s">
        <v>73</v>
      </c>
    </row>
    <row r="20" spans="1:18" x14ac:dyDescent="0.25">
      <c r="A20" s="11" t="s">
        <v>13</v>
      </c>
      <c r="B20" s="12"/>
      <c r="C20" s="16" t="s">
        <v>75</v>
      </c>
      <c r="D20" s="39" t="e" vm="2">
        <v>#VALUE!</v>
      </c>
      <c r="E20" s="82">
        <v>3</v>
      </c>
      <c r="F20" s="78">
        <v>27.1</v>
      </c>
      <c r="G20" s="75" cm="1">
        <f t="array" aca="1" ref="G20" ca="1">_FV(Tabela27[[#This Row],[Nome do ativo]],"Preço")*Tabela27[[#This Row],[QTD]]</f>
        <v>27.240000000000002</v>
      </c>
      <c r="H20" s="15">
        <v>45737</v>
      </c>
      <c r="I20" s="41"/>
      <c r="J20" s="41">
        <f ca="1">(Tabela27[[#This Row],[Preço Atual/Venda]]-Tabela27[[#This Row],[Valor da compra]])</f>
        <v>0.14000000000000057</v>
      </c>
      <c r="K20" s="41">
        <f ca="1">Tabela27[[#This Row],[Lucro]]+Tabela27[[#This Row],[Dividendos pagos]]</f>
        <v>0.14000000000000057</v>
      </c>
      <c r="L20" s="41">
        <f ca="1">J20/(IF(TODAY()-H20=0,1,TODAY()-H20))</f>
        <v>2.000000000000008E-2</v>
      </c>
      <c r="M20" s="12" t="s">
        <v>72</v>
      </c>
      <c r="N20" s="26">
        <f ca="1">Tabela27[[#This Row],[Valor da compra]]+Tabela27[[#This Row],[Lucro]]</f>
        <v>27.240000000000002</v>
      </c>
      <c r="O20" s="12" t="s">
        <v>28</v>
      </c>
      <c r="P20" s="12" t="s">
        <v>73</v>
      </c>
      <c r="R20" s="116" t="s">
        <v>82</v>
      </c>
    </row>
    <row r="21" spans="1:18" x14ac:dyDescent="0.25">
      <c r="R21" s="47">
        <f ca="1">SUMIFS(Tabela27[Total],Tabela27[Tipo],"BDR",Tabela27[Operação],"Renda variável",Tabela27[Em posse],"Sim")</f>
        <v>90.63</v>
      </c>
    </row>
    <row r="23" spans="1:18" x14ac:dyDescent="0.25">
      <c r="R23" s="131" t="s">
        <v>125</v>
      </c>
    </row>
    <row r="24" spans="1:18" x14ac:dyDescent="0.25">
      <c r="R24" s="132"/>
    </row>
    <row r="25" spans="1:18" x14ac:dyDescent="0.25">
      <c r="R25" s="47">
        <f ca="1">SUM(Tabela27[Lucro Real])</f>
        <v>7.1800000000000059</v>
      </c>
    </row>
    <row r="27" spans="1:18" x14ac:dyDescent="0.25">
      <c r="R27" s="131" t="s">
        <v>119</v>
      </c>
    </row>
    <row r="28" spans="1:18" x14ac:dyDescent="0.25">
      <c r="D28" s="44" t="s">
        <v>135</v>
      </c>
      <c r="R28" s="132"/>
    </row>
    <row r="29" spans="1:18" x14ac:dyDescent="0.25">
      <c r="R29" s="47">
        <f ca="1">SUMIFS(Tabela27[Total],Tabela27[Tipo],"ETF",Tabela27[Operação],"Renda variável",Tabela27[Em posse],"Sim")</f>
        <v>21.3</v>
      </c>
    </row>
  </sheetData>
  <mergeCells count="8">
    <mergeCell ref="R27:R28"/>
    <mergeCell ref="R23:R24"/>
    <mergeCell ref="R16:R17"/>
    <mergeCell ref="T6:V6"/>
    <mergeCell ref="T7:V8"/>
    <mergeCell ref="R11:R12"/>
    <mergeCell ref="T9:V10"/>
    <mergeCell ref="R7:R8"/>
  </mergeCells>
  <conditionalFormatting sqref="I5:K20">
    <cfRule type="cellIs" dxfId="3" priority="12" operator="lessThan">
      <formula>0</formula>
    </cfRule>
    <cfRule type="iconSet" priority="13">
      <iconSet iconSet="3Arrows">
        <cfvo type="percent" val="0"/>
        <cfvo type="percent" val="33"/>
        <cfvo type="percent" val="67"/>
      </iconSet>
    </cfRule>
    <cfRule type="cellIs" dxfId="2" priority="14" operator="greaterThan">
      <formula>0</formula>
    </cfRule>
  </conditionalFormatting>
  <conditionalFormatting sqref="M5:N20">
    <cfRule type="containsText" dxfId="1" priority="4" operator="containsText" text="Sim">
      <formula>NOT(ISERROR(SEARCH("Sim",M5)))</formula>
    </cfRule>
    <cfRule type="containsText" dxfId="0" priority="5" operator="containsText" text="Não">
      <formula>NOT(ISERROR(SEARCH("Não",M5)))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DDAF6-3DA8-4C2B-B9F0-B26419417CDD}">
  <dimension ref="A2:J7"/>
  <sheetViews>
    <sheetView workbookViewId="0">
      <selection activeCell="H8" sqref="H8"/>
    </sheetView>
  </sheetViews>
  <sheetFormatPr defaultRowHeight="15" x14ac:dyDescent="0.25"/>
  <cols>
    <col min="1" max="1" width="16.5703125" bestFit="1" customWidth="1"/>
    <col min="2" max="2" width="16.5703125" customWidth="1"/>
    <col min="3" max="3" width="12.5703125" customWidth="1"/>
    <col min="4" max="4" width="10.28515625" bestFit="1" customWidth="1"/>
    <col min="5" max="5" width="14" customWidth="1"/>
    <col min="6" max="6" width="11.85546875" customWidth="1"/>
  </cols>
  <sheetData>
    <row r="2" spans="1:10" x14ac:dyDescent="0.25">
      <c r="A2" t="s">
        <v>50</v>
      </c>
      <c r="B2" t="s">
        <v>126</v>
      </c>
      <c r="C2" t="s">
        <v>127</v>
      </c>
      <c r="D2" t="s">
        <v>4</v>
      </c>
      <c r="E2" t="s">
        <v>130</v>
      </c>
      <c r="F2" t="s">
        <v>69</v>
      </c>
      <c r="G2" t="s">
        <v>129</v>
      </c>
      <c r="H2" t="s">
        <v>21</v>
      </c>
    </row>
    <row r="3" spans="1:10" x14ac:dyDescent="0.25">
      <c r="A3" t="s">
        <v>128</v>
      </c>
      <c r="B3">
        <v>6.82</v>
      </c>
      <c r="C3">
        <f>Tabela9[[#This Row],[Valor investido]]+J7</f>
        <v>6.6400000000000006</v>
      </c>
      <c r="D3" s="104">
        <v>45726</v>
      </c>
      <c r="E3" s="104">
        <v>46753</v>
      </c>
      <c r="F3" t="s">
        <v>72</v>
      </c>
      <c r="G3" s="105">
        <v>0.14860000000000001</v>
      </c>
      <c r="H3">
        <v>0.01</v>
      </c>
      <c r="J3" s="108" t="s">
        <v>59</v>
      </c>
    </row>
    <row r="4" spans="1:10" x14ac:dyDescent="0.25">
      <c r="A4" t="s">
        <v>128</v>
      </c>
      <c r="B4">
        <v>31.48</v>
      </c>
      <c r="C4">
        <f>Tabela9[[#This Row],[Valor investido]]+J8</f>
        <v>31.48</v>
      </c>
      <c r="D4" s="104">
        <v>45737</v>
      </c>
      <c r="E4" s="104">
        <v>49310</v>
      </c>
      <c r="F4" t="s">
        <v>72</v>
      </c>
      <c r="G4" s="105">
        <v>0.1489</v>
      </c>
      <c r="H4">
        <v>-0.19</v>
      </c>
      <c r="J4" s="109">
        <f>SUM(Tabela9[Valor atual])</f>
        <v>38.120000000000005</v>
      </c>
    </row>
    <row r="6" spans="1:10" x14ac:dyDescent="0.25">
      <c r="J6" s="108" t="s">
        <v>21</v>
      </c>
    </row>
    <row r="7" spans="1:10" x14ac:dyDescent="0.25">
      <c r="J7" s="109">
        <f>SUM(Tabela9[Lucro])</f>
        <v>-0.18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Extrato</vt:lpstr>
      <vt:lpstr>Financeiro</vt:lpstr>
      <vt:lpstr>Investimento CDB</vt:lpstr>
      <vt:lpstr>Outros</vt:lpstr>
      <vt:lpstr>Dolar</vt:lpstr>
      <vt:lpstr>Investimento em renda variável</vt:lpstr>
      <vt:lpstr>Tesouro direto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rodrigues</dc:creator>
  <cp:lastModifiedBy>Armando rodrigues</cp:lastModifiedBy>
  <dcterms:created xsi:type="dcterms:W3CDTF">2025-01-16T23:18:32Z</dcterms:created>
  <dcterms:modified xsi:type="dcterms:W3CDTF">2025-03-28T21:10:58Z</dcterms:modified>
</cp:coreProperties>
</file>