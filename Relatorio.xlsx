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3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Visão geral" sheetId="2" state="visible" r:id="rId2"/>
    <sheet xmlns:r="http://schemas.openxmlformats.org/officeDocument/2006/relationships" name="Saúde financeira" sheetId="3" state="visible" r:id="rId3"/>
  </sheets>
  <definedNames/>
  <calcPr calcId="191029" fullCalcOnLoad="1"/>
  <pivotCaches>
    <pivotCache xmlns:r="http://schemas.openxmlformats.org/officeDocument/2006/relationships" cacheId="45" r:id="rId4"/>
    <pivotCache xmlns:r="http://schemas.openxmlformats.org/officeDocument/2006/relationships" cacheId="50" r:id="rId5"/>
  </pivotCaches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_-&quot;R$&quot;\ * #,##0.00000_-;\-&quot;R$&quot;\ * #,##0.00000_-;_-&quot;R$&quot;\ * &quot;-&quot;??_-;_-@_-"/>
    <numFmt numFmtId="166" formatCode="0.000%"/>
    <numFmt numFmtId="167" formatCode="0.0000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arrow"/>
      <family val="2"/>
      <b val="1"/>
      <color theme="1"/>
      <sz val="20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96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7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0" fillId="6" borderId="4" pivotButton="0" quotePrefix="0" xfId="0"/>
    <xf numFmtId="0" fontId="0" fillId="8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7" fontId="0" fillId="0" borderId="5" applyAlignment="1" pivotButton="0" quotePrefix="0" xfId="0">
      <alignment horizontal="center" vertical="center"/>
    </xf>
    <xf numFmtId="14" fontId="0" fillId="8" borderId="6" applyAlignment="1" pivotButton="0" quotePrefix="0" xfId="0">
      <alignment horizontal="center" vertical="center"/>
    </xf>
    <xf numFmtId="17" fontId="3" fillId="0" borderId="5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 wrapText="1"/>
    </xf>
    <xf numFmtId="14" fontId="1" fillId="0" borderId="4" applyAlignment="1" pivotButton="0" quotePrefix="0" xfId="1">
      <alignment horizontal="center" vertical="center"/>
    </xf>
    <xf numFmtId="14" fontId="1" fillId="5" borderId="6" applyAlignment="1" pivotButton="0" quotePrefix="0" xfId="1">
      <alignment horizontal="center" vertical="center"/>
    </xf>
    <xf numFmtId="14" fontId="1" fillId="5" borderId="4" applyAlignment="1" pivotButton="0" quotePrefix="0" xfId="1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1" fontId="1" fillId="0" borderId="4" applyAlignment="1" pivotButton="0" quotePrefix="0" xfId="1">
      <alignment horizontal="center" vertical="center"/>
    </xf>
    <xf numFmtId="0" fontId="0" fillId="0" borderId="0" pivotButton="1" quotePrefix="0" xfId="0"/>
    <xf numFmtId="1" fontId="0" fillId="0" borderId="4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4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1" fillId="0" borderId="6" applyAlignment="1" pivotButton="0" quotePrefix="0" xfId="1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164" fontId="1" fillId="0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0" fillId="0" borderId="2" applyAlignment="1" pivotButton="0" quotePrefix="0" xfId="1">
      <alignment horizontal="center" vertical="center" wrapText="1"/>
    </xf>
    <xf numFmtId="164" fontId="1" fillId="0" borderId="7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6" fontId="1" fillId="0" borderId="4" applyAlignment="1" pivotButton="0" quotePrefix="0" xfId="2">
      <alignment horizontal="center" vertical="center"/>
    </xf>
    <xf numFmtId="164" fontId="1" fillId="0" borderId="8" applyAlignment="1" pivotButton="0" quotePrefix="0" xfId="1">
      <alignment horizontal="center" vertical="center"/>
    </xf>
    <xf numFmtId="166" fontId="0" fillId="0" borderId="4" applyAlignment="1" pivotButton="0" quotePrefix="0" xfId="2">
      <alignment horizontal="center" vertical="center"/>
    </xf>
    <xf numFmtId="167" fontId="0" fillId="0" borderId="0" pivotButton="0" quotePrefix="0" xfId="0"/>
    <xf numFmtId="164" fontId="1" fillId="0" borderId="5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0" fillId="0" borderId="6" applyAlignment="1" pivotButton="0" quotePrefix="0" xfId="1">
      <alignment horizontal="center" vertical="center"/>
    </xf>
    <xf numFmtId="166" fontId="1" fillId="0" borderId="6" applyAlignment="1" pivotButton="0" quotePrefix="0" xfId="2">
      <alignment horizontal="center" vertical="center"/>
    </xf>
    <xf numFmtId="164" fontId="0" fillId="0" borderId="0" pivotButton="0" quotePrefix="0" xfId="0"/>
    <xf numFmtId="164" fontId="1" fillId="0" borderId="11" applyAlignment="1" pivotButton="0" quotePrefix="0" xfId="1">
      <alignment horizontal="center" vertical="center"/>
    </xf>
    <xf numFmtId="164" fontId="0" fillId="8" borderId="7" applyAlignment="1" pivotButton="0" quotePrefix="0" xfId="1">
      <alignment horizontal="center" vertical="center"/>
    </xf>
    <xf numFmtId="164" fontId="1" fillId="0" borderId="10" pivotButton="0" quotePrefix="0" xfId="1"/>
    <xf numFmtId="164" fontId="0" fillId="7" borderId="4" pivotButton="0" quotePrefix="0" xfId="0"/>
    <xf numFmtId="165" fontId="1" fillId="0" borderId="6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indent="2"/>
    </xf>
    <xf numFmtId="14" fontId="0" fillId="0" borderId="0" applyAlignment="1" pivotButton="0" quotePrefix="0" xfId="0">
      <alignment horizontal="left" indent="2"/>
    </xf>
    <xf numFmtId="164" fontId="2" fillId="2" borderId="9" applyAlignment="1" pivotButton="0" quotePrefix="0" xfId="1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164" fontId="1" fillId="0" borderId="7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1" fillId="0" borderId="11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6" fontId="1" fillId="0" borderId="4" applyAlignment="1" pivotButton="0" quotePrefix="0" xfId="2">
      <alignment horizontal="center" vertical="center"/>
    </xf>
    <xf numFmtId="1" fontId="1" fillId="0" borderId="4" applyAlignment="1" pivotButton="0" quotePrefix="0" xfId="1">
      <alignment horizontal="center" vertical="center"/>
    </xf>
    <xf numFmtId="164" fontId="1" fillId="0" borderId="5" applyAlignment="1" pivotButton="0" quotePrefix="0" xfId="1">
      <alignment horizontal="center" vertical="center"/>
    </xf>
    <xf numFmtId="165" fontId="1" fillId="0" borderId="6" applyAlignment="1" pivotButton="0" quotePrefix="0" xfId="1">
      <alignment horizontal="center" vertical="center"/>
    </xf>
    <xf numFmtId="166" fontId="1" fillId="0" borderId="6" applyAlignment="1" pivotButton="0" quotePrefix="0" xfId="2">
      <alignment horizontal="center" vertical="center"/>
    </xf>
    <xf numFmtId="1" fontId="1" fillId="0" borderId="6" applyAlignment="1" pivotButton="0" quotePrefix="0" xfId="1">
      <alignment horizontal="center" vertical="center"/>
    </xf>
    <xf numFmtId="164" fontId="0" fillId="5" borderId="0" pivotButton="0" quotePrefix="0" xfId="0"/>
    <xf numFmtId="164" fontId="1" fillId="0" borderId="0" pivotButton="0" quotePrefix="0" xfId="1"/>
    <xf numFmtId="164" fontId="1" fillId="0" borderId="0" applyAlignment="1" pivotButton="0" quotePrefix="0" xfId="1">
      <alignment horizontal="center" vertical="center"/>
    </xf>
    <xf numFmtId="164" fontId="2" fillId="2" borderId="9" applyAlignment="1" pivotButton="0" quotePrefix="0" xfId="1">
      <alignment horizontal="center" vertical="center"/>
    </xf>
    <xf numFmtId="164" fontId="1" fillId="0" borderId="1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164" fontId="0" fillId="0" borderId="2" applyAlignment="1" pivotButton="0" quotePrefix="0" xfId="1">
      <alignment horizontal="center" vertical="center" wrapText="1"/>
    </xf>
    <xf numFmtId="164" fontId="1" fillId="0" borderId="7" applyAlignment="1" pivotButton="0" quotePrefix="0" xfId="1">
      <alignment horizontal="center" vertical="center"/>
    </xf>
    <xf numFmtId="164" fontId="1" fillId="0" borderId="4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6" fontId="1" fillId="0" borderId="4" applyAlignment="1" pivotButton="0" quotePrefix="0" xfId="2">
      <alignment horizontal="center" vertical="center"/>
    </xf>
    <xf numFmtId="164" fontId="1" fillId="0" borderId="8" applyAlignment="1" pivotButton="0" quotePrefix="0" xfId="1">
      <alignment horizontal="center" vertical="center"/>
    </xf>
    <xf numFmtId="166" fontId="0" fillId="0" borderId="4" applyAlignment="1" pivotButton="0" quotePrefix="0" xfId="2">
      <alignment horizontal="center" vertical="center"/>
    </xf>
    <xf numFmtId="167" fontId="0" fillId="0" borderId="0" pivotButton="0" quotePrefix="0" xfId="0"/>
    <xf numFmtId="164" fontId="1" fillId="0" borderId="5" applyAlignment="1" pivotButton="0" quotePrefix="0" xfId="1">
      <alignment horizontal="center" vertical="center"/>
    </xf>
    <xf numFmtId="164" fontId="1" fillId="0" borderId="6" applyAlignment="1" pivotButton="0" quotePrefix="0" xfId="1">
      <alignment horizontal="center" vertical="center"/>
    </xf>
    <xf numFmtId="164" fontId="0" fillId="0" borderId="6" applyAlignment="1" pivotButton="0" quotePrefix="0" xfId="1">
      <alignment horizontal="center" vertical="center"/>
    </xf>
    <xf numFmtId="166" fontId="1" fillId="0" borderId="6" applyAlignment="1" pivotButton="0" quotePrefix="0" xfId="2">
      <alignment horizontal="center" vertical="center"/>
    </xf>
    <xf numFmtId="164" fontId="0" fillId="0" borderId="0" pivotButton="0" quotePrefix="0" xfId="0"/>
    <xf numFmtId="164" fontId="1" fillId="0" borderId="11" applyAlignment="1" pivotButton="0" quotePrefix="0" xfId="1">
      <alignment horizontal="center" vertical="center"/>
    </xf>
    <xf numFmtId="164" fontId="0" fillId="8" borderId="7" applyAlignment="1" pivotButton="0" quotePrefix="0" xfId="1">
      <alignment horizontal="center" vertical="center"/>
    </xf>
    <xf numFmtId="165" fontId="1" fillId="0" borderId="6" applyAlignment="1" pivotButton="0" quotePrefix="0" xfId="1">
      <alignment horizontal="center" vertical="center"/>
    </xf>
    <xf numFmtId="164" fontId="0" fillId="5" borderId="0" pivotButton="0" quotePrefix="0" xfId="0"/>
    <xf numFmtId="164" fontId="1" fillId="0" borderId="10" pivotButton="0" quotePrefix="0" xfId="1"/>
    <xf numFmtId="164" fontId="0" fillId="7" borderId="4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54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%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R$&quot;\ * #,##0.00000_-;\-&quot;R$&quot;\ * #,##0.000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2" defaultTableStyle="TableStyleMedium2" defaultPivotStyle="PivotStyleLight16">
    <tableStyle name="Estilo de Tabela Dinâmica 1" table="0" count="0"/>
    <tableStyle name="Estilo de Tabela Dinâmica 2" table="0" count="1">
      <tableStyleElement type="firstColumnStripe" size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pivotCacheDefinition" Target="/xl/pivotCache/pivotCacheDefinition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pivotSource>
    <name>[Relatorio.xlsx]Visão geral!Tabela dinâmica3</name>
    <fmtId val="5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INVESTIMENTO MENSAL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'Visão geral'!$B$19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olid"/>
              </a:ln>
            </spPr>
            <trendlineType val="movingAvg"/>
            <period val="2"/>
            <dispRSqr val="0"/>
            <dispEq val="0"/>
          </trendline>
          <cat>
            <multiLvlStrRef>
              <multiLvlStrCache>
                <lvl>
                  <pt idx="0">
                    <v>Janeiro</v>
                  </pt>
                  <pt idx="1">
                    <v>Fevereiro</v>
                  </pt>
                  <pt idx="2">
                    <v>Março</v>
                  </pt>
                  <pt idx="3">
                    <v>Abril</v>
                  </pt>
                  <pt idx="4">
                    <v>Maio</v>
                  </pt>
                  <pt idx="5">
                    <v>Junho</v>
                  </pt>
                  <pt idx="6">
                    <v>Julho</v>
                  </pt>
                  <pt idx="7">
                    <v>Outubro</v>
                  </pt>
                  <pt idx="8">
                    <v>Novembro</v>
                  </pt>
                  <pt idx="9">
                    <v>Dezembro</v>
                  </pt>
                  <pt idx="10">
                    <v>Janeiro</v>
                  </pt>
                  <pt idx="11">
                    <v>Fevereiro</v>
                  </pt>
                </lvl>
                <lvl>
                  <pt idx="0">
                    <v>2025</v>
                  </pt>
                  <pt idx="10">
                    <v>2026</v>
                  </pt>
                </lvl>
              </multiLvlStrCache>
              <f>'Visão geral'!$A$20:$A$34</f>
            </multiLvlStrRef>
          </cat>
          <val>
            <numRef>
              <f>'Visão geral'!$B$20:$B$34</f>
              <numCache>
                <formatCode>_("R$"* #,##0.00_);_("R$"* \(#,##0.00\);_("R$"* "-"??_);_(@_)</formatCode>
                <ptCount val="12"/>
                <pt idx="0">
                  <v>13.83153396837994</v>
                </pt>
                <pt idx="1">
                  <v>47.4267650802565</v>
                </pt>
                <pt idx="2">
                  <v>371.9772175526007</v>
                </pt>
                <pt idx="3">
                  <v>340.8513185297401</v>
                </pt>
                <pt idx="4">
                  <v>203.4397287869073</v>
                </pt>
                <pt idx="5">
                  <v>71.38999999999987</v>
                </pt>
                <pt idx="6">
                  <v>6.029999999999063</v>
                </pt>
                <pt idx="7">
                  <v>0</v>
                </pt>
                <pt idx="8">
                  <v>106.9560019097439</v>
                </pt>
                <pt idx="9">
                  <v>560.6780744745031</v>
                </pt>
                <pt idx="10">
                  <v>99.94574538733195</v>
                </pt>
                <pt idx="11">
                  <v>26.02863806440701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5216079"/>
        <axId val="1645229519"/>
      </barChart>
      <catAx>
        <axId val="1645216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645229519"/>
        <crosses val="autoZero"/>
        <auto val="1"/>
        <lblAlgn val="ctr"/>
        <lblOffset val="100"/>
        <noMultiLvlLbl val="0"/>
      </catAx>
      <valAx>
        <axId val="164522951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r>
                  <a:rPr lang="pt-BR"/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645216079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pivotSource>
    <name>[Relatorio.xlsx]Visão geral!Tabela dinâmica6</name>
    <fmtId val="1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SALDO EM CAIXA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2">
                  <a:tint val="94000"/>
                  <a:satMod val="103000"/>
                  <a:lumMod val="102000"/>
                </a:schemeClr>
              </a:gs>
              <a:gs pos="50000">
                <a:schemeClr val="accent2">
                  <a:shade val="100000"/>
                  <a:satMod val="110000"/>
                  <a:lumMod val="100000"/>
                </a:schemeClr>
              </a:gs>
              <a:gs pos="100000">
                <a:schemeClr val="accent2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'Visão geral'!$E$24:$E$25</f>
              <strCache>
                <ptCount val="1"/>
                <pt idx="0">
                  <v>Máx. de Saldo em caixa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Janeiro</v>
                  </pt>
                  <pt idx="1">
                    <v>Fevereiro</v>
                  </pt>
                  <pt idx="2">
                    <v>Março</v>
                  </pt>
                  <pt idx="3">
                    <v>Abril</v>
                  </pt>
                  <pt idx="4">
                    <v>Maio</v>
                  </pt>
                  <pt idx="5">
                    <v>Junho</v>
                  </pt>
                  <pt idx="6">
                    <v>Julho</v>
                  </pt>
                  <pt idx="7">
                    <v>Outubro</v>
                  </pt>
                  <pt idx="8">
                    <v>Novembro</v>
                  </pt>
                  <pt idx="9">
                    <v>Dezembro</v>
                  </pt>
                  <pt idx="10">
                    <v>Janeiro</v>
                  </pt>
                  <pt idx="11">
                    <v>Fevereiro</v>
                  </pt>
                </lvl>
                <lvl>
                  <pt idx="0">
                    <v>2025</v>
                  </pt>
                  <pt idx="10">
                    <v>2026</v>
                  </pt>
                </lvl>
              </multiLvlStrCache>
              <f>'Visão geral'!$D$26:$D$40</f>
            </multiLvlStrRef>
          </cat>
          <val>
            <numRef>
              <f>'Visão geral'!$E$26:$E$40</f>
              <numCache>
                <formatCode>_("R$"* #,##0.00_);_("R$"* \(#,##0.00\);_("R$"* "-"??_);_(@_)</formatCode>
                <ptCount val="12"/>
                <pt idx="0">
                  <v>99.46338398294519</v>
                </pt>
                <pt idx="1">
                  <v>142.4495407128984</v>
                </pt>
                <pt idx="2">
                  <v>512.3573107812632</v>
                </pt>
                <pt idx="3">
                  <v>816.9362960365066</v>
                </pt>
                <pt idx="4">
                  <v>916.6153066069295</v>
                </pt>
                <pt idx="5">
                  <v>1114.54850990035</v>
                </pt>
                <pt idx="6">
                  <v>854.7121401026291</v>
                </pt>
                <pt idx="7">
                  <v>183.2348702962931</v>
                </pt>
                <pt idx="8">
                  <v>393.8689423526151</v>
                </pt>
                <pt idx="9">
                  <v>407.699462175852</v>
                </pt>
                <pt idx="10">
                  <v>706.2929386912901</v>
                </pt>
                <pt idx="11">
                  <v>459.9456806405342</v>
                </pt>
              </numCache>
            </numRef>
          </val>
        </ser>
        <ser>
          <idx val="1"/>
          <order val="1"/>
          <tx>
            <strRef>
              <f>'Visão geral'!$F$24:$F$25</f>
              <strCache>
                <ptCount val="1"/>
                <pt idx="0">
                  <v>Mín. de Saldo em caixa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olid"/>
              </a:ln>
            </spPr>
            <trendlineType val="movingAvg"/>
            <period val="2"/>
            <dispRSqr val="0"/>
            <dispEq val="0"/>
          </trendline>
          <cat>
            <multiLvlStrRef>
              <multiLvlStrCache>
                <lvl>
                  <pt idx="0">
                    <v>Janeiro</v>
                  </pt>
                  <pt idx="1">
                    <v>Fevereiro</v>
                  </pt>
                  <pt idx="2">
                    <v>Março</v>
                  </pt>
                  <pt idx="3">
                    <v>Abril</v>
                  </pt>
                  <pt idx="4">
                    <v>Maio</v>
                  </pt>
                  <pt idx="5">
                    <v>Junho</v>
                  </pt>
                  <pt idx="6">
                    <v>Julho</v>
                  </pt>
                  <pt idx="7">
                    <v>Outubro</v>
                  </pt>
                  <pt idx="8">
                    <v>Novembro</v>
                  </pt>
                  <pt idx="9">
                    <v>Dezembro</v>
                  </pt>
                  <pt idx="10">
                    <v>Janeiro</v>
                  </pt>
                  <pt idx="11">
                    <v>Fevereiro</v>
                  </pt>
                </lvl>
                <lvl>
                  <pt idx="0">
                    <v>2025</v>
                  </pt>
                  <pt idx="10">
                    <v>2026</v>
                  </pt>
                </lvl>
              </multiLvlStrCache>
              <f>'Visão geral'!$D$26:$D$40</f>
            </multiLvlStrRef>
          </cat>
          <val>
            <numRef>
              <f>'Visão geral'!$F$26:$F$40</f>
              <numCache>
                <formatCode>_("R$"* #,##0.00_);_("R$"* \(#,##0.00\);_("R$"* "-"??_);_(@_)</formatCode>
                <ptCount val="12"/>
                <pt idx="0">
                  <v>69.06293212183465</v>
                </pt>
                <pt idx="1">
                  <v>34.62518620718537</v>
                </pt>
                <pt idx="2">
                  <v>49.95627668201853</v>
                </pt>
                <pt idx="3">
                  <v>311.6934251594657</v>
                </pt>
                <pt idx="4">
                  <v>79.53520082298203</v>
                </pt>
                <pt idx="5">
                  <v>508.6346813016298</v>
                </pt>
                <pt idx="6">
                  <v>550.7645297919796</v>
                </pt>
                <pt idx="7">
                  <v>183.2348702962931</v>
                </pt>
                <pt idx="8">
                  <v>196.8051776959969</v>
                </pt>
                <pt idx="9">
                  <v>296.74</v>
                </pt>
                <pt idx="10">
                  <v>247.4434015021534</v>
                </pt>
                <pt idx="11">
                  <v>139.24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662746671"/>
        <axId val="1662769231"/>
      </barChart>
      <catAx>
        <axId val="16627466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662769231"/>
        <crosses val="autoZero"/>
        <auto val="1"/>
        <lblAlgn val="ctr"/>
        <lblOffset val="100"/>
        <noMultiLvlLbl val="0"/>
      </catAx>
      <valAx>
        <axId val="166276923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r>
                  <a:rPr lang="pt-BR"/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662746671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pivotSource>
    <name>[Relatorio.xlsx]Visão geral!Tabela dinâmica1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pt-BR"/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ln xmlns:a="http://schemas.openxmlformats.org/drawingml/2006/main" w="349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 w="952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'Visão geral'!$B$37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25/01/2025</v>
                  </pt>
                  <pt idx="1">
                    <v>26/01/2025</v>
                  </pt>
                  <pt idx="2">
                    <v>27/01/2025</v>
                  </pt>
                  <pt idx="3">
                    <v>28/01/2025</v>
                  </pt>
                  <pt idx="4">
                    <v>29/01/2025</v>
                  </pt>
                  <pt idx="5">
                    <v>30/01/2025</v>
                  </pt>
                  <pt idx="6">
                    <v>31/01/2025</v>
                  </pt>
                  <pt idx="7">
                    <v>15/02/2025</v>
                  </pt>
                  <pt idx="8">
                    <v>16/02/2025</v>
                  </pt>
                  <pt idx="9">
                    <v>17/02/2025</v>
                  </pt>
                  <pt idx="10">
                    <v>18/02/2025</v>
                  </pt>
                  <pt idx="11">
                    <v>19/02/2025</v>
                  </pt>
                  <pt idx="12">
                    <v>20/02/2025</v>
                  </pt>
                  <pt idx="13">
                    <v>22/02/2025</v>
                  </pt>
                  <pt idx="14">
                    <v>23/02/2025</v>
                  </pt>
                  <pt idx="15">
                    <v>24/02/2025</v>
                  </pt>
                  <pt idx="16">
                    <v>25/02/2025</v>
                  </pt>
                  <pt idx="17">
                    <v>26/02/2025</v>
                  </pt>
                  <pt idx="18">
                    <v>28/02/2025</v>
                  </pt>
                  <pt idx="19">
                    <v>01/02/2025</v>
                  </pt>
                  <pt idx="20">
                    <v>02/02/2025</v>
                  </pt>
                  <pt idx="21">
                    <v>03/02/2025</v>
                  </pt>
                  <pt idx="22">
                    <v>04/02/2025</v>
                  </pt>
                  <pt idx="23">
                    <v>06/02/2025</v>
                  </pt>
                  <pt idx="24">
                    <v>07/02/2025</v>
                  </pt>
                  <pt idx="25">
                    <v>08/02/2025</v>
                  </pt>
                  <pt idx="26">
                    <v>09/02/2025</v>
                  </pt>
                  <pt idx="27">
                    <v>10/02/2025</v>
                  </pt>
                  <pt idx="28">
                    <v>11/02/2025</v>
                  </pt>
                  <pt idx="29">
                    <v>12/02/2025</v>
                  </pt>
                  <pt idx="30">
                    <v>13/02/2025</v>
                  </pt>
                  <pt idx="31">
                    <v>14/02/2025</v>
                  </pt>
                  <pt idx="34">
                    <v>07/05/2025</v>
                  </pt>
                  <pt idx="35">
                    <v>07/05/2025</v>
                  </pt>
                  <pt idx="36">
                    <v>08/05/2025</v>
                  </pt>
                  <pt idx="37">
                    <v>09/05/2025</v>
                  </pt>
                  <pt idx="38">
                    <v>10/05/2025</v>
                  </pt>
                  <pt idx="39">
                    <v>12/05/2025</v>
                  </pt>
                  <pt idx="40">
                    <v>13/05/2025</v>
                  </pt>
                  <pt idx="41">
                    <v>15/05/2025</v>
                  </pt>
                  <pt idx="42">
                    <v>17/05/2025</v>
                  </pt>
                  <pt idx="43">
                    <v>20/05/2025</v>
                  </pt>
                  <pt idx="44">
                    <v>22/05/2025</v>
                  </pt>
                  <pt idx="45">
                    <v>24/05/2025</v>
                  </pt>
                  <pt idx="46">
                    <v>25/05/2025</v>
                  </pt>
                  <pt idx="47">
                    <v>27/05/2025</v>
                  </pt>
                  <pt idx="48">
                    <v>28/05/2025</v>
                  </pt>
                  <pt idx="49">
                    <v>01/05/2025</v>
                  </pt>
                  <pt idx="50">
                    <v>08/06/2025</v>
                  </pt>
                  <pt idx="51">
                    <v>09/06/2025</v>
                  </pt>
                  <pt idx="52">
                    <v>10/06/2025</v>
                  </pt>
                  <pt idx="53">
                    <v>11/06/2025</v>
                  </pt>
                  <pt idx="54">
                    <v>12/06/2025</v>
                  </pt>
                  <pt idx="55">
                    <v>14/06/2025</v>
                  </pt>
                  <pt idx="56">
                    <v>15/06/2025</v>
                  </pt>
                  <pt idx="57">
                    <v>24/06/2025</v>
                  </pt>
                  <pt idx="58">
                    <v>03/06/2025</v>
                  </pt>
                  <pt idx="59">
                    <v>05/06/2025</v>
                  </pt>
                  <pt idx="60">
                    <v>06/06/2025</v>
                  </pt>
                  <pt idx="61">
                    <v>08/06/2025</v>
                  </pt>
                  <pt idx="62">
                    <v>14/07/2025</v>
                  </pt>
                  <pt idx="63">
                    <v>18/07/2025</v>
                  </pt>
                  <pt idx="64">
                    <v>09/11/2025</v>
                  </pt>
                  <pt idx="65">
                    <v>16/11/2025</v>
                  </pt>
                  <pt idx="66">
                    <v>07/12/2025</v>
                  </pt>
                  <pt idx="67">
                    <v>09/12/2025</v>
                  </pt>
                  <pt idx="68">
                    <v>11/12/2025</v>
                  </pt>
                  <pt idx="69">
                    <v>12/12/2025</v>
                  </pt>
                  <pt idx="70">
                    <v>14/12/2025</v>
                  </pt>
                  <pt idx="71">
                    <v>15/12/2025</v>
                  </pt>
                  <pt idx="72">
                    <v>16/12/2025</v>
                  </pt>
                  <pt idx="73">
                    <v>17/12/2025</v>
                  </pt>
                  <pt idx="74">
                    <v>31/12/2025</v>
                  </pt>
                  <pt idx="75">
                    <v>10/01/2026</v>
                  </pt>
                  <pt idx="76">
                    <v>11/01/2026</v>
                  </pt>
                  <pt idx="77">
                    <v>12/01/2026</v>
                  </pt>
                  <pt idx="78">
                    <v>14/01/2026</v>
                  </pt>
                  <pt idx="79">
                    <v>16/01/2026</v>
                  </pt>
                  <pt idx="80">
                    <v>17/01/2026</v>
                  </pt>
                  <pt idx="81">
                    <v>18/01/2026</v>
                  </pt>
                  <pt idx="82">
                    <v>19/01/2026</v>
                  </pt>
                  <pt idx="83">
                    <v>26/01/2026</v>
                  </pt>
                  <pt idx="84">
                    <v>29/01/2026</v>
                  </pt>
                  <pt idx="85">
                    <v>09/01/2026</v>
                  </pt>
                  <pt idx="86">
                    <v>18/01/2026</v>
                  </pt>
                  <pt idx="87">
                    <v>30/01/2026</v>
                  </pt>
                  <pt idx="88">
                    <v>02/01/2026</v>
                  </pt>
                  <pt idx="89">
                    <v>08/01/2026</v>
                  </pt>
                  <pt idx="90">
                    <v>04/02/2026</v>
                  </pt>
                  <pt idx="91">
                    <v>06/02/2026</v>
                  </pt>
                  <pt idx="92">
                    <v>08/02/2026</v>
                  </pt>
                  <pt idx="93">
                    <v>09/02/2026</v>
                  </pt>
                  <pt idx="94">
                    <v>10/02/2026</v>
                  </pt>
                </lvl>
                <lvl>
                  <pt idx="0">
                    <v>Janeiro</v>
                  </pt>
                  <pt idx="7">
                    <v>Fevereiro</v>
                  </pt>
                  <pt idx="32">
                    <v>Março</v>
                  </pt>
                  <pt idx="33">
                    <v>Abril</v>
                  </pt>
                  <pt idx="34">
                    <v>Maio</v>
                  </pt>
                  <pt idx="50">
                    <v>Junho</v>
                  </pt>
                  <pt idx="62">
                    <v>Julho</v>
                  </pt>
                  <pt idx="64">
                    <v>Novembro</v>
                  </pt>
                  <pt idx="66">
                    <v>Dezembro</v>
                  </pt>
                  <pt idx="75">
                    <v>Janeiro</v>
                  </pt>
                  <pt idx="90">
                    <v>Fevereiro</v>
                  </pt>
                </lvl>
                <lvl>
                  <pt idx="0">
                    <v>2025</v>
                  </pt>
                  <pt idx="75">
                    <v>2026</v>
                  </pt>
                </lvl>
              </multiLvlStrCache>
              <f>'Visão geral'!$A$38:$A$144</f>
            </multiLvlStrRef>
          </cat>
          <val>
            <numRef>
              <f>'Visão geral'!$B$38:$B$144</f>
              <numCache>
                <formatCode>_("R$"* #,##0.00_);_("R$"* \(#,##0.00\);_("R$"* "-"??_);_(@_)</formatCode>
                <ptCount val="95"/>
                <pt idx="0">
                  <v>0.01028106534363835</v>
                </pt>
                <pt idx="1">
                  <v>0.01096816643785759</v>
                </pt>
                <pt idx="2">
                  <v>0.01111082029398609</v>
                </pt>
                <pt idx="3">
                  <v>0.01243292299786815</v>
                </pt>
                <pt idx="4">
                  <v>0.0123869946041913</v>
                </pt>
                <pt idx="5">
                  <v>0.01023256218136821</v>
                </pt>
                <pt idx="6">
                  <v>0.008632866515229331</v>
                </pt>
                <pt idx="7">
                  <v>0.00690614632603377</v>
                </pt>
                <pt idx="8">
                  <v>4.769485707658973e-05</v>
                </pt>
                <pt idx="9">
                  <v>1.321162960787223e-11</v>
                </pt>
                <pt idx="10">
                  <v>1.472909671401129e-07</v>
                </pt>
                <pt idx="11">
                  <v>3.417034437145711e-05</v>
                </pt>
                <pt idx="12">
                  <v>0.007386750756855921</v>
                </pt>
                <pt idx="13">
                  <v>0.0178061925891123</v>
                </pt>
                <pt idx="14">
                  <v>0.01778477858380274</v>
                </pt>
                <pt idx="15">
                  <v>0.0003150090266839917</v>
                </pt>
                <pt idx="16">
                  <v>0.01771361259587144</v>
                </pt>
                <pt idx="17">
                  <v>0.01770561830260698</v>
                </pt>
                <pt idx="18">
                  <v>0.01770120893234554</v>
                </pt>
                <pt idx="19">
                  <v>0.008769386764887454</v>
                </pt>
                <pt idx="20">
                  <v>0.008945928106576722</v>
                </pt>
                <pt idx="21">
                  <v>0.008945928106576722</v>
                </pt>
                <pt idx="22">
                  <v>8.74601575072633e-05</v>
                </pt>
                <pt idx="23">
                  <v>0.009939013254218743</v>
                </pt>
                <pt idx="24">
                  <v>0.009939013254218743</v>
                </pt>
                <pt idx="25">
                  <v>0.01694268467390259</v>
                </pt>
                <pt idx="26">
                  <v>4.453487604525753e-05</v>
                </pt>
                <pt idx="27">
                  <v>0.006969262754977531</v>
                </pt>
                <pt idx="28">
                  <v>0.006953692177452553</v>
                </pt>
                <pt idx="29">
                  <v>0.006922628370587008</v>
                </pt>
                <pt idx="30">
                  <v>0.006922628370587008</v>
                </pt>
                <pt idx="31">
                  <v>0.006903553175600569</v>
                </pt>
                <pt idx="32">
                  <v>0</v>
                </pt>
                <pt idx="33">
                  <v>0</v>
                </pt>
                <pt idx="34">
                  <v>0.04958770159931412</v>
                </pt>
                <pt idx="35">
                  <v>0.08103932659931413</v>
                </pt>
                <pt idx="36">
                  <v>0.08180684054705245</v>
                </pt>
                <pt idx="37">
                  <v>0.008242668952617493</v>
                </pt>
                <pt idx="38">
                  <v>0.09355908004558543</v>
                </pt>
                <pt idx="39">
                  <v>0.09393557577724143</v>
                </pt>
                <pt idx="40">
                  <v>0.0938182112464474</v>
                </pt>
                <pt idx="41">
                  <v>0.09429857379430995</v>
                </pt>
                <pt idx="42">
                  <v>0.006205440300926274</v>
                </pt>
                <pt idx="43">
                  <v>0.06593570116374499</v>
                </pt>
                <pt idx="44">
                  <v>0.1009225886554447</v>
                </pt>
                <pt idx="45">
                  <v>0.1012133391259708</v>
                </pt>
                <pt idx="46">
                  <v>0.001235624865638248</v>
                </pt>
                <pt idx="47">
                  <v>0.1145769133258662</v>
                </pt>
                <pt idx="48">
                  <v>0.09976994757459069</v>
                </pt>
                <pt idx="49">
                  <v>0.009941900102872754</v>
                </pt>
                <pt idx="50">
                  <v>0.1317596963794684</v>
                </pt>
                <pt idx="51">
                  <v>0.0003683746438098683</v>
                </pt>
                <pt idx="52">
                  <v>0.07416124730268379</v>
                </pt>
                <pt idx="53">
                  <v>0.07416965708783135</v>
                </pt>
                <pt idx="54">
                  <v>0.005521411973789594</v>
                </pt>
                <pt idx="55">
                  <v>0.07481453512663677</v>
                </pt>
                <pt idx="56">
                  <v>0.07519438504913677</v>
                </pt>
                <pt idx="57">
                  <v>0.08769255434558244</v>
                </pt>
                <pt idx="58">
                  <v>0.06476654876797454</v>
                </pt>
                <pt idx="59">
                  <v>0.004153596081369173</v>
                </pt>
                <pt idx="60">
                  <v>0.06357933516270373</v>
                </pt>
                <pt idx="61">
                  <v>0.1317596963794684</v>
                </pt>
                <pt idx="62">
                  <v>0.07417290674455705</v>
                </pt>
                <pt idx="63">
                  <v>0.07399781739828498</v>
                </pt>
                <pt idx="64">
                  <v>0.0008739391169970679</v>
                </pt>
                <pt idx="65">
                  <v>0.04923361779407689</v>
                </pt>
                <pt idx="66">
                  <v>0.01551407944375242</v>
                </pt>
                <pt idx="67">
                  <v>0.00228048363607919</v>
                </pt>
                <pt idx="68">
                  <v>2.955700573502156e-07</v>
                </pt>
                <pt idx="69">
                  <v>0.05138475348896981</v>
                </pt>
                <pt idx="70">
                  <v>0.05284523887348491</v>
                </pt>
                <pt idx="71">
                  <v>0.0535647801743201</v>
                </pt>
                <pt idx="72">
                  <v>0.1103725374205267</v>
                </pt>
                <pt idx="73">
                  <v>0.1113749180247442</v>
                </pt>
                <pt idx="74">
                  <v>0.006186609165536159</v>
                </pt>
                <pt idx="75">
                  <v>0.4342849332428545</v>
                </pt>
                <pt idx="76">
                  <v>0.4348481665645364</v>
                </pt>
                <pt idx="77">
                  <v>0.4269069165645364</v>
                </pt>
                <pt idx="78">
                  <v>0.4274214630027224</v>
                </pt>
                <pt idx="79">
                  <v>0.4279385853890145</v>
                </pt>
                <pt idx="80">
                  <v>0.4282018665901324</v>
                </pt>
                <pt idx="81">
                  <v>0.5368922162111279</v>
                </pt>
                <pt idx="82">
                  <v>0.5368922162111279</v>
                </pt>
                <pt idx="83">
                  <v>0.5389972097547415</v>
                </pt>
                <pt idx="84">
                  <v>1.520870933684203</v>
                </pt>
                <pt idx="85">
                  <v>0.4312846693291045</v>
                </pt>
                <pt idx="86">
                  <v>0.5368922162111279</v>
                </pt>
                <pt idx="87">
                  <v>1.521139027337879</v>
                </pt>
                <pt idx="88">
                  <v>0.05319897375060009</v>
                </pt>
                <pt idx="89">
                  <v>0.1851308452910889</v>
                </pt>
                <pt idx="90">
                  <v>3.856085730826194</v>
                </pt>
                <pt idx="91">
                  <v>1.464768748416666</v>
                </pt>
                <pt idx="92">
                  <v>4.206322550419219</v>
                </pt>
                <pt idx="93">
                  <v>2.763478551827417</v>
                </pt>
                <pt idx="94">
                  <v>2.763754693030414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1121855"/>
        <axId val="1101126175"/>
      </lineChart>
      <catAx>
        <axId val="11011218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01126175"/>
        <crosses val="autoZero"/>
        <auto val="1"/>
        <lblAlgn val="ctr"/>
        <lblOffset val="100"/>
        <noMultiLvlLbl val="0"/>
      </catAx>
      <valAx>
        <axId val="110112617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r>
                  <a:rPr lang="pt-BR"/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01121855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pt-BR"/>
              <a:t>Evolução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'Saúde financeira'!$B$4</f>
              <strCache>
                <ptCount val="1"/>
                <pt idx="0">
                  <v>Valor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olid"/>
              </a:ln>
            </spPr>
            <trendlineType val="movingAvg"/>
            <period val="2"/>
            <dispRSqr val="0"/>
            <dispEq val="0"/>
          </trendline>
          <cat>
            <strRef>
              <f>'Saúde financeira'!$A$5:$A$16</f>
              <strCache>
                <ptCount val="12"/>
                <pt idx="0">
                  <v>jan/25</v>
                </pt>
                <pt idx="1">
                  <v>fev/25</v>
                </pt>
                <pt idx="2">
                  <v>mar/25</v>
                </pt>
                <pt idx="3">
                  <v>abr/25</v>
                </pt>
                <pt idx="4">
                  <v>mai/25</v>
                </pt>
                <pt idx="5">
                  <v>jun/25</v>
                </pt>
                <pt idx="6">
                  <v>jul/25</v>
                </pt>
                <pt idx="7">
                  <v>out/25</v>
                </pt>
                <pt idx="8">
                  <v>nov/25</v>
                </pt>
                <pt idx="9">
                  <v>dez/25</v>
                </pt>
                <pt idx="10">
                  <v>jan/26</v>
                </pt>
                <pt idx="11">
                  <v>fev/26</v>
                </pt>
              </strCache>
            </strRef>
          </cat>
          <val>
            <numRef>
              <f>'Saúde financeira'!$B$5:$B$16</f>
              <numCache>
                <formatCode>_("R$"* #,##0.00_);_("R$"* \(#,##0.00\);_("R$"* "-"??_);_(@_)</formatCode>
                <ptCount val="12"/>
                <pt idx="0">
                  <v>-27.01712459565215</v>
                </pt>
                <pt idx="1">
                  <v>25.05075802649896</v>
                </pt>
                <pt idx="2">
                  <v>-201.3886908212027</v>
                </pt>
                <pt idx="3">
                  <v>-262.2077358803492</v>
                </pt>
                <pt idx="4">
                  <v>203.9472872004399</v>
                </pt>
                <pt idx="5">
                  <v>-168.0091458320659</v>
                </pt>
                <pt idx="6">
                  <v>-115.5878955783796</v>
                </pt>
                <pt idx="7">
                  <v>-408.7476688899867</v>
                </pt>
                <pt idx="8">
                  <v>103.6780701465788</v>
                </pt>
                <pt idx="9">
                  <v>-536.8818755114183</v>
                </pt>
                <pt idx="10">
                  <v>10903.649332</v>
                </pt>
                <pt idx="11">
                  <v>410.0878080257698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92569071"/>
        <axId val="792509551"/>
      </lineChart>
      <catAx>
        <axId val="7925690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92509551"/>
        <crosses val="autoZero"/>
        <auto val="1"/>
        <lblAlgn val="ctr"/>
        <lblOffset val="100"/>
        <noMultiLvlLbl val="0"/>
      </catAx>
      <valAx>
        <axId val="7925095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r>
                  <a:rPr lang="pt-BR"/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_(&quot;R$&quot;* #,##0.00_);_(&quot;R$&quot;* \(#,##0.00\);_(&quot;R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92569071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>
    <from>
      <col>6</col>
      <colOff>415017</colOff>
      <row>0</row>
      <rowOff>2721</rowOff>
    </from>
    <to>
      <col>14</col>
      <colOff>244928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401411</colOff>
      <row>22</row>
      <rowOff>0</rowOff>
    </from>
    <to>
      <col>14</col>
      <colOff>244929</colOff>
      <row>44</row>
      <rowOff>163285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0</row>
      <rowOff>2</rowOff>
    </from>
    <to>
      <col>5</col>
      <colOff>1660071</colOff>
      <row>17</row>
      <rowOff>146959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57150</colOff>
      <row>0</row>
      <rowOff>0</rowOff>
    </from>
    <to>
      <col>18</col>
      <colOff>400050</colOff>
      <row>20</row>
      <rowOff>100013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Henrique_Gontijo" refreshedDate="46064.54274236111" createdVersion="8" refreshedVersion="8" minRefreshableVersion="3" recordCount="199" r:id="rId1">
  <cacheSource type="worksheet">
    <worksheetSource name="Tabela11"/>
  </cacheSource>
  <cacheFields count="27">
    <cacheField name="Capital investido" uniqueList="1" numFmtId="44" sqlType="0" hierarchy="0" level="0" databaseField="1">
      <sharedItems count="0" containsNumber="1" containsSemiMixedTypes="0" containsString="0" minValue="82.70250101356964" maxValue="1931.257524767439"/>
    </cacheField>
    <cacheField name="Capital total" uniqueList="1" numFmtId="44" sqlType="0" hierarchy="0" level="0" databaseField="1">
      <sharedItems count="0" containsNumber="1" containsSemiMixedTypes="0" containsString="0" minValue="34.62518620718537" maxValue="22112.25105212655"/>
    </cacheField>
    <cacheField name="Lucro" uniqueList="1" numFmtId="44" sqlType="0" hierarchy="0" level="0" databaseField="1">
      <sharedItems count="0" containsNumber="1" containsSemiMixedTypes="0" containsString="0" minValue="-1387.618" maxValue="9926.119140025776"/>
    </cacheField>
    <cacheField name="Pagamento De funcionários" uniqueList="1" numFmtId="44" sqlType="0" hierarchy="0" level="0" databaseField="1">
      <sharedItems count="0" containsBlank="1" containsMixedTypes="1" containsNumber="1" minValue="1.04" maxValue="361.173276786147"/>
    </cacheField>
    <cacheField name="Caixinha 2026" uniqueList="1" numFmtId="44" sqlType="0" hierarchy="0" level="0" databaseField="1">
      <sharedItems count="0" containsBlank="1" containsNumber="1" containsString="0" minValue="48.00859618192464" maxValue="191.3717288728939"/>
    </cacheField>
    <cacheField name="Saldo em caixa" uniqueList="1" numFmtId="44" sqlType="0" hierarchy="0" level="0" databaseField="1">
      <sharedItems count="0" containsBlank="1" containsNumber="1" containsString="0" minValue="34.62518620718537" maxValue="1114.54850990035"/>
    </cacheField>
    <cacheField name="Saldo projetado" uniqueList="1" numFmtId="44" sqlType="0" hierarchy="0" level="0" databaseField="1">
      <sharedItems count="0" containsBlank="1" containsMixedTypes="1" containsNumber="1" minValue="0" maxValue="1292.54216448"/>
    </cacheField>
    <cacheField name="CDB" uniqueList="1" numFmtId="44" sqlType="0" hierarchy="0" level="0" databaseField="1">
      <sharedItems count="0" containsNumber="1" containsSemiMixedTypes="0" containsString="0" minValue="20.41250101356965" maxValue="972.7323343999445"/>
    </cacheField>
    <cacheField name="CDB 2026" uniqueList="1" numFmtId="44" sqlType="0" hierarchy="0" level="0" databaseField="1">
      <sharedItems count="0" containsBlank="1" containsNumber="1" containsString="0" minValue="2.02" maxValue="78.07307905749502"/>
    </cacheField>
    <cacheField name="Ação/BDR" uniqueList="1" numFmtId="44" sqlType="0" hierarchy="0" level="0" databaseField="1">
      <sharedItems count="0" containsNumber="1" containsSemiMixedTypes="0" containsString="0" minValue="1.399999999999999" maxValue="246.38"/>
    </cacheField>
    <cacheField name="Dolar" uniqueList="1" numFmtId="44" sqlType="0" hierarchy="0" level="0" databaseField="1">
      <sharedItems count="0" containsNumber="1" containsSemiMixedTypes="0" containsString="0" minValue="19.2460217355372" maxValue="278.6826946700168"/>
    </cacheField>
    <cacheField name="FII" uniqueList="1" numFmtId="44" sqlType="0" hierarchy="0" level="0" databaseField="1">
      <sharedItems count="0" containsBlank="1" containsNumber="1" containsString="0" minValue="9.68509751" maxValue="219.26"/>
    </cacheField>
    <cacheField name="Caixa 2" uniqueList="1" numFmtId="44" sqlType="0" hierarchy="0" level="0" databaseField="1">
      <sharedItems count="0" containsBlank="1" containsMixedTypes="1" containsNumber="1" minValue="1.189999999999998" maxValue="40.33"/>
    </cacheField>
    <cacheField name="Empréstimo" uniqueList="1" numFmtId="44" sqlType="0" hierarchy="0" level="0" databaseField="1">
      <sharedItems count="0" containsBlank="1" containsNumber="1" containsString="0" minValue="2.159999999999997" maxValue="223.6899999999999"/>
    </cacheField>
    <cacheField name="Crypto" uniqueList="1" numFmtId="44" sqlType="0" hierarchy="0" level="0" databaseField="1">
      <sharedItems count="0" containsBlank="1" containsNumber="1" containsString="0" minValue="0" maxValue="106.27"/>
    </cacheField>
    <cacheField name="Day trade" uniqueList="1" numFmtId="44" sqlType="0" hierarchy="0" level="0" databaseField="1">
      <sharedItems count="0" containsBlank="1" containsMixedTypes="1" containsNumber="1" minValue="0" maxValue="106.27"/>
    </cacheField>
    <cacheField name="ETF" uniqueList="1" numFmtId="44" sqlType="0" hierarchy="0" level="0" databaseField="1">
      <sharedItems count="0" containsMixedTypes="1" containsNumber="1" minValue="20.54" maxValue="41.54"/>
    </cacheField>
    <cacheField name="Tesouro direto" uniqueList="1" numFmtId="44" sqlType="0" hierarchy="0" level="0" databaseField="1">
      <sharedItems count="0" containsMixedTypes="1" containsNumber="1" minValue="6.86" maxValue="43.67"/>
    </cacheField>
    <cacheField name="Fundos de investimento" uniqueList="1" numFmtId="44" sqlType="0" hierarchy="0" level="0" databaseField="1">
      <sharedItems count="0" containsBlank="1" containsMixedTypes="1" containsNumber="1" minValue="104.1" maxValue="114.6"/>
    </cacheField>
    <cacheField name="preço de mercado" uniqueList="1" numFmtId="164" sqlType="0" hierarchy="0" level="0" databaseField="1">
      <sharedItems count="0" containsNumber="1" containsSemiMixedTypes="0" containsString="0" minValue="0.004328148275898172" maxValue="2.764031381515819"/>
    </cacheField>
    <cacheField name="Data" uniqueList="1" numFmtId="14" sqlType="0" hierarchy="0" level="0" databaseField="1">
      <sharedItems count="192" containsDate="1" containsMixedTypes="1" minDate="2025-01-25T00:00:00" maxDate="2026-02-09T00:00:00"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5-01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s v="15/02/2025"/>
        <s v="16/02/2025"/>
        <s v="17/02/2025"/>
        <s v="18/02/2025"/>
        <s v="19/02/2025"/>
        <s v="20/02/2025"/>
        <s v="22/02/2025"/>
        <s v="23/02/2025"/>
        <s v="24/02/2025"/>
        <s v="25/02/2025"/>
        <s v="26/02/2025"/>
        <s v="28/02/2025"/>
        <s v="01/03/2025"/>
        <s v="05/03/2025"/>
        <s v="06/03/2025"/>
        <s v="07/03/2025"/>
        <s v="08/03/2025"/>
        <s v="09/03/2025"/>
        <s v="10/03/2025"/>
        <s v="11/03/2025"/>
        <s v="12/03/2025"/>
        <s v="13/03/2025"/>
        <s v="14/03/2025"/>
        <d v="2025-03-16T00:00:00"/>
        <s v="18/03/2025"/>
        <d v="2025-03-20T00:00:00"/>
        <s v="20/03/2025"/>
        <s v="21/03/2025"/>
        <s v="24/03/2025"/>
        <s v="25/03/2025"/>
        <s v="26/03/2025"/>
        <s v="27/03/2025"/>
        <s v="28/03/2025"/>
        <s v="31/03/2025"/>
        <s v="01/04/2025"/>
        <s v="02/04/2025"/>
        <s v="03/04/2025"/>
        <s v="04/04/2025"/>
        <s v="06/04/2025"/>
        <s v="07/04/2025"/>
        <s v="09/04/2025"/>
        <s v="10/04/2025"/>
        <s v="11/04/2025"/>
        <s v="12/04/2025"/>
        <s v="15/04/2025"/>
        <s v="16/04/2025"/>
        <s v="18/04/2025"/>
        <s v="20/04/2025"/>
        <s v="24/04/2025"/>
        <s v="27/04/2025"/>
        <s v="28/04/2025"/>
        <s v="29/04/2025"/>
        <s v="03/05/2025"/>
        <s v="07/05/2025"/>
        <d v="2025-05-07T00:00:00"/>
        <d v="2025-05-08T00:00:00"/>
        <d v="2025-05-09T00:00:00"/>
        <d v="2025-05-10T00:00:00"/>
        <d v="2025-05-12T00:00:00"/>
        <d v="2025-05-13T00:00:00"/>
        <d v="2025-05-15T00:00:00"/>
        <d v="2025-05-17T00:00:00"/>
        <d v="2025-05-20T00:00:00"/>
        <d v="2025-05-22T00:00:00"/>
        <d v="2025-05-24T00:00:00"/>
        <d v="2025-05-25T00:00:00"/>
        <d v="2025-05-27T00:00:00"/>
        <d v="2025-05-28T00:00:00"/>
        <d v="2025-06-03T00:00:00"/>
        <d v="2025-06-05T00:00:00"/>
        <d v="2025-06-06T00:00:00"/>
        <d v="2025-06-08T00:00:00"/>
        <s v="08/06/2025"/>
        <s v="09/06/2025"/>
        <s v="10/06/2025"/>
        <s v="11/06/2025"/>
        <s v="12/06/2025"/>
        <s v="14/06/2025"/>
        <s v="15/06/2025"/>
        <s v="24/06/2025"/>
        <s v="02/07/2025"/>
        <s v="04/07/2025"/>
        <s v="14/07/2025"/>
        <s v="18/07/2025"/>
        <s v="06/10/2025"/>
        <s v="09/11/2025"/>
        <s v="16/11/2025"/>
        <s v="06/12/2025"/>
        <s v="07/12/2025"/>
        <s v="09/12/2025"/>
        <s v="11/12/2025"/>
        <d v="2025-12-12T00:00:00"/>
        <d v="2025-12-14T00:00:00"/>
        <d v="2025-12-15T00:00:00"/>
        <d v="2025-12-16T00:00:00"/>
        <d v="2025-12-17T00:00:00"/>
        <d v="2025-12-31T00:00:00"/>
        <d v="2026-01-02T00:00:00"/>
        <d v="2026-01-08T00:00:00"/>
        <d v="2026-01-09T00:00:00"/>
        <s v="10/01/2026"/>
        <s v="11/01/2026"/>
        <s v="12/01/2026"/>
        <s v="14/01/2026"/>
        <s v="16/01/2026"/>
        <s v="17/01/2026"/>
        <d v="2026-01-18T00:00:00"/>
        <s v="18/01/2026"/>
        <s v="19/01/2026"/>
        <s v="26/01/2026"/>
        <s v="29/01/2026"/>
        <d v="2026-01-30T00:00:00"/>
        <s v="01/02/2026"/>
        <s v="02/02/2026"/>
        <s v="03/02/2026"/>
        <d v="2026-02-04T00:00:00"/>
        <d v="2026-02-06T00:00:00"/>
        <d v="2026-02-08T00:00:00"/>
        <s v="09/02/2026"/>
        <s v="10/02/2026"/>
        <s v="11/02/2026"/>
        <s v="09/02/2025" u="1"/>
        <s v="10/02/2025" u="1"/>
        <s v="11/02/2025" u="1"/>
        <s v="12/02/2025" u="1"/>
        <s v="13/02/2025" u="1"/>
        <s v="14/02/2025" u="1"/>
        <s v="25/01/2025" u="1"/>
        <s v="26/01/2025" u="1"/>
        <s v="27/01/2025" u="1"/>
        <s v="28/01/2025" u="1"/>
        <s v="29/01/2025" u="1"/>
        <s v="30/01/2025" u="1"/>
        <s v="31/01/2025" u="1"/>
        <s v="01/02/2025" u="1"/>
        <s v="02/02/2025" u="1"/>
        <s v="03/02/2025" u="1"/>
        <s v="04/02/2025" u="1"/>
        <s v="05/02/2025" u="1"/>
        <s v="06/02/2025" u="1"/>
        <s v="07/02/2025" u="1"/>
        <s v="08/02/2025" u="1"/>
        <s v="04/02/2026" u="1"/>
        <s v="06/02/2026" u="1"/>
        <s v="08/02/2026" u="1"/>
        <s v="08/01/2026" u="1"/>
        <s v="14/12/2025" u="1"/>
        <s v="15/12/2025" u="1"/>
        <s v="16/12/2025" u="1"/>
        <s v="17/12/2025" u="1"/>
        <s v="31/12/2025" u="1"/>
        <s v="02/01/2026" u="1"/>
        <s v="16/03/2025" u="1"/>
        <s v="08/05/2025" u="1"/>
        <s v="09/05/2025" u="1"/>
        <s v="10/05/2025" u="1"/>
        <s v="12/05/2025" u="1"/>
        <s v="13/05/2025" u="1"/>
        <s v="15/05/2025" u="1"/>
        <s v="17/05/2025" u="1"/>
        <s v="20/05/2025" u="1"/>
        <s v="22/05/2025" u="1"/>
        <s v="24/05/2025" u="1"/>
        <s v="25/05/2025" u="1"/>
        <s v="27/05/2025" u="1"/>
        <s v="28/05/2025" u="1"/>
        <s v="03/06/2025" u="1"/>
        <s v="05/06/2025" u="1"/>
        <s v="06/06/2025" u="1"/>
        <s v="12/12/2025" u="1"/>
        <s v="30/01/2026" u="1"/>
      </sharedItems>
    </cacheField>
    <cacheField name="Hora" uniqueList="1" numFmtId="0" sqlType="0" hierarchy="0" level="0" databaseField="1">
      <sharedItems count="0" containsBlank="1"/>
    </cacheField>
    <cacheField name="% lucro" uniqueList="1" numFmtId="165" sqlType="0" hierarchy="0" level="0" databaseField="1">
      <sharedItems count="0" containsNumber="1" containsSemiMixedTypes="0" containsString="0" minValue="-5.208693045662436" maxValue="0.8361231352460664"/>
    </cacheField>
    <cacheField name="Variação no Período" uniqueList="1" numFmtId="44" sqlType="0" hierarchy="0" level="0" databaseField="1">
      <sharedItems count="0" containsNumber="1" containsSemiMixedTypes="0" containsString="0" minValue="-852.1563193594629" maxValue="8548.587581440001"/>
    </cacheField>
    <cacheField name="Mês" uniqueList="1" numFmtId="1" sqlType="0" hierarchy="0" level="0" databaseField="1">
      <sharedItems count="10">
        <s v="Janeiro"/>
        <s v="Fevereiro"/>
        <s v="Maio"/>
        <s v="Março"/>
        <s v="Abril"/>
        <s v="Junho"/>
        <s v="Julho"/>
        <s v="Outubro"/>
        <s v="Novembro"/>
        <s v="Dezembro"/>
      </sharedItems>
    </cacheField>
    <cacheField name="Ano" uniqueList="1" numFmtId="1" sqlType="0" hierarchy="0" level="0" databaseField="1">
      <sharedItems count="2" containsInteger="1" containsNumber="1" containsSemiMixedTypes="0" containsString="0" minValue="2025" maxValue="2026">
        <n v="2025"/>
        <n v="2026"/>
      </sharedItems>
    </cacheField>
    <cacheField name="Investido Mês" uniqueList="1" numFmtId="44" sqlType="0" hierarchy="0" level="0" databaseField="1">
      <sharedItems count="0" containsNumber="1" containsSemiMixedTypes="0" containsString="0" minValue="-21.99179005504993" maxValue="454.4620579696532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Henrique_Gontijo" refreshedDate="46064.54274386574" createdVersion="8" refreshedVersion="8" minRefreshableVersion="3" recordCount="199" r:id="rId1">
  <cacheSource type="worksheet">
    <worksheetSource name="Tabela11[[Mês]:[Investido Mês]]"/>
  </cacheSource>
  <cacheFields count="3">
    <cacheField name="Mês" uniqueList="1" numFmtId="1" sqlType="0" hierarchy="0" level="0" databaseField="1">
      <sharedItems count="10">
        <s v="Janeiro"/>
        <s v="Fevereiro"/>
        <s v="Maio"/>
        <s v="Março"/>
        <s v="Abril"/>
        <s v="Junho"/>
        <s v="Julho"/>
        <s v="Outubro"/>
        <s v="Novembro"/>
        <s v="Dezembro"/>
      </sharedItems>
    </cacheField>
    <cacheField name="Ano" uniqueList="1" numFmtId="1" sqlType="0" hierarchy="0" level="0" databaseField="1">
      <sharedItems count="2" containsInteger="1" containsNumber="1" containsSemiMixedTypes="0" containsString="0" minValue="2025" maxValue="2026">
        <n v="2025"/>
        <n v="2026"/>
      </sharedItems>
    </cacheField>
    <cacheField name="Investido Mês" uniqueList="1" numFmtId="44" sqlType="0" hierarchy="0" level="0" databaseField="1">
      <sharedItems count="0" containsNumber="1" containsSemiMixedTypes="0" containsString="0" minValue="-21.99179005504993" maxValue="454.4620579696532"/>
    </cacheField>
  </cacheFields>
</pivotCacheDefinition>
</file>

<file path=xl/pivotCache/pivotCacheRecords1.xml><?xml version="1.0" encoding="utf-8"?>
<pivotCacheRecords xmlns="http://schemas.openxmlformats.org/spreadsheetml/2006/main" count="199">
  <r>
    <n v="82.70250101356964"/>
    <n v="82.24852274910684"/>
    <n v="-0.4539782644628048"/>
    <n v="1.04"/>
    <m/>
    <n v="82.24852274910684"/>
    <s v="-"/>
    <n v="20.41250101356965"/>
    <m/>
    <n v="1.769999999999996"/>
    <n v="19.2460217355372"/>
    <n v="27.58"/>
    <n v="1.189999999999998"/>
    <n v="2.159999999999997"/>
    <n v="0"/>
    <n v="9.159999999999997"/>
    <s v="-"/>
    <s v="-"/>
    <s v="-"/>
    <n v="0.01028106534363835"/>
    <x v="0"/>
    <s v="11:39:45"/>
    <n v="-0.005519591711666757"/>
    <n v="0"/>
    <x v="0"/>
    <x v="0"/>
    <n v="0"/>
  </r>
  <r>
    <n v="89.96930976732349"/>
    <n v="87.74533150286069"/>
    <n v="-2.223978264462804"/>
    <n v="1.04"/>
    <m/>
    <n v="87.74533150286069"/>
    <s v="-"/>
    <n v="22.67930976732349"/>
    <m/>
    <n v="1.769999999999996"/>
    <n v="19.2460217355372"/>
    <n v="27.68000000000001"/>
    <n v="1.189999999999998"/>
    <n v="2.159999999999997"/>
    <n v="5"/>
    <n v="9.159999999999997"/>
    <s v="-"/>
    <s v="-"/>
    <s v="-"/>
    <n v="0.01096816643785759"/>
    <x v="1"/>
    <s v="16:32:49"/>
    <n v="-0.02534583010140314"/>
    <n v="-1.769999999999999"/>
    <x v="0"/>
    <x v="0"/>
    <n v="7.26680875375385"/>
  </r>
  <r>
    <n v="91.11054061635153"/>
    <n v="88.88656235188873"/>
    <n v="-2.223978264462804"/>
    <n v="1.04"/>
    <m/>
    <n v="88.88656235188873"/>
    <s v="-"/>
    <n v="23.82054061635152"/>
    <m/>
    <n v="1.769999999999996"/>
    <n v="19.2460217355372"/>
    <n v="27.48"/>
    <n v="1.189999999999998"/>
    <n v="2.159999999999997"/>
    <n v="5"/>
    <n v="9.159999999999997"/>
    <s v="-"/>
    <s v="-"/>
    <s v="-"/>
    <n v="0.01111082029398609"/>
    <x v="2"/>
    <s v="18:02:53"/>
    <n v="-0.02502041034794892"/>
    <n v="0"/>
    <x v="0"/>
    <x v="0"/>
    <n v="1.141230849028034"/>
  </r>
  <r>
    <n v="102.2570211272851"/>
    <n v="99.46338398294519"/>
    <n v="-2.793637144339907"/>
    <n v="1.04"/>
    <m/>
    <n v="99.46338398294519"/>
    <s v="-"/>
    <n v="24.96702112728509"/>
    <m/>
    <n v="1.609999999999999"/>
    <n v="29.07636285566009"/>
    <n v="27.3"/>
    <n v="1.189999999999998"/>
    <n v="2.159999999999997"/>
    <n v="5"/>
    <n v="9.099999999999994"/>
    <s v="-"/>
    <s v="-"/>
    <s v="-"/>
    <n v="0.01243292299786815"/>
    <x v="3"/>
    <s v="18:03:11"/>
    <n v="-0.02808709127389962"/>
    <n v="-0.5696588798771032"/>
    <x v="0"/>
    <x v="0"/>
    <n v="11.14648051093357"/>
  </r>
  <r>
    <n v="102.2570211272851"/>
    <n v="99.09595683353041"/>
    <n v="-3.161064293754688"/>
    <n v="1.04"/>
    <m/>
    <n v="99.09595683353041"/>
    <s v="-"/>
    <n v="24.96702112728509"/>
    <m/>
    <n v="1.549999999999997"/>
    <n v="28.88893570624531"/>
    <n v="27.20999999999999"/>
    <n v="1.189999999999998"/>
    <n v="2.159999999999997"/>
    <n v="5"/>
    <n v="9.069999999999993"/>
    <s v="-"/>
    <s v="-"/>
    <s v="-"/>
    <n v="0.0123869946041913"/>
    <x v="4"/>
    <s v="18:00:40"/>
    <n v="-0.03189902388313284"/>
    <n v="-0.3674271494147807"/>
    <x v="0"/>
    <x v="0"/>
    <n v="0"/>
  </r>
  <r>
    <n v="104.5537669220797"/>
    <n v="81.86049745094564"/>
    <n v="-22.69326947113408"/>
    <n v="1.04"/>
    <m/>
    <n v="81.86049745094564"/>
    <s v="-"/>
    <n v="27.26376692207972"/>
    <m/>
    <n v="1.530000000000001"/>
    <n v="28.97673052886591"/>
    <n v="27.50999999999999"/>
    <n v="1.189999999999998"/>
    <n v="2.159999999999997"/>
    <n v="5"/>
    <n v="9.170000000000002"/>
    <s v="-"/>
    <s v="-"/>
    <s v="-"/>
    <n v="0.01023256218136821"/>
    <x v="5"/>
    <s v="18:02:42"/>
    <n v="-0.277218807334183"/>
    <n v="-19.53220517737939"/>
    <x v="0"/>
    <x v="0"/>
    <n v="2.296745794794603"/>
  </r>
  <r>
    <n v="96.53403498194959"/>
    <n v="69.06293212183465"/>
    <n v="-27.47110286011495"/>
    <n v="1.04"/>
    <m/>
    <n v="69.06293212183465"/>
    <s v="-"/>
    <n v="28.41403498194958"/>
    <m/>
    <n v="1.579999999999998"/>
    <n v="28.81889713988505"/>
    <n v="27.66"/>
    <n v="1.189999999999998"/>
    <n v="2.159999999999997"/>
    <n v="5.010000000000005"/>
    <n v="0"/>
    <s v="-"/>
    <s v="-"/>
    <s v="-"/>
    <n v="0.008632866515229331"/>
    <x v="6"/>
    <s v="18:00:47"/>
    <n v="-0.397769136295182"/>
    <n v="-4.77783338898087"/>
    <x v="0"/>
    <x v="0"/>
    <n v="-8.019731940130114"/>
  </r>
  <r>
    <n v="97.68556833668532"/>
    <n v="70.15509411909963"/>
    <n v="-27.53047421758568"/>
    <n v="1.04"/>
    <m/>
    <n v="70.15509411909963"/>
    <s v="-"/>
    <n v="29.56556833668532"/>
    <m/>
    <n v="1.560000000000002"/>
    <n v="28.80952578241431"/>
    <n v="27.63"/>
    <n v="1.189999999999998"/>
    <n v="2.159999999999997"/>
    <n v="5.010000000000005"/>
    <n v="0"/>
    <s v="-"/>
    <s v="-"/>
    <s v="-"/>
    <n v="0.008769386764887454"/>
    <x v="7"/>
    <s v="11:33:35"/>
    <n v="-0.3924230244898289"/>
    <n v="-0.05937135747073086"/>
    <x v="1"/>
    <x v="0"/>
    <n v="1.151533354735733"/>
  </r>
  <r>
    <n v="99.08556833668533"/>
    <n v="71.56742485261377"/>
    <n v="-27.51814348407156"/>
    <n v="1.04"/>
    <m/>
    <n v="71.56742485261377"/>
    <n v="39.47218916666667"/>
    <n v="29.56556833668532"/>
    <m/>
    <n v="1.560000000000002"/>
    <n v="28.82185651592845"/>
    <n v="27.63000000000001"/>
    <n v="1.189999999999998"/>
    <n v="2.159999999999997"/>
    <n v="6.409999999999997"/>
    <n v="0"/>
    <s v="-"/>
    <s v="-"/>
    <s v="-"/>
    <n v="0.008945928106576722"/>
    <x v="8"/>
    <s v="23:40:46"/>
    <n v="-0.384506548066282"/>
    <n v="0.01233073351411917"/>
    <x v="1"/>
    <x v="0"/>
    <n v="1.400000000000006"/>
  </r>
  <r>
    <n v="99.08556833668533"/>
    <n v="71.56742485261377"/>
    <n v="-27.51814348407156"/>
    <n v="1.04"/>
    <m/>
    <n v="71.56742485261377"/>
    <s v="-"/>
    <n v="29.56556833668532"/>
    <m/>
    <n v="1.560000000000002"/>
    <n v="28.82185651592845"/>
    <n v="27.63000000000001"/>
    <n v="1.189999999999998"/>
    <n v="2.159999999999997"/>
    <n v="6.409999999999997"/>
    <n v="0"/>
    <s v="-"/>
    <s v="-"/>
    <s v="-"/>
    <n v="0.008945928106576722"/>
    <x v="9"/>
    <s v="18:04:05"/>
    <n v="-0.384506548066282"/>
    <n v="0"/>
    <x v="1"/>
    <x v="0"/>
    <n v="0"/>
  </r>
  <r>
    <n v="99.08556833668533"/>
    <n v="70.43831532632203"/>
    <n v="-28.64725301036329"/>
    <n v="1.04"/>
    <m/>
    <n v="70.43831532632203"/>
    <s v="-"/>
    <n v="29.56556833668532"/>
    <m/>
    <n v="1.519999999999996"/>
    <n v="28.39274698963671"/>
    <n v="26.97"/>
    <n v="1.189999999999998"/>
    <n v="2.159999999999997"/>
    <n v="6.409999999999997"/>
    <n v="0"/>
    <s v="-"/>
    <s v="-"/>
    <s v="-"/>
    <n v="0.008804789415790253"/>
    <x v="10"/>
    <s v="18:49:41"/>
    <n v="-0.4066998604047835"/>
    <n v="-1.129109526291728"/>
    <x v="1"/>
    <x v="0"/>
    <n v="0"/>
  </r>
  <r>
    <n v="108.0655683366853"/>
    <n v="79.4659845928079"/>
    <n v="-28.59958374387743"/>
    <n v="1.04"/>
    <m/>
    <n v="79.4659845928079"/>
    <n v="54.85096416666666"/>
    <n v="29.56556833668532"/>
    <m/>
    <n v="1.530000000000001"/>
    <n v="28.38041625612257"/>
    <n v="27"/>
    <n v="1.189999999999998"/>
    <n v="2.159999999999997"/>
    <n v="6.409999999999997"/>
    <n v="9"/>
    <s v="-"/>
    <s v="-"/>
    <s v="-"/>
    <n v="0.009933248074100988"/>
    <x v="10"/>
    <s v="18:54:49"/>
    <n v="-0.3598971797861025"/>
    <n v="0.04766926648585823"/>
    <x v="1"/>
    <x v="0"/>
    <n v="8.979999999999976"/>
  </r>
  <r>
    <n v="108.0655683366853"/>
    <n v="79.53520082298203"/>
    <n v="-28.53036751370329"/>
    <n v="1.04"/>
    <m/>
    <n v="79.53520082298203"/>
    <s v="-"/>
    <n v="29.56556833668532"/>
    <m/>
    <n v="1.480000000000004"/>
    <n v="28.61963248629671"/>
    <n v="26.91000000000001"/>
    <n v="1.189999999999998"/>
    <n v="2.159999999999997"/>
    <n v="6.409999999999997"/>
    <n v="8.969999999999999"/>
    <s v="-"/>
    <s v="-"/>
    <s v="-"/>
    <n v="0.009941900102872754"/>
    <x v="11"/>
    <s v="20:32:20"/>
    <n v="-0.358713716926447"/>
    <n v="0.06921623017414191"/>
    <x v="2"/>
    <x v="0"/>
    <n v="0"/>
  </r>
  <r>
    <n v="108.0655683366853"/>
    <n v="79.51210603374994"/>
    <n v="-28.55346230293538"/>
    <n v="1.04"/>
    <m/>
    <n v="79.51210603374994"/>
    <n v="54.85096416666666"/>
    <n v="29.56556833668532"/>
    <m/>
    <n v="1.450000000000003"/>
    <n v="28.62653769706461"/>
    <n v="26.91"/>
    <n v="1.189999999999998"/>
    <n v="2.159999999999997"/>
    <n v="6.409999999999997"/>
    <n v="8.969999999999999"/>
    <s v="-"/>
    <s v="-"/>
    <s v="-"/>
    <n v="0.009939013254218743"/>
    <x v="12"/>
    <s v="18:04:04"/>
    <n v="-0.3591083638360112"/>
    <n v="-0.02309478923208985"/>
    <x v="1"/>
    <x v="0"/>
    <n v="0"/>
  </r>
  <r>
    <n v="108.0655683366853"/>
    <n v="79.51210603374994"/>
    <n v="-28.55346230293538"/>
    <n v="1.04"/>
    <m/>
    <n v="79.51210603374994"/>
    <n v="54.85096416666666"/>
    <n v="29.56556833668532"/>
    <m/>
    <n v="1.450000000000003"/>
    <n v="28.62653769706461"/>
    <n v="26.91"/>
    <n v="1.189999999999998"/>
    <n v="2.159999999999997"/>
    <n v="6.409999999999997"/>
    <n v="8.969999999999999"/>
    <s v="-"/>
    <s v="-"/>
    <s v="-"/>
    <n v="0.009939013254218743"/>
    <x v="13"/>
    <s v="18:01:22"/>
    <n v="-0.3591083638360112"/>
    <n v="0"/>
    <x v="1"/>
    <x v="0"/>
    <n v="0"/>
  </r>
  <r>
    <n v="108.0655683366853"/>
    <n v="135.5414773912207"/>
    <n v="27.47590905453536"/>
    <n v="1.04"/>
    <m/>
    <n v="135.5414773912207"/>
    <n v="0"/>
    <n v="29.56556833668532"/>
    <m/>
    <n v="1.469999999999999"/>
    <n v="28.63590905453535"/>
    <n v="26.97"/>
    <n v="1.189999999999998"/>
    <n v="2.159999999999997"/>
    <n v="6.409999999999997"/>
    <n v="8.990000000000009"/>
    <s v="-"/>
    <s v="-"/>
    <s v="-"/>
    <n v="0.01694268467390259"/>
    <x v="14"/>
    <s v="20:05:54"/>
    <n v="0.2027121851064834"/>
    <n v="56.02937135747074"/>
    <x v="1"/>
    <x v="0"/>
    <n v="0"/>
  </r>
  <r>
    <n v="108.0655683366853"/>
    <n v="51.12147739122069"/>
    <n v="-56.94409094546464"/>
    <n v="2.18"/>
    <m/>
    <n v="51.12147739122069"/>
    <n v="56.19473002"/>
    <n v="29.56556833668532"/>
    <m/>
    <n v="1.469999999999999"/>
    <n v="28.63590905453535"/>
    <n v="26.97"/>
    <n v="1.189999999999998"/>
    <n v="2.159999999999997"/>
    <n v="6.409999999999997"/>
    <n v="8.990000000000002"/>
    <s v="-"/>
    <s v="-"/>
    <s v="-"/>
    <n v="0.006390184673902586"/>
    <x v="15"/>
    <s v="13:07:22"/>
    <n v="-1.113897599431348"/>
    <n v="-84.42"/>
    <x v="1"/>
    <x v="0"/>
    <n v="0"/>
  </r>
  <r>
    <n v="112.6843825637491"/>
    <n v="55.75410203982025"/>
    <n v="-56.93028052392881"/>
    <n v="2.18"/>
    <m/>
    <n v="55.75410203982025"/>
    <s v="-"/>
    <n v="34.18438256374905"/>
    <m/>
    <n v="1.469999999999999"/>
    <n v="28.64971947607118"/>
    <n v="26.97000000000001"/>
    <n v="1.189999999999998"/>
    <n v="2.160000000000004"/>
    <n v="6.410000000000004"/>
    <n v="8.990000000000002"/>
    <s v="-"/>
    <s v="-"/>
    <s v="-"/>
    <n v="0.006969262754977531"/>
    <x v="15"/>
    <s v="20:14:40"/>
    <n v="-1.021095819698944"/>
    <n v="0.01381042153582968"/>
    <x v="1"/>
    <x v="0"/>
    <n v="4.618814227063794"/>
  </r>
  <r>
    <n v="112.6843825637491"/>
    <n v="55.75410203982025"/>
    <n v="-56.93028052392881"/>
    <n v="2.18"/>
    <m/>
    <n v="55.75410203982025"/>
    <s v="-"/>
    <n v="34.18438256374905"/>
    <m/>
    <n v="1.469999999999999"/>
    <n v="28.64971947607118"/>
    <n v="26.97000000000001"/>
    <n v="1.189999999999998"/>
    <n v="2.160000000000004"/>
    <n v="6.410000000000004"/>
    <n v="8.990000000000002"/>
    <s v="-"/>
    <s v="-"/>
    <s v="-"/>
    <n v="0.006969262754977531"/>
    <x v="16"/>
    <s v="18:01:43"/>
    <n v="-1.021095819698944"/>
    <n v="0"/>
    <x v="1"/>
    <x v="0"/>
    <n v="0"/>
  </r>
  <r>
    <n v="112.6843825637491"/>
    <n v="55.62953741962042"/>
    <n v="-57.05484514412863"/>
    <n v="2.18"/>
    <m/>
    <n v="55.62953741962042"/>
    <s v="-"/>
    <n v="34.18438256374904"/>
    <m/>
    <n v="1.450000000000003"/>
    <n v="28.54515485587135"/>
    <n v="26.97"/>
    <n v="1.189999999999998"/>
    <n v="2.159999999999997"/>
    <n v="6.409999999999997"/>
    <n v="8.989999999999995"/>
    <s v="-"/>
    <s v="-"/>
    <s v="-"/>
    <n v="0.006953692177452553"/>
    <x v="17"/>
    <s v="18:00:01"/>
    <n v="-1.025621419674173"/>
    <n v="-0.1245646201998198"/>
    <x v="1"/>
    <x v="0"/>
    <n v="0"/>
  </r>
  <r>
    <n v="112.6843825637491"/>
    <n v="55.38102696469607"/>
    <n v="-57.30335559905298"/>
    <n v="2.18"/>
    <m/>
    <n v="55.38102696469607"/>
    <n v="56.19473002"/>
    <n v="34.18438256374905"/>
    <m/>
    <n v="1.43"/>
    <n v="28.436644400947"/>
    <n v="26.88"/>
    <n v="1.189999999999998"/>
    <n v="2.160000000000004"/>
    <n v="6.410000000000004"/>
    <n v="8.960000000000001"/>
    <s v="-"/>
    <s v="-"/>
    <s v="-"/>
    <n v="0.006922628370587008"/>
    <x v="18"/>
    <s v="18:03:50"/>
    <n v="-1.034710960408559"/>
    <n v="-0.2485104549243502"/>
    <x v="1"/>
    <x v="0"/>
    <n v="0"/>
  </r>
  <r>
    <n v="112.6843825637491"/>
    <n v="55.38102696469607"/>
    <n v="-57.30335559905298"/>
    <n v="2.18"/>
    <m/>
    <n v="55.38102696469607"/>
    <s v="-"/>
    <n v="34.18438256374905"/>
    <m/>
    <n v="1.43"/>
    <n v="28.436644400947"/>
    <n v="26.88"/>
    <n v="1.189999999999998"/>
    <n v="2.160000000000004"/>
    <n v="6.410000000000004"/>
    <n v="8.960000000000001"/>
    <s v="-"/>
    <s v="-"/>
    <s v="-"/>
    <n v="0.006922628370587008"/>
    <x v="19"/>
    <s v="18:01:30"/>
    <n v="-1.034710960408559"/>
    <n v="0"/>
    <x v="1"/>
    <x v="0"/>
    <n v="0"/>
  </r>
  <r>
    <n v="112.6843825637491"/>
    <n v="55.22842540480455"/>
    <n v="-57.45595715894451"/>
    <n v="2.18"/>
    <m/>
    <n v="55.22842540480455"/>
    <s v="-"/>
    <n v="34.18438256374903"/>
    <m/>
    <n v="1.43"/>
    <n v="28.44404284105548"/>
    <n v="26.76"/>
    <n v="1.189999999999998"/>
    <n v="2.160000000000004"/>
    <n v="6.410000000000004"/>
    <n v="8.919999999999995"/>
    <s v="-"/>
    <s v="-"/>
    <s v="-"/>
    <n v="0.006903553175600569"/>
    <x v="20"/>
    <s v="18:01:35"/>
    <n v="-1.040333066492716"/>
    <n v="-0.1526015598915293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1"/>
    <s v="22:28:00"/>
    <n v="-1.039566953189366"/>
    <n v="0.0207452034656086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2"/>
    <s v="18:16:40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2"/>
    <s v="18:18:11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18:01:56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20:00:43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20:22:19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20:24:40"/>
    <n v="-1.039566953189366"/>
    <n v="0"/>
    <x v="1"/>
    <x v="0"/>
    <n v="0"/>
  </r>
  <r>
    <n v="103.704382563749"/>
    <n v="46.46257479023989"/>
    <n v="-57.24180777350916"/>
    <n v="2.18"/>
    <m/>
    <n v="46.46257479023989"/>
    <s v="-"/>
    <n v="34.18438256374905"/>
    <m/>
    <n v="1.439999999999998"/>
    <n v="28.17819222649083"/>
    <n v="27.09"/>
    <n v="1.189999999999998"/>
    <n v="2.160000000000004"/>
    <n v="6.410000000000004"/>
    <n v="0"/>
    <s v="-"/>
    <s v="-"/>
    <s v="-"/>
    <n v="0.005807821848779987"/>
    <x v="23"/>
    <s v="20:25:30"/>
    <n v="-1.231998184171524"/>
    <n v="0.1934041819697399"/>
    <x v="1"/>
    <x v="0"/>
    <n v="-8.980000000000103"/>
  </r>
  <r>
    <n v="103.704382563749"/>
    <n v="46.73257479023989"/>
    <n v="-56.97180777350916"/>
    <n v="2.18"/>
    <m/>
    <n v="46.73257479023989"/>
    <s v="-"/>
    <n v="34.18438256374904"/>
    <m/>
    <n v="1.439999999999998"/>
    <n v="28.17819222649084"/>
    <n v="27.08999999999999"/>
    <n v="1.189999999999998"/>
    <n v="2.159999999999997"/>
    <n v="6.409999999999997"/>
    <n v="0"/>
    <s v="-"/>
    <s v="-"/>
    <s v="-"/>
    <n v="0.005841571848779986"/>
    <x v="24"/>
    <s v="18:44:39"/>
    <n v="-1.219102692912348"/>
    <n v="0.269999999999996"/>
    <x v="1"/>
    <x v="0"/>
    <n v="0"/>
  </r>
  <r>
    <n v="103.704382563749"/>
    <n v="34.62518620718537"/>
    <n v="-69.07919635656368"/>
    <n v="2.18"/>
    <m/>
    <n v="34.62518620718537"/>
    <s v="-"/>
    <n v="34.18438256374905"/>
    <m/>
    <n v="1.420000000000002"/>
    <n v="28.06080364343631"/>
    <n v="27.12"/>
    <n v="1.189999999999998"/>
    <n v="2.159999999999997"/>
    <n v="6.409999999999997"/>
    <n v="0"/>
    <s v="-"/>
    <s v="-"/>
    <s v="-"/>
    <n v="0.004328148275898172"/>
    <x v="24"/>
    <s v="20:18:59"/>
    <n v="-1.995056313725425"/>
    <n v="-12.10738858305452"/>
    <x v="1"/>
    <x v="0"/>
    <n v="0"/>
  </r>
  <r>
    <n v="103.704382563749"/>
    <n v="46.60518620718537"/>
    <n v="-57.09919635656368"/>
    <n v="2.18"/>
    <m/>
    <n v="46.60518620718537"/>
    <s v="-"/>
    <n v="34.18438256374904"/>
    <m/>
    <n v="1.420000000000002"/>
    <n v="28.06080364343632"/>
    <n v="27.12"/>
    <n v="1.189999999999998"/>
    <n v="2.160000000000004"/>
    <n v="6.409999999999997"/>
    <n v="0"/>
    <s v="-"/>
    <s v="-"/>
    <s v="-"/>
    <n v="0.005825648275898171"/>
    <x v="24"/>
    <s v="20:29:58"/>
    <n v="-1.225168291415611"/>
    <n v="11.98"/>
    <x v="1"/>
    <x v="0"/>
    <n v="0"/>
  </r>
  <r>
    <n v="103.704382563749"/>
    <n v="46.60518620718537"/>
    <n v="-57.09919635656368"/>
    <n v="2.18"/>
    <m/>
    <n v="46.60518620718537"/>
    <s v="-"/>
    <n v="34.18438256374904"/>
    <m/>
    <n v="1.420000000000002"/>
    <n v="28.06080364343632"/>
    <n v="27.12"/>
    <n v="1.189999999999998"/>
    <n v="2.160000000000004"/>
    <n v="6.409999999999997"/>
    <n v="0"/>
    <s v="-"/>
    <s v="-"/>
    <s v="-"/>
    <n v="0.005825648275898171"/>
    <x v="25"/>
    <s v="19:29:29"/>
    <n v="-1.225168291415611"/>
    <n v="0"/>
    <x v="1"/>
    <x v="0"/>
    <n v="0"/>
  </r>
  <r>
    <n v="103.704382563749"/>
    <n v="46.92400605484737"/>
    <n v="-56.78037650890168"/>
    <n v="2.18"/>
    <m/>
    <n v="46.92400605484737"/>
    <s v="-"/>
    <n v="34.18438256374904"/>
    <m/>
    <n v="1.399999999999999"/>
    <n v="28.21962349109832"/>
    <n v="27.3"/>
    <n v="1.189999999999998"/>
    <n v="2.159999999999997"/>
    <n v="6.409999999999997"/>
    <n v="0"/>
    <s v="-"/>
    <s v="-"/>
    <s v="-"/>
    <n v="0.005865500756855921"/>
    <x v="25"/>
    <s v="19:35:30"/>
    <n v="-1.210049637333471"/>
    <n v="0.3188198476619988"/>
    <x v="1"/>
    <x v="0"/>
    <n v="0"/>
  </r>
  <r>
    <n v="115.724382563749"/>
    <n v="59.09400605484737"/>
    <n v="-56.63037650890168"/>
    <n v="2.18"/>
    <m/>
    <n v="59.09400605484737"/>
    <s v="-"/>
    <n v="34.18438256374904"/>
    <m/>
    <n v="12.77"/>
    <n v="28.2196234910983"/>
    <n v="27.3"/>
    <n v="1.960000000000001"/>
    <n v="2.159999999999997"/>
    <n v="6.409999999999997"/>
    <n v="0"/>
    <s v="-"/>
    <s v="-"/>
    <s v="-"/>
    <n v="0.007386750756855921"/>
    <x v="26"/>
    <s v="18:00:35"/>
    <n v="-0.9583099926639074"/>
    <n v="0.1499999999999986"/>
    <x v="1"/>
    <x v="0"/>
    <n v="12.02000000000001"/>
  </r>
  <r>
    <n v="143.9208000622061"/>
    <n v="142.4495407128984"/>
    <n v="-1.471259349307762"/>
    <n v="2.18"/>
    <m/>
    <n v="142.4495407128984"/>
    <s v="-"/>
    <n v="41.15080006220612"/>
    <m/>
    <n v="12.72"/>
    <n v="38.01874065069225"/>
    <n v="27.56999999999999"/>
    <n v="1.960000000000008"/>
    <n v="2.159999999999997"/>
    <n v="6.409999999999997"/>
    <n v="11.28999999999999"/>
    <s v="-"/>
    <s v="-"/>
    <s v="-"/>
    <n v="0.0178061925891123"/>
    <x v="27"/>
    <s v="10:16:39"/>
    <n v="-0.0103282842608319"/>
    <n v="55.15911715959392"/>
    <x v="1"/>
    <x v="0"/>
    <n v="28.19641749845709"/>
  </r>
  <r>
    <n v="143.9208000622061"/>
    <n v="142.2782286704219"/>
    <n v="-1.642571391784242"/>
    <n v="2.18"/>
    <m/>
    <n v="142.2782286704219"/>
    <s v="-"/>
    <n v="41.15080006220612"/>
    <m/>
    <n v="12.63"/>
    <n v="38.21742860821578"/>
    <n v="27.35999999999999"/>
    <n v="1.960000000000008"/>
    <n v="2.159999999999997"/>
    <n v="6.409999999999997"/>
    <n v="11.22"/>
    <s v="-"/>
    <s v="-"/>
    <s v="-"/>
    <n v="0.01778477858380274"/>
    <x v="28"/>
    <s v="10:40:37"/>
    <n v="-0.01154478381642739"/>
    <n v="-0.17131204247648"/>
    <x v="1"/>
    <x v="0"/>
    <n v="0"/>
  </r>
  <r>
    <n v="143.9208000622061"/>
    <n v="142.2782286704219"/>
    <n v="-1.642571391784242"/>
    <n v="2.18"/>
    <m/>
    <n v="142.2782286704219"/>
    <s v="-"/>
    <n v="41.15080006220612"/>
    <m/>
    <n v="12.63"/>
    <n v="38.21742860821578"/>
    <n v="27.35999999999999"/>
    <n v="1.960000000000008"/>
    <n v="2.159999999999997"/>
    <n v="6.409999999999997"/>
    <n v="11.22"/>
    <s v="-"/>
    <s v="-"/>
    <s v="-"/>
    <n v="0.01778477858380274"/>
    <x v="29"/>
    <s v="19:24:15"/>
    <n v="-0.01154478381642739"/>
    <n v="0"/>
    <x v="1"/>
    <x v="0"/>
    <n v="0"/>
  </r>
  <r>
    <n v="143.9208000622061"/>
    <n v="141.6982618927321"/>
    <n v="-2.222538169474046"/>
    <n v="2.18"/>
    <m/>
    <n v="141.6982618927321"/>
    <s v="-"/>
    <n v="41.15080006220609"/>
    <m/>
    <n v="12.24000000000001"/>
    <n v="38.52746183052597"/>
    <n v="27.24000000000001"/>
    <n v="1.960000000000008"/>
    <n v="2.159999999999997"/>
    <n v="6.409999999999997"/>
    <n v="10.84"/>
    <s v="-"/>
    <s v="-"/>
    <s v="-"/>
    <n v="0.01771228273659151"/>
    <x v="29"/>
    <s v="20:25:35"/>
    <n v="-0.01568500657514447"/>
    <n v="-0.5799667776898041"/>
    <x v="1"/>
    <x v="0"/>
    <n v="0"/>
  </r>
  <r>
    <n v="143.9608000622061"/>
    <n v="141.7089007669715"/>
    <n v="-2.251899295234615"/>
    <n v="2.18"/>
    <m/>
    <n v="141.7089007669715"/>
    <s v="-"/>
    <n v="41.15080006220612"/>
    <m/>
    <n v="12.21000000000001"/>
    <n v="38.2681007047654"/>
    <n v="27.53999999999999"/>
    <n v="1.969999999999999"/>
    <n v="2.180000000000007"/>
    <n v="6.419999999999987"/>
    <n v="10.80000000000001"/>
    <s v="-"/>
    <s v="-"/>
    <s v="-"/>
    <n v="0.01771361259587144"/>
    <x v="30"/>
    <s v="18:58:59"/>
    <n v="-0.01589102225087241"/>
    <n v="-0.02936112576056882"/>
    <x v="1"/>
    <x v="0"/>
    <n v="0.03999999999999204"/>
  </r>
  <r>
    <n v="143.9608000622061"/>
    <n v="141.6449464208558"/>
    <n v="-2.315853641350282"/>
    <n v="2.18"/>
    <m/>
    <n v="141.6449464208558"/>
    <s v="-"/>
    <n v="41.15080006220612"/>
    <m/>
    <n v="12.03"/>
    <n v="38.69414635864973"/>
    <n v="27.38999999999999"/>
    <n v="1.969999999999999"/>
    <n v="2.180000000000007"/>
    <n v="6.419999999999987"/>
    <n v="10.63999999999999"/>
    <s v="-"/>
    <s v="-"/>
    <s v="-"/>
    <n v="0.01770561830260698"/>
    <x v="31"/>
    <s v="20:08:28"/>
    <n v="-0.01634970890150512"/>
    <n v="-0.06395434611566708"/>
    <x v="1"/>
    <x v="0"/>
    <n v="0"/>
  </r>
  <r>
    <n v="143.9608000622061"/>
    <n v="141.6096714587643"/>
    <n v="-2.351128603441835"/>
    <n v="2.18"/>
    <m/>
    <n v="141.6096714587643"/>
    <s v="-"/>
    <n v="41.15080006220612"/>
    <m/>
    <n v="11.84"/>
    <n v="39.23887139655818"/>
    <n v="27.24000000000001"/>
    <n v="1.969999999999999"/>
    <n v="2.180000000000007"/>
    <n v="6.419999999999987"/>
    <n v="10.40000000000001"/>
    <s v="-"/>
    <s v="-"/>
    <s v="-"/>
    <n v="0.01770120893234554"/>
    <x v="32"/>
    <s v="19:22:38"/>
    <n v="-0.01660288156325867"/>
    <n v="-0.0352749620915529"/>
    <x v="1"/>
    <x v="0"/>
    <n v="0"/>
  </r>
  <r>
    <n v="144.1208000622061"/>
    <n v="140.4196714587643"/>
    <n v="-3.701128603441844"/>
    <n v="2.18"/>
    <m/>
    <n v="140.4196714587643"/>
    <n v="1.527624983333333"/>
    <n v="41.30080006220609"/>
    <m/>
    <n v="11.84"/>
    <n v="39.23887139655818"/>
    <n v="27.24000000000001"/>
    <n v="1.969999999999999"/>
    <n v="2.180000000000007"/>
    <n v="6.430000000000007"/>
    <n v="10.40000000000001"/>
    <s v="-"/>
    <s v="-"/>
    <s v="-"/>
    <n v="0.01755245893234554"/>
    <x v="33"/>
    <s v="19:22:21"/>
    <n v="-0.02635762187015741"/>
    <n v="-1.350000000000009"/>
    <x v="3"/>
    <x v="0"/>
    <n v="0.1599999999999966"/>
  </r>
  <r>
    <n v="144.1208000622061"/>
    <n v="49.95627668201853"/>
    <n v="-94.16452338018759"/>
    <n v="2.18"/>
    <m/>
    <n v="49.95627668201853"/>
    <n v="89.69926831666668"/>
    <n v="41.30080006220611"/>
    <m/>
    <n v="11.73"/>
    <n v="38.66547661981244"/>
    <n v="27"/>
    <n v="1.969999999999999"/>
    <n v="2.18"/>
    <n v="6.43"/>
    <n v="10.32"/>
    <s v="-"/>
    <s v="-"/>
    <s v="-"/>
    <n v="0.006244534585252317"/>
    <x v="34"/>
    <s v="13:40:43"/>
    <n v="-1.884938783159585"/>
    <n v="-90.46339477674574"/>
    <x v="3"/>
    <x v="0"/>
    <n v="0"/>
  </r>
  <r>
    <n v="144.1208000622061"/>
    <n v="50.34294834989318"/>
    <n v="-93.77785171231294"/>
    <n v="2.18"/>
    <m/>
    <n v="50.34294834989318"/>
    <n v="89.69926831666668"/>
    <n v="41.30080006220611"/>
    <m/>
    <n v="11.92"/>
    <n v="38.71214828768709"/>
    <n v="26.97"/>
    <n v="1.969999999999999"/>
    <n v="2.18"/>
    <n v="6.43"/>
    <n v="10.5"/>
    <s v="-"/>
    <s v="-"/>
    <s v="-"/>
    <n v="0.006292868543736647"/>
    <x v="34"/>
    <s v="18:06:09"/>
    <n v="-1.862780285742083"/>
    <n v="0.3866716678746513"/>
    <x v="3"/>
    <x v="0"/>
    <n v="0"/>
  </r>
  <r>
    <n v="144.1208000622061"/>
    <n v="221.2609181283078"/>
    <n v="77.14011806610171"/>
    <n v="2.18"/>
    <m/>
    <n v="221.2609181283078"/>
    <n v="0"/>
    <n v="41.30080006220612"/>
    <m/>
    <n v="12.03999999999999"/>
    <n v="38.43011806610167"/>
    <n v="27.06"/>
    <n v="1.969999999999999"/>
    <n v="2.180000000000007"/>
    <n v="6.430000000000007"/>
    <n v="10.63999999999999"/>
    <s v="-"/>
    <s v="-"/>
    <s v="-"/>
    <n v="0.02765761476603847"/>
    <x v="35"/>
    <s v="21:34:46"/>
    <n v="0.3486386964252252"/>
    <n v="170.9179697784147"/>
    <x v="3"/>
    <x v="0"/>
    <n v="0"/>
  </r>
  <r>
    <n v="261.7081801655472"/>
    <n v="259.2496270168049"/>
    <n v="-2.458553148742232"/>
    <n v="2.18"/>
    <m/>
    <n v="259.2496270168049"/>
    <n v="0"/>
    <n v="65.67818016554713"/>
    <m/>
    <n v="46.79000000000002"/>
    <n v="57.86144685125777"/>
    <n v="45.25"/>
    <n v="1.970000000000027"/>
    <n v="2.180000000000007"/>
    <n v="6.430000000000007"/>
    <n v="10.69999999999999"/>
    <s v="-"/>
    <s v="-"/>
    <s v="-"/>
    <n v="0.03240620337710061"/>
    <x v="36"/>
    <s v="19:01:53"/>
    <n v="-0.009483343050606842"/>
    <n v="-79.59867121484393"/>
    <x v="3"/>
    <x v="0"/>
    <n v="117.5873801033411"/>
  </r>
  <r>
    <n v="261.7081801655472"/>
    <n v="248.2496270168049"/>
    <n v="-13.45855314874223"/>
    <n v="2.18"/>
    <m/>
    <n v="248.2496270168049"/>
    <n v="11.28408233333333"/>
    <n v="65.67818016554713"/>
    <m/>
    <n v="46.79000000000002"/>
    <n v="57.86144685125777"/>
    <n v="45.25"/>
    <n v="1.969999999999999"/>
    <n v="2.180000000000007"/>
    <n v="6.430000000000007"/>
    <n v="10.69999999999999"/>
    <s v="-"/>
    <s v="-"/>
    <s v="-"/>
    <n v="0.03103120337710061"/>
    <x v="37"/>
    <s v="17:19:01"/>
    <n v="-0.05421379000835788"/>
    <n v="-11"/>
    <x v="3"/>
    <x v="0"/>
    <n v="0"/>
  </r>
  <r>
    <n v="261.7081801655472"/>
    <n v="248.2806202927559"/>
    <n v="-13.42755987279122"/>
    <n v="3.43"/>
    <m/>
    <n v="248.2806202927559"/>
    <s v="-"/>
    <n v="65.67818016554713"/>
    <m/>
    <n v="46.79000000000002"/>
    <n v="57.89244012720877"/>
    <n v="45.25"/>
    <n v="1.969999999999999"/>
    <n v="2.180000000000007"/>
    <n v="6.430000000000007"/>
    <n v="10.69999999999999"/>
    <n v="21"/>
    <s v="-"/>
    <s v="-"/>
    <n v="0.03103507753659449"/>
    <x v="38"/>
    <s v="20:31:39"/>
    <n v="-0.05408219077654284"/>
    <n v="0.03099327595101009"/>
    <x v="3"/>
    <x v="0"/>
    <n v="0"/>
  </r>
  <r>
    <n v="261.7081801655472"/>
    <n v="248.0834786539176"/>
    <n v="-13.62470151162954"/>
    <n v="3.43"/>
    <m/>
    <n v="248.0834786539176"/>
    <s v="-"/>
    <n v="65.67818016554713"/>
    <m/>
    <n v="46.48000000000002"/>
    <n v="58.54529848837046"/>
    <n v="45.19999999999999"/>
    <n v="1.969999999999999"/>
    <n v="2.180000000000007"/>
    <n v="6.430000000000007"/>
    <n v="10.47000000000003"/>
    <n v="20.74"/>
    <s v="-"/>
    <s v="-"/>
    <n v="0.0310104348317397"/>
    <x v="39"/>
    <s v="18:01:06"/>
    <n v="-0.05491982612286861"/>
    <n v="-0.1971416388383211"/>
    <x v="3"/>
    <x v="0"/>
    <n v="0"/>
  </r>
  <r>
    <n v="261.7081801655472"/>
    <n v="246.9425743089371"/>
    <n v="-14.76560585661009"/>
    <n v="3.43"/>
    <m/>
    <n v="246.9425743089371"/>
    <s v="-"/>
    <n v="65.67818016554713"/>
    <m/>
    <n v="45.94999999999999"/>
    <n v="58.10439414338987"/>
    <n v="45.19999999999999"/>
    <n v="1.969999999999999"/>
    <n v="2.180000000000007"/>
    <n v="6.43000000000001"/>
    <n v="10.39999999999998"/>
    <n v="20.64"/>
    <s v="-"/>
    <s v="-"/>
    <n v="0.03086782178861714"/>
    <x v="40"/>
    <s v="18:04:34"/>
    <n v="-0.05979368238924084"/>
    <n v="-1.14090434498055"/>
    <x v="3"/>
    <x v="0"/>
    <n v="0"/>
  </r>
  <r>
    <n v="276.5981801655471"/>
    <n v="261.9245782132235"/>
    <n v="-14.67360195232359"/>
    <n v="3.43"/>
    <m/>
    <n v="261.9245782132235"/>
    <s v="-"/>
    <n v="65.72818016554714"/>
    <m/>
    <n v="45.94999999999999"/>
    <n v="58.08639804767643"/>
    <n v="45.19999999999999"/>
    <n v="1.970000000000027"/>
    <n v="2.180000000000007"/>
    <n v="6.439999999999998"/>
    <n v="10.39999999999998"/>
    <n v="20.64"/>
    <s v="-"/>
    <s v="-"/>
    <n v="0.03274057227665294"/>
    <x v="40"/>
    <s v="22:54:48"/>
    <n v="-0.05602224141171788"/>
    <n v="0.09200390428649996"/>
    <x v="3"/>
    <x v="0"/>
    <n v="14.88999999999987"/>
  </r>
  <r>
    <n v="276.5981801655471"/>
    <n v="262.0846020727521"/>
    <n v="-14.51357809279493"/>
    <n v="3.43"/>
    <m/>
    <n v="262.0846020727521"/>
    <s v="-"/>
    <n v="65.72818016554714"/>
    <m/>
    <n v="46.06"/>
    <n v="57.97642190720507"/>
    <n v="45.19999999999999"/>
    <n v="1.970000000000027"/>
    <n v="2.180000000000007"/>
    <n v="6.439999999999998"/>
    <n v="10.5"/>
    <n v="20.7"/>
    <s v="-"/>
    <s v="-"/>
    <n v="0.03276057525909401"/>
    <x v="41"/>
    <s v="21:31:57"/>
    <n v="-0.05537745437164639"/>
    <n v="0.1600238595286605"/>
    <x v="3"/>
    <x v="0"/>
    <n v="0"/>
  </r>
  <r>
    <n v="265.3681801655471"/>
    <n v="252.7666016389426"/>
    <n v="-12.60157852660454"/>
    <n v="3.43"/>
    <m/>
    <n v="252.7666016389426"/>
    <s v="-"/>
    <n v="65.72818016554712"/>
    <m/>
    <n v="47.49999999999997"/>
    <n v="57.97842147339546"/>
    <n v="45.09999999999999"/>
    <n v="1.969999999999999"/>
    <n v="2.180000000000007"/>
    <n v="6.440000000000026"/>
    <n v="0"/>
    <n v="20.54"/>
    <s v="-"/>
    <s v="-"/>
    <n v="0.03159582520486783"/>
    <x v="42"/>
    <s v="21:42:20"/>
    <n v="-0.04985460280312235"/>
    <n v="1.91199956619039"/>
    <x v="3"/>
    <x v="0"/>
    <n v="-11.23000000000002"/>
  </r>
  <r>
    <n v="284.4081801655471"/>
    <n v="283.8468492345772"/>
    <n v="-0.561330930969915"/>
    <n v="3.43"/>
    <m/>
    <n v="283.8468492345772"/>
    <s v="-"/>
    <n v="65.79818016554714"/>
    <m/>
    <n v="49.90999999999997"/>
    <n v="66.18866906903008"/>
    <n v="54.30000000000001"/>
    <n v="2.910000000000025"/>
    <n v="2.180000000000007"/>
    <n v="6.439999999999998"/>
    <n v="0"/>
    <n v="20.65"/>
    <s v="-"/>
    <s v="-"/>
    <n v="0.03548085615432215"/>
    <x v="43"/>
    <s v="18:19:06"/>
    <n v="-0.00197758380085459"/>
    <n v="12.04024759563463"/>
    <x v="3"/>
    <x v="0"/>
    <n v="19.04000000000002"/>
  </r>
  <r>
    <n v="284.4581801655471"/>
    <n v="284.0156634983682"/>
    <n v="-0.4425166671789238"/>
    <n v="3.43"/>
    <m/>
    <n v="284.0156634983682"/>
    <s v="-"/>
    <n v="65.83818016554716"/>
    <m/>
    <n v="49.91000000000003"/>
    <n v="66.21748333282108"/>
    <n v="54.30000000000001"/>
    <n v="2.910000000000025"/>
    <n v="2.180000000000007"/>
    <n v="6.449999999999989"/>
    <n v="0"/>
    <n v="20.65"/>
    <s v="-"/>
    <s v="-"/>
    <n v="0.03550195793729603"/>
    <x v="44"/>
    <s v="21:49:06"/>
    <n v="-0.001558071346235685"/>
    <n v="0.1188142637909912"/>
    <x v="3"/>
    <x v="0"/>
    <n v="0.05000000000001137"/>
  </r>
  <r>
    <n v="284.4581801655471"/>
    <n v="283.3013433943441"/>
    <n v="-1.156836771203036"/>
    <n v="3.43"/>
    <m/>
    <n v="283.3013433943441"/>
    <s v="-"/>
    <n v="65.83818016554716"/>
    <m/>
    <n v="49.75"/>
    <n v="65.60316322879697"/>
    <n v="54.24000000000001"/>
    <n v="2.910000000000025"/>
    <n v="2.180000000000007"/>
    <n v="6.449999999999989"/>
    <n v="0"/>
    <n v="20.77"/>
    <s v="-"/>
    <s v="-"/>
    <n v="0.03541266792429301"/>
    <x v="45"/>
    <s v="11:27:58"/>
    <n v="-0.004083414350749356"/>
    <n v="-0.7143201040241123"/>
    <x v="3"/>
    <x v="0"/>
    <n v="0"/>
  </r>
  <r>
    <n v="284.4581801655471"/>
    <n v="190.1175457133817"/>
    <n v="-94.34063445216536"/>
    <n v="3.43"/>
    <m/>
    <n v="190.1175457133817"/>
    <n v="95.33315300000001"/>
    <n v="65.83818016554713"/>
    <m/>
    <n v="49.70999999999998"/>
    <n v="65.55936554783463"/>
    <n v="54.18000000000001"/>
    <n v="2.909999999999997"/>
    <n v="2.180000000000007"/>
    <n v="6.449999999999989"/>
    <n v="0"/>
    <n v="20.73"/>
    <s v="-"/>
    <s v="-"/>
    <n v="0.02376469321417271"/>
    <x v="45"/>
    <s v="11:37:00"/>
    <n v="-0.4962226610814336"/>
    <n v="-93.18379768096233"/>
    <x v="3"/>
    <x v="0"/>
    <n v="0"/>
  </r>
  <r>
    <n v="277.7881801655471"/>
    <n v="183.7828359342031"/>
    <n v="-94.00534423134401"/>
    <n v="3.43"/>
    <m/>
    <n v="183.7828359342031"/>
    <n v="95.33315300000001"/>
    <n v="65.83818016554713"/>
    <m/>
    <n v="49.57999999999998"/>
    <n v="65.64465576865598"/>
    <n v="54.24000000000001"/>
    <n v="2.909999999999997"/>
    <n v="3.460000000000008"/>
    <n v="6.449999999999989"/>
    <n v="0"/>
    <n v="20.72"/>
    <n v="6.88"/>
    <s v="-"/>
    <n v="0.02297285449177539"/>
    <x v="45"/>
    <s v="11:52:28"/>
    <n v="-0.5115023051717369"/>
    <n v="0.3352902208213493"/>
    <x v="3"/>
    <x v="0"/>
    <n v="-6.670000000000016"/>
  </r>
  <r>
    <n v="277.7881801655471"/>
    <n v="183.5623549895324"/>
    <n v="-94.22582517601465"/>
    <n v="3.43"/>
    <m/>
    <n v="183.5623549895324"/>
    <s v="-"/>
    <n v="65.83818016554713"/>
    <m/>
    <n v="49.70999999999998"/>
    <n v="65.38417482398535"/>
    <n v="54.18000000000001"/>
    <n v="2.909999999999997"/>
    <n v="3.460000000000008"/>
    <n v="6.449999999999989"/>
    <n v="0"/>
    <n v="20.69"/>
    <n v="6.88"/>
    <s v="-"/>
    <n v="0.02294529437369155"/>
    <x v="45"/>
    <s v="19:13:47"/>
    <n v="-0.5133178051751834"/>
    <n v="-0.2204809446706406"/>
    <x v="3"/>
    <x v="0"/>
    <n v="0"/>
  </r>
  <r>
    <n v="277.7881801655471"/>
    <n v="184.3688641122202"/>
    <n v="-93.41931605332692"/>
    <n v="3.43"/>
    <m/>
    <n v="184.3688641122202"/>
    <s v="-"/>
    <n v="65.83818016554713"/>
    <m/>
    <n v="50.14000000000001"/>
    <n v="65.41068394667306"/>
    <n v="54.11999999999998"/>
    <n v="2.909999999999997"/>
    <n v="3.460000000000008"/>
    <n v="6.449999999999989"/>
    <n v="0"/>
    <n v="21.1"/>
    <n v="6.88"/>
    <s v="-"/>
    <n v="0.02304610801402752"/>
    <x v="46"/>
    <s v="21:54:15"/>
    <n v="-0.5066978988191042"/>
    <n v="0.8065091226877286"/>
    <x v="3"/>
    <x v="0"/>
    <n v="0"/>
  </r>
  <r>
    <n v="354.8395128509162"/>
    <n v="352.4195235581527"/>
    <n v="-2.419989292763536"/>
    <n v="3.43"/>
    <m/>
    <n v="352.4195235581527"/>
    <s v="-"/>
    <n v="93.87951285091623"/>
    <m/>
    <n v="50.13999999999999"/>
    <n v="113.5000107072365"/>
    <n v="54.12"/>
    <n v="2.910000000000025"/>
    <n v="3.45999999999998"/>
    <n v="6.449999999999989"/>
    <n v="0"/>
    <n v="21.1"/>
    <n v="6.86"/>
    <s v="-"/>
    <n v="0.04405244044476909"/>
    <x v="47"/>
    <s v="22:40:29"/>
    <n v="-0.006866785552430422"/>
    <n v="90.99932676056339"/>
    <x v="3"/>
    <x v="0"/>
    <n v="77.05133268536912"/>
  </r>
  <r>
    <n v="354.8395128509162"/>
    <n v="455.997491293468"/>
    <n v="101.1579784425519"/>
    <n v="3.43"/>
    <m/>
    <n v="455.997491293468"/>
    <s v="-"/>
    <n v="93.87951285091623"/>
    <m/>
    <n v="50.75"/>
    <n v="114.4179784425519"/>
    <n v="54.24000000000001"/>
    <n v="2.910000000000025"/>
    <n v="3.45999999999998"/>
    <n v="6.449999999999989"/>
    <n v="0"/>
    <n v="21.18"/>
    <n v="6.86"/>
    <s v="-"/>
    <n v="0.0569996864116835"/>
    <x v="48"/>
    <s v="17:12:34"/>
    <n v="0.2218388924807687"/>
    <n v="103.5779677353154"/>
    <x v="3"/>
    <x v="0"/>
    <n v="0"/>
  </r>
  <r>
    <n v="453.9695128509162"/>
    <n v="454.5874881302637"/>
    <n v="0.6179752793474709"/>
    <n v="3.43"/>
    <m/>
    <n v="454.5874881302637"/>
    <s v="-"/>
    <n v="93.87951285091623"/>
    <m/>
    <n v="88.33999999999997"/>
    <n v="114.5079752793476"/>
    <n v="81.54000000000002"/>
    <n v="5.910000000000025"/>
    <n v="3.45999999999998"/>
    <n v="6.449999999999989"/>
    <n v="0"/>
    <n v="21.18"/>
    <n v="38.34"/>
    <s v="-"/>
    <n v="0.05682343601628296"/>
    <x v="48"/>
    <s v="17:26:13"/>
    <n v="0.001359419903722444"/>
    <n v="-100.5400031632044"/>
    <x v="3"/>
    <x v="0"/>
    <n v="99.13"/>
  </r>
  <r>
    <n v="453.9695128509162"/>
    <n v="453.7814862323411"/>
    <n v="-0.1880266185751207"/>
    <n v="3.43"/>
    <m/>
    <n v="453.7814862323411"/>
    <s v="-"/>
    <n v="93.87951285091617"/>
    <m/>
    <n v="88.40999999999997"/>
    <n v="114.5619733814249"/>
    <n v="81.53999999999996"/>
    <n v="5.910000000000025"/>
    <n v="3.45999999999998"/>
    <n v="6.449999999999989"/>
    <n v="0"/>
    <n v="21.23"/>
    <n v="38.34"/>
    <s v="-"/>
    <n v="0.05672268577904264"/>
    <x v="48"/>
    <s v="17:37:46"/>
    <n v="-0.0004143549798302019"/>
    <n v="-0.8060018979225916"/>
    <x v="3"/>
    <x v="0"/>
    <n v="0"/>
  </r>
  <r>
    <n v="453.9695128509162"/>
    <n v="453.8974821553221"/>
    <n v="-0.07203069559409236"/>
    <n v="3.43"/>
    <m/>
    <n v="453.8974821553221"/>
    <s v="-"/>
    <n v="93.87951285091617"/>
    <m/>
    <n v="88.40999999999997"/>
    <n v="114.6779693044059"/>
    <n v="81.53999999999996"/>
    <n v="5.910000000000025"/>
    <n v="3.45999999999998"/>
    <n v="6.449999999999989"/>
    <n v="0"/>
    <n v="21.23"/>
    <n v="38.34"/>
    <s v="-"/>
    <n v="0.05673718526941526"/>
    <x v="48"/>
    <s v="18:39:36"/>
    <n v="-0.0001586937544840659"/>
    <n v="0.1159959229810283"/>
    <x v="3"/>
    <x v="0"/>
    <n v="0"/>
  </r>
  <r>
    <n v="453.9695128509162"/>
    <n v="454.2054635978565"/>
    <n v="0.2359507469402882"/>
    <n v="3.43"/>
    <m/>
    <n v="454.2054635978565"/>
    <s v="-"/>
    <n v="93.87951285091617"/>
    <m/>
    <n v="88.60000000000002"/>
    <n v="115.2059507469403"/>
    <n v="81.09000000000003"/>
    <n v="5.910000000000025"/>
    <n v="3.45999999999998"/>
    <n v="6.449999999999989"/>
    <n v="0"/>
    <n v="21.58"/>
    <n v="38.34"/>
    <s v="-"/>
    <n v="0.05677568294973206"/>
    <x v="49"/>
    <s v="18:58:19"/>
    <n v="0.0005194802041157166"/>
    <n v="0.3079814425343805"/>
    <x v="3"/>
    <x v="0"/>
    <n v="0"/>
  </r>
  <r>
    <n v="462.5907695350509"/>
    <n v="462.7747632312772"/>
    <n v="0.1839936962262536"/>
    <n v="3.43"/>
    <m/>
    <n v="462.7747632312772"/>
    <s v="-"/>
    <n v="102.7407695350509"/>
    <m/>
    <n v="89.53000000000003"/>
    <n v="113.9839936962263"/>
    <n v="81.18000000000001"/>
    <n v="5.910000000000025"/>
    <n v="3.45999999999998"/>
    <n v="6.46999999999997"/>
    <n v="0"/>
    <n v="21.53"/>
    <n v="38.08"/>
    <s v="-"/>
    <n v="0.05784684540390965"/>
    <x v="50"/>
    <s v="20:17:10"/>
    <n v="0.0003975880079145556"/>
    <n v="-0.05195705071403459"/>
    <x v="3"/>
    <x v="0"/>
    <n v="8.621256684134721"/>
  </r>
  <r>
    <n v="474.183262233218"/>
    <n v="476.4701584446829"/>
    <n v="2.28689621146485"/>
    <n v="3.43"/>
    <m/>
    <n v="476.4701584446829"/>
    <s v="-"/>
    <n v="104.613262233218"/>
    <m/>
    <n v="90.51000000000005"/>
    <n v="124.5868962114649"/>
    <n v="81.62999999999994"/>
    <n v="5.910000000000025"/>
    <n v="3.45999999999998"/>
    <n v="6.46999999999997"/>
    <n v="0"/>
    <n v="21.34"/>
    <n v="37.8"/>
    <s v="-"/>
    <n v="0.05955876980558537"/>
    <x v="51"/>
    <s v="19:16:16"/>
    <n v="0.004799663044858566"/>
    <n v="2.102902515238597"/>
    <x v="3"/>
    <x v="0"/>
    <n v="11.59249269816706"/>
  </r>
  <r>
    <n v="476.0649673539857"/>
    <n v="478.373629313119"/>
    <n v="2.308661959133278"/>
    <n v="3.43"/>
    <m/>
    <n v="478.373629313119"/>
    <s v="-"/>
    <n v="106.4949673539857"/>
    <m/>
    <n v="90.50999999999999"/>
    <n v="124.5586619591334"/>
    <n v="81.63"/>
    <n v="5.910000000000025"/>
    <n v="3.45999999999998"/>
    <n v="6.470000000000027"/>
    <n v="0"/>
    <n v="21.34"/>
    <n v="37.8"/>
    <s v="-"/>
    <n v="0.05979670366413987"/>
    <x v="52"/>
    <s v="20:01:18"/>
    <n v="0.004826064435132451"/>
    <n v="0.02176574766842787"/>
    <x v="3"/>
    <x v="0"/>
    <n v="1.88170512076772"/>
  </r>
  <r>
    <n v="476.3849673539856"/>
    <n v="479.0100507257533"/>
    <n v="2.625083371767711"/>
    <n v="3.43"/>
    <m/>
    <n v="479.0100507257533"/>
    <s v="-"/>
    <n v="106.4949673539857"/>
    <m/>
    <n v="90.63"/>
    <n v="124.6650833717678"/>
    <n v="81.72000000000003"/>
    <n v="5.910000000000025"/>
    <n v="3.45999999999998"/>
    <n v="6.470000000000027"/>
    <n v="0"/>
    <n v="21.3"/>
    <n v="38.12"/>
    <s v="-"/>
    <n v="0.05987625634071916"/>
    <x v="52"/>
    <s v="20:06:06"/>
    <n v="0.005480226078326371"/>
    <n v="0.3164214126344329"/>
    <x v="3"/>
    <x v="0"/>
    <n v="0.3199999999998795"/>
  </r>
  <r>
    <n v="510.2660885490335"/>
    <n v="512.3573107812632"/>
    <n v="2.091222232229744"/>
    <n v="3.43"/>
    <m/>
    <n v="512.3573107812632"/>
    <s v="-"/>
    <n v="108.3960885490335"/>
    <m/>
    <n v="89.65999999999997"/>
    <n v="125.0712222322297"/>
    <n v="100.54"/>
    <n v="5.909999999999968"/>
    <n v="3.460000000000036"/>
    <n v="6.480000000000018"/>
    <n v="0"/>
    <n v="35.2"/>
    <n v="37.78"/>
    <s v="-"/>
    <n v="0.0640446638476579"/>
    <x v="53"/>
    <s v="18:26:30"/>
    <n v="0.004081570006371068"/>
    <n v="-0.5338611395379669"/>
    <x v="3"/>
    <x v="0"/>
    <n v="33.88112119504791"/>
  </r>
  <r>
    <n v="510.2660885490335"/>
    <n v="492.3573107812633"/>
    <n v="-17.90877776777025"/>
    <n v="3.43"/>
    <m/>
    <n v="492.3573107812633"/>
    <n v="20.52826"/>
    <n v="108.3960885490334"/>
    <m/>
    <n v="89.66000000000003"/>
    <n v="125.0712222322298"/>
    <n v="100.54"/>
    <n v="5.910000000000025"/>
    <n v="3.45999999999998"/>
    <n v="6.480000000000018"/>
    <n v="0"/>
    <n v="35.2"/>
    <n v="37.78"/>
    <s v="-"/>
    <n v="0.06154466384765792"/>
    <x v="53"/>
    <s v="18:36:24"/>
    <n v="-0.03637353884184829"/>
    <n v="-19.99999999999999"/>
    <x v="3"/>
    <x v="0"/>
    <n v="0"/>
  </r>
  <r>
    <n v="515.9380176148068"/>
    <n v="313.0150080103291"/>
    <n v="-202.9230096044777"/>
    <n v="3.43"/>
    <m/>
    <n v="313.0150080103291"/>
    <n v="209.29587483"/>
    <n v="114.0680176148068"/>
    <m/>
    <n v="89.13999999999999"/>
    <n v="124.4869903955224"/>
    <n v="100.87"/>
    <n v="5.910000000000025"/>
    <n v="3.45999999999998"/>
    <n v="6.480000000000018"/>
    <n v="0"/>
    <n v="34.87"/>
    <n v="37.78"/>
    <s v="-"/>
    <n v="0.03912687600129114"/>
    <x v="54"/>
    <s v="12:20:03"/>
    <n v="-0.6482852400412107"/>
    <n v="-185.0142318367074"/>
    <x v="3"/>
    <x v="0"/>
    <n v="5.67192906577327"/>
  </r>
  <r>
    <n v="515.9380176148068"/>
    <n v="312.1981981901622"/>
    <n v="-203.7398194246446"/>
    <n v="3.43"/>
    <m/>
    <n v="312.1981981901622"/>
    <s v="-"/>
    <n v="114.0680176148068"/>
    <m/>
    <n v="88.78999999999996"/>
    <n v="123.8701805753554"/>
    <n v="100.76"/>
    <n v="5.910000000000025"/>
    <n v="3.45999999999998"/>
    <n v="6.480000000000018"/>
    <n v="0"/>
    <n v="35.17"/>
    <n v="37.78"/>
    <s v="-"/>
    <n v="0.03902477477377028"/>
    <x v="54"/>
    <s v="18:10:44"/>
    <n v="-0.6525976786725245"/>
    <n v="-0.8168098201668954"/>
    <x v="3"/>
    <x v="0"/>
    <n v="0"/>
  </r>
  <r>
    <n v="517.8688831426193"/>
    <n v="311.6934251594657"/>
    <n v="-206.1754579831536"/>
    <n v="3.43"/>
    <m/>
    <n v="311.6934251594657"/>
    <s v="-"/>
    <n v="115.9988831426193"/>
    <m/>
    <n v="88.46999999999997"/>
    <n v="123.3945420168464"/>
    <n v="99.55000000000001"/>
    <n v="5.910000000000025"/>
    <n v="3.45999999999998"/>
    <n v="6.480000000000018"/>
    <n v="0"/>
    <n v="34.95"/>
    <n v="37.78"/>
    <s v="-"/>
    <n v="0.03896167814493321"/>
    <x v="55"/>
    <s v="18:19:51"/>
    <n v="-0.6614687424916712"/>
    <n v="-2.435638558508998"/>
    <x v="4"/>
    <x v="0"/>
    <n v="1.930865527812557"/>
  </r>
  <r>
    <n v="524.8602158450266"/>
    <n v="319.6807437749462"/>
    <n v="-205.1794720700804"/>
    <n v="3.43"/>
    <m/>
    <n v="319.6807437749462"/>
    <s v="-"/>
    <n v="117.9502158450265"/>
    <m/>
    <n v="93.31"/>
    <n v="123.0405279299196"/>
    <n v="99.88"/>
    <n v="5.910000000000025"/>
    <n v="3.45999999999998"/>
    <n v="6.480000000000018"/>
    <n v="0"/>
    <n v="35.1"/>
    <n v="38.19"/>
    <s v="-"/>
    <n v="0.03996009297186828"/>
    <x v="56"/>
    <s v="20:46:31"/>
    <n v="-0.6418261846091231"/>
    <n v="0.9959859130731843"/>
    <x v="4"/>
    <x v="0"/>
    <n v="6.991332702407249"/>
  </r>
  <r>
    <n v="527.1922326740794"/>
    <n v="319.3238731023256"/>
    <n v="-207.8683595717538"/>
    <n v="3.43"/>
    <m/>
    <n v="319.3238731023256"/>
    <s v="-"/>
    <n v="119.9222326740794"/>
    <m/>
    <n v="92.86000000000001"/>
    <n v="122.3216404282462"/>
    <n v="99.22000000000003"/>
    <n v="5.910000000000025"/>
    <n v="3.45999999999998"/>
    <n v="6.480000000000018"/>
    <n v="0"/>
    <n v="33.75"/>
    <n v="38.55"/>
    <s v="-"/>
    <n v="0.0399154841377907"/>
    <x v="57"/>
    <s v="19:46:18"/>
    <n v="-0.6509640433464977"/>
    <n v="-2.688887501673406"/>
    <x v="4"/>
    <x v="0"/>
    <n v="2.332016829052804"/>
  </r>
  <r>
    <n v="820.7351528815202"/>
    <n v="816.9362960365066"/>
    <n v="-3.798856845013606"/>
    <n v="4.8"/>
    <m/>
    <n v="816.9362960365066"/>
    <s v="-"/>
    <n v="121.9151528815202"/>
    <m/>
    <n v="142.87"/>
    <n v="175.3211431549864"/>
    <n v="185.63"/>
    <n v="5.909999999999968"/>
    <n v="5.049999999999955"/>
    <n v="6.480000000000018"/>
    <n v="0"/>
    <n v="32.88"/>
    <n v="38.55"/>
    <s v="-"/>
    <n v="0.1021170370045633"/>
    <x v="58"/>
    <s v="21:38:56"/>
    <n v="-0.004650126164603471"/>
    <n v="204.0695027267402"/>
    <x v="4"/>
    <x v="0"/>
    <n v="293.5429202074408"/>
  </r>
  <r>
    <n v="820.7351528815202"/>
    <n v="642.3722971119948"/>
    <n v="-178.3628557695253"/>
    <n v="4.8"/>
    <m/>
    <n v="642.3722971119948"/>
    <n v="179.2359987"/>
    <n v="121.9151528815202"/>
    <m/>
    <n v="142.87"/>
    <n v="175.2971442304747"/>
    <n v="185.63"/>
    <n v="5.909999999999968"/>
    <n v="5.049999999999955"/>
    <n v="6.480000000000018"/>
    <n v="0"/>
    <n v="32.88"/>
    <n v="38.55"/>
    <s v="-"/>
    <n v="0.08029653713899935"/>
    <x v="59"/>
    <s v="21:06:07"/>
    <n v="-0.2776627456872234"/>
    <n v="-174.5639989245117"/>
    <x v="4"/>
    <x v="0"/>
    <n v="0"/>
  </r>
  <r>
    <n v="820.8851528815203"/>
    <n v="642.672297111995"/>
    <n v="-178.2128557695253"/>
    <n v="4.8"/>
    <m/>
    <n v="642.672297111995"/>
    <n v="179.2359987"/>
    <n v="121.9151528815202"/>
    <m/>
    <n v="142.87"/>
    <n v="175.2971442304747"/>
    <n v="185.63"/>
    <n v="5.909999999999968"/>
    <n v="5.049999999999955"/>
    <n v="6.480000000000018"/>
    <n v="0"/>
    <n v="32.88"/>
    <n v="38.7"/>
    <s v="-"/>
    <n v="0.08033403713899938"/>
    <x v="59"/>
    <s v="21:10:31"/>
    <n v="-0.2772997320257436"/>
    <n v="0.1500000000000057"/>
    <x v="4"/>
    <x v="0"/>
    <n v="0.1500000000000909"/>
  </r>
  <r>
    <n v="820.8851528815203"/>
    <n v="641.2472009902322"/>
    <n v="-179.6379518912881"/>
    <n v="4.8"/>
    <m/>
    <n v="641.2472009902322"/>
    <n v="179.24"/>
    <n v="121.9151528815202"/>
    <m/>
    <n v="140.0599999999999"/>
    <n v="177.4420481087119"/>
    <n v="185.02"/>
    <n v="5.909999999999968"/>
    <n v="5.049999999999955"/>
    <n v="6.480000000000018"/>
    <n v="0"/>
    <n v="32.86"/>
    <n v="38.7"/>
    <s v="-"/>
    <n v="0.08015590012377902"/>
    <x v="60"/>
    <s v="19:39:54"/>
    <n v="-0.2801383797291997"/>
    <n v="-1.425096121762806"/>
    <x v="4"/>
    <x v="0"/>
    <n v="0"/>
  </r>
  <r>
    <n v="820.8851528815203"/>
    <n v="641.2472009902322"/>
    <n v="-179.6379518912881"/>
    <n v="4.8"/>
    <m/>
    <n v="641.2472009902322"/>
    <n v="0"/>
    <n v="121.9151528815202"/>
    <m/>
    <n v="140.0599999999999"/>
    <n v="177.4420481087119"/>
    <n v="185.02"/>
    <n v="5.909999999999968"/>
    <n v="5.049999999999955"/>
    <n v="6.480000000000018"/>
    <n v="0"/>
    <n v="32.86"/>
    <n v="38.7"/>
    <s v="-"/>
    <n v="0.08015590012377902"/>
    <x v="60"/>
    <s v="20:09:19"/>
    <n v="-0.2801383797291997"/>
    <n v="0"/>
    <x v="4"/>
    <x v="0"/>
    <n v="0"/>
  </r>
  <r>
    <n v="820.8851528815203"/>
    <n v="638.4110668230724"/>
    <n v="-182.474086058448"/>
    <n v="4.8"/>
    <m/>
    <n v="638.4110668230724"/>
    <n v="0"/>
    <n v="121.9151528815202"/>
    <m/>
    <n v="134.84"/>
    <n v="180.435913941552"/>
    <n v="184.61"/>
    <n v="5.909999999999968"/>
    <n v="5.049999999999955"/>
    <n v="6.480000000000018"/>
    <n v="0"/>
    <n v="32.9"/>
    <n v="38.7"/>
    <s v="-"/>
    <n v="0.07980138335288404"/>
    <x v="61"/>
    <s v="06:19:13"/>
    <n v="-0.2858253804503962"/>
    <n v="-2.836134167159884"/>
    <x v="4"/>
    <x v="0"/>
    <n v="0"/>
  </r>
  <r>
    <n v="821.0351528815202"/>
    <n v="642.9183304521308"/>
    <n v="-178.1168224293894"/>
    <n v="4.8"/>
    <m/>
    <n v="642.9183304521308"/>
    <n v="0"/>
    <n v="122.0651528815201"/>
    <m/>
    <n v="140.89"/>
    <n v="174.5531775706106"/>
    <n v="185.22"/>
    <n v="5.909999999999968"/>
    <n v="5.049999999999955"/>
    <n v="6.480000000000018"/>
    <n v="0"/>
    <n v="34.46"/>
    <n v="38.7"/>
    <s v="-"/>
    <n v="0.08036479130651636"/>
    <x v="61"/>
    <s v="22:31:14"/>
    <n v="-0.2770442434020028"/>
    <n v="4.357263629058593"/>
    <x v="4"/>
    <x v="0"/>
    <n v="0.1499999999998636"/>
  </r>
  <r>
    <n v="820.6651528815203"/>
    <n v="646.3762409177336"/>
    <n v="-174.2889119637866"/>
    <n v="4.8"/>
    <m/>
    <n v="646.3762409177336"/>
    <n v="0"/>
    <n v="122.1351528815202"/>
    <m/>
    <n v="139.46"/>
    <n v="176.5510880362134"/>
    <n v="184.41"/>
    <n v="5.909999999999968"/>
    <n v="5.049999999999955"/>
    <n v="6.480000000000018"/>
    <n v="0"/>
    <n v="33.93"/>
    <n v="38.26000000000001"/>
    <s v="-"/>
    <n v="0.0807970301147167"/>
    <x v="62"/>
    <s v="18:28:23"/>
    <n v="-0.2696400345970775"/>
    <n v="3.827910465602798"/>
    <x v="4"/>
    <x v="0"/>
    <n v="-0.3699999999998909"/>
  </r>
  <r>
    <n v="820.7251528815202"/>
    <n v="633.9562409177336"/>
    <n v="-186.7689119637866"/>
    <n v="4.8"/>
    <m/>
    <n v="633.9562409177336"/>
    <n v="192.1133874"/>
    <n v="122.1351528815202"/>
    <m/>
    <n v="139.46"/>
    <n v="176.5510880362134"/>
    <n v="184.41"/>
    <n v="5.909999999999968"/>
    <n v="5.049999999999955"/>
    <n v="6.539999999999964"/>
    <n v="0"/>
    <n v="33.93"/>
    <n v="38.26000000000001"/>
    <s v="-"/>
    <n v="0.0792445301147167"/>
    <x v="62"/>
    <s v="21:47:13"/>
    <n v="-0.2946085232845322"/>
    <n v="-12.47999999999999"/>
    <x v="4"/>
    <x v="0"/>
    <n v="0.05999999999994543"/>
  </r>
  <r>
    <n v="821.1451528815202"/>
    <n v="637.0412671327598"/>
    <n v="-184.1038857487604"/>
    <n v="4.8"/>
    <m/>
    <n v="637.0412671327598"/>
    <s v="-"/>
    <n v="122.1951528815201"/>
    <m/>
    <n v="141.4299999999999"/>
    <n v="175.9661142512396"/>
    <n v="184.4"/>
    <n v="5.909999999999968"/>
    <n v="5.049999999999955"/>
    <n v="6.539999999999964"/>
    <n v="0"/>
    <n v="34.04"/>
    <n v="38.62"/>
    <s v="-"/>
    <n v="0.07963015839159497"/>
    <x v="63"/>
    <s v="21:38:15"/>
    <n v="-0.2889983667422177"/>
    <n v="2.665026215026188"/>
    <x v="4"/>
    <x v="0"/>
    <n v="0.4199999999999591"/>
  </r>
  <r>
    <n v="821.1451528815202"/>
    <n v="514.8412671327596"/>
    <n v="-306.3038857487605"/>
    <n v="4.8"/>
    <m/>
    <n v="514.8412671327596"/>
    <n v="317.6"/>
    <n v="122.1951528815201"/>
    <m/>
    <n v="141.4300000000001"/>
    <n v="175.9661142512396"/>
    <n v="184.4"/>
    <n v="5.909999999999968"/>
    <n v="5.049999999999955"/>
    <n v="6.539999999999964"/>
    <n v="0"/>
    <n v="34.04"/>
    <n v="38.62"/>
    <s v="-"/>
    <n v="0.06435515839159496"/>
    <x v="63"/>
    <s v="21:43:29"/>
    <n v="-0.594948201131234"/>
    <n v="-122.2000000000001"/>
    <x v="4"/>
    <x v="0"/>
    <n v="0"/>
  </r>
  <r>
    <n v="821.1451528815202"/>
    <n v="514.8412671327596"/>
    <n v="-306.3038857487605"/>
    <n v="4.8"/>
    <m/>
    <n v="514.8412671327596"/>
    <n v="0"/>
    <n v="122.1951528815201"/>
    <m/>
    <n v="141.4300000000001"/>
    <n v="175.9661142512396"/>
    <n v="184.4"/>
    <n v="5.909999999999968"/>
    <n v="5.049999999999955"/>
    <n v="6.539999999999964"/>
    <n v="0"/>
    <n v="34.04"/>
    <n v="38.62"/>
    <s v="-"/>
    <n v="0.06435515839159496"/>
    <x v="64"/>
    <s v="17:02:29"/>
    <n v="-0.594948201131234"/>
    <n v="0"/>
    <x v="4"/>
    <x v="0"/>
    <n v="0"/>
  </r>
  <r>
    <n v="821.1451528815202"/>
    <n v="514.8412671327596"/>
    <n v="-306.3038857487605"/>
    <n v="4.8"/>
    <m/>
    <n v="514.8412671327596"/>
    <n v="0"/>
    <n v="122.1951528815201"/>
    <m/>
    <n v="141.4300000000001"/>
    <n v="175.9661142512396"/>
    <n v="184.4"/>
    <n v="5.909999999999968"/>
    <n v="5.049999999999955"/>
    <n v="6.539999999999964"/>
    <n v="0"/>
    <n v="34.04"/>
    <n v="38.62"/>
    <n v="109.43"/>
    <n v="0.06435515839159496"/>
    <x v="64"/>
    <s v="17:04:25"/>
    <n v="-0.594948201131234"/>
    <n v="0"/>
    <x v="4"/>
    <x v="0"/>
    <n v="0"/>
  </r>
  <r>
    <n v="822.2351528815202"/>
    <n v="520.0992394389373"/>
    <n v="-302.1359134425829"/>
    <n v="4.8"/>
    <m/>
    <n v="520.0992394389373"/>
    <n v="0"/>
    <n v="122.1951528815201"/>
    <m/>
    <n v="141.45"/>
    <n v="176.584086557417"/>
    <n v="185.4400000000001"/>
    <n v="7"/>
    <n v="5.049999999999955"/>
    <n v="6.539999999999964"/>
    <n v="0"/>
    <n v="34.64"/>
    <n v="38.62"/>
    <n v="109.8"/>
    <n v="0.06501240492986717"/>
    <x v="65"/>
    <s v="18:45:40"/>
    <n v="-0.5809197371034714"/>
    <n v="4.167972306177603"/>
    <x v="4"/>
    <x v="0"/>
    <n v="1.090000000000032"/>
  </r>
  <r>
    <n v="822.4851528815203"/>
    <n v="520.0722661917077"/>
    <n v="-302.4128866898125"/>
    <n v="4.8"/>
    <m/>
    <n v="520.0722661917077"/>
    <n v="317.6011784"/>
    <n v="122.1951528815201"/>
    <m/>
    <n v="118.62"/>
    <n v="175.9871133101874"/>
    <n v="207.04"/>
    <n v="7"/>
    <n v="5.049999999999955"/>
    <n v="6.539999999999964"/>
    <n v="0"/>
    <n v="34.13"/>
    <n v="39.07"/>
    <n v="110.81"/>
    <n v="0.06500903327396347"/>
    <x v="66"/>
    <s v="21:42:20"/>
    <n v="-0.5814824330169873"/>
    <n v="-0.2769732472296482"/>
    <x v="4"/>
    <x v="0"/>
    <n v="0.2500000000001137"/>
  </r>
  <r>
    <n v="822.5351528815203"/>
    <n v="523.0283465844549"/>
    <n v="-299.5068062970654"/>
    <n v="4.8"/>
    <m/>
    <n v="523.0283465844549"/>
    <n v="0"/>
    <n v="122.1951528815201"/>
    <m/>
    <n v="118.7"/>
    <n v="174.1931937029344"/>
    <n v="207.66"/>
    <n v="7"/>
    <n v="5.049999999999955"/>
    <n v="6.539999999999964"/>
    <n v="0"/>
    <n v="33.99"/>
    <n v="39.12"/>
    <n v="114.6"/>
    <n v="0.06537854332305686"/>
    <x v="67"/>
    <s v="21:41:39"/>
    <n v="-0.5726397206823344"/>
    <n v="2.906080392747128"/>
    <x v="4"/>
    <x v="0"/>
    <n v="0.04999999999995453"/>
  </r>
  <r>
    <n v="822.5351528815203"/>
    <n v="533.0283465844549"/>
    <n v="-289.5068062970654"/>
    <n v="4.8"/>
    <m/>
    <n v="533.0283465844549"/>
    <n v="315.9516476"/>
    <n v="122.1951528815201"/>
    <m/>
    <n v="118.7"/>
    <n v="174.1931937029344"/>
    <n v="207.66"/>
    <n v="7"/>
    <n v="5.049999999999955"/>
    <n v="6.539999999999964"/>
    <n v="0"/>
    <n v="33.99"/>
    <n v="39.12"/>
    <n v="114.6"/>
    <n v="0.06662854332305686"/>
    <x v="68"/>
    <s v="15:55:18"/>
    <n v="-0.5431358541289041"/>
    <n v="10"/>
    <x v="4"/>
    <x v="0"/>
    <n v="0"/>
  </r>
  <r>
    <n v="856.1493361445469"/>
    <n v="566.6425298474815"/>
    <n v="-289.5068062970654"/>
    <n v="4.8"/>
    <m/>
    <n v="566.6425298474815"/>
    <n v="315.9516476"/>
    <n v="155.8093361445468"/>
    <m/>
    <n v="118.7"/>
    <n v="174.1931937029344"/>
    <n v="207.66"/>
    <n v="7"/>
    <n v="5.049999999999955"/>
    <n v="6.539999999999964"/>
    <n v="0"/>
    <n v="33.99"/>
    <n v="39.12"/>
    <n v="114.6"/>
    <n v="0.07083031623093518"/>
    <x v="68"/>
    <s v="16:07:08"/>
    <n v="-0.5109161262127457"/>
    <n v="0"/>
    <x v="4"/>
    <x v="0"/>
    <n v="33.61418326302658"/>
  </r>
  <r>
    <n v="856.1493361445469"/>
    <n v="565.778696279289"/>
    <n v="-290.3706398652579"/>
    <n v="4.8"/>
    <m/>
    <n v="565.778696279289"/>
    <n v="315.9516476"/>
    <n v="155.8093361445468"/>
    <m/>
    <n v="119.76"/>
    <n v="170.479360134742"/>
    <n v="208.6900000000001"/>
    <n v="7"/>
    <n v="5.049999999999955"/>
    <n v="6.539999999999964"/>
    <n v="0"/>
    <n v="34.13"/>
    <n v="39.12"/>
    <n v="114.6"/>
    <n v="0.07072233703491113"/>
    <x v="69"/>
    <s v="09:52:07"/>
    <n v="-0.5132230000436785"/>
    <n v="-0.86383356819249"/>
    <x v="4"/>
    <x v="0"/>
    <n v="0"/>
  </r>
  <r>
    <n v="856.3693361445469"/>
    <n v="565.8467075719157"/>
    <n v="-290.5226285726312"/>
    <n v="4.8"/>
    <m/>
    <n v="565.8467075719157"/>
    <n v="315.9516476"/>
    <n v="155.8093361445468"/>
    <m/>
    <n v="119.76"/>
    <n v="170.2273714273687"/>
    <n v="208.6900000000001"/>
    <n v="7"/>
    <n v="5.049999999999955"/>
    <n v="6.539999999999964"/>
    <n v="0"/>
    <n v="34.13"/>
    <n v="39.34"/>
    <n v="114.48"/>
    <n v="0.07073083844648946"/>
    <x v="69"/>
    <s v="09:57:06"/>
    <n v="-0.5134299178293046"/>
    <n v="-0.1519887073733344"/>
    <x v="4"/>
    <x v="0"/>
    <n v="0.2200000000000273"/>
  </r>
  <r>
    <n v="856.3693361445469"/>
    <n v="568.9366995057537"/>
    <n v="-287.4326366387931"/>
    <n v="4.8"/>
    <m/>
    <n v="568.9366995057537"/>
    <n v="315.9516476"/>
    <n v="155.8093361445468"/>
    <m/>
    <n v="120.53"/>
    <n v="170.4073633612068"/>
    <n v="209.61"/>
    <n v="7"/>
    <n v="5.049999999999955"/>
    <n v="6.539999999999964"/>
    <n v="0"/>
    <n v="34.49"/>
    <n v="39.34"/>
    <n v="114.48"/>
    <n v="0.07111708743821922"/>
    <x v="69"/>
    <s v="21:48:55"/>
    <n v="-0.5052102226635957"/>
    <n v="3.089991933838121"/>
    <x v="4"/>
    <x v="0"/>
    <n v="0"/>
  </r>
  <r>
    <n v="856.7893361445468"/>
    <n v="567.7966914395918"/>
    <n v="-288.9926447049551"/>
    <n v="4.8"/>
    <m/>
    <n v="567.7966914395918"/>
    <n v="315.9516476"/>
    <n v="155.8093361445468"/>
    <m/>
    <n v="120.89"/>
    <n v="170.5873552950447"/>
    <n v="210.49"/>
    <n v="7"/>
    <n v="5.049999999999955"/>
    <n v="6.539999999999964"/>
    <n v="0"/>
    <n v="34.70999999999999"/>
    <n v="39.76000000000001"/>
    <n v="110.62"/>
    <n v="0.07097458642994897"/>
    <x v="70"/>
    <s v="18:50:02"/>
    <n v="-0.5089720476747464"/>
    <n v="-1.560008066162027"/>
    <x v="4"/>
    <x v="0"/>
    <n v="0.4199999999999591"/>
  </r>
  <r>
    <n v="856.7893361445468"/>
    <n v="527.1027355346102"/>
    <n v="-329.6866006099366"/>
    <n v="4.8"/>
    <m/>
    <n v="527.1027355346102"/>
    <s v="-"/>
    <n v="155.8093361445468"/>
    <m/>
    <n v="120.87"/>
    <n v="169.6033993900633"/>
    <n v="210.75"/>
    <n v="7"/>
    <n v="5.049999999999955"/>
    <n v="6.539999999999964"/>
    <n v="0"/>
    <n v="34.67"/>
    <n v="39.76000000000001"/>
    <n v="110.62"/>
    <n v="0.06588784194182629"/>
    <x v="71"/>
    <s v="21:26:50"/>
    <n v="-0.6254693409541012"/>
    <n v="-40.69395590498146"/>
    <x v="4"/>
    <x v="0"/>
    <n v="0"/>
  </r>
  <r>
    <n v="856.7893361445468"/>
    <n v="390.841780839553"/>
    <n v="-465.9475553049938"/>
    <n v="4.8"/>
    <m/>
    <n v="390.841780839553"/>
    <s v="-"/>
    <n v="155.8093361445469"/>
    <m/>
    <n v="121.29"/>
    <n v="168.592444695006"/>
    <n v="210.33"/>
    <n v="7"/>
    <n v="5.050000000000011"/>
    <n v="6.54000000000002"/>
    <n v="0"/>
    <n v="34.75"/>
    <n v="39.76000000000001"/>
    <n v="110.62"/>
    <n v="0.04885522260494413"/>
    <x v="72"/>
    <s v="21:36:06"/>
    <n v="-1.19216413942263"/>
    <n v="-136.2609546950572"/>
    <x v="4"/>
    <x v="0"/>
    <n v="0"/>
  </r>
  <r>
    <n v="856.7893361445468"/>
    <n v="393.3947309637852"/>
    <n v="-463.3946051807617"/>
    <n v="4.8"/>
    <m/>
    <n v="393.3947309637852"/>
    <s v="-"/>
    <n v="155.8093361445468"/>
    <m/>
    <n v="121.97"/>
    <n v="169.7053948192382"/>
    <n v="210.35"/>
    <n v="7"/>
    <n v="5.050000000000011"/>
    <n v="6.54000000000002"/>
    <n v="0"/>
    <n v="35.38"/>
    <n v="39.76000000000001"/>
    <n v="110.62"/>
    <n v="0.04917434137047315"/>
    <x v="73"/>
    <s v="14:22:09"/>
    <n v="-1.177938006555102"/>
    <n v="2.552950124232098"/>
    <x v="2"/>
    <x v="0"/>
    <n v="0"/>
  </r>
  <r>
    <n v="856.7893361445468"/>
    <n v="396.701612794513"/>
    <n v="-460.0877233500338"/>
    <n v="4.8"/>
    <m/>
    <n v="396.701612794513"/>
    <n v="506.2268994600001"/>
    <n v="155.8093361445468"/>
    <m/>
    <n v="119.6900000000001"/>
    <n v="172.3422766499662"/>
    <n v="209.85"/>
    <n v="7"/>
    <n v="5.050000000000011"/>
    <n v="6.54000000000002"/>
    <n v="0"/>
    <n v="35.61"/>
    <n v="39.76000000000001"/>
    <n v="114.03"/>
    <n v="0.04958770159931412"/>
    <x v="74"/>
    <s v="23:50:59"/>
    <n v="-1.159782840581377"/>
    <n v="3.306881830727889"/>
    <x v="2"/>
    <x v="0"/>
    <n v="0"/>
  </r>
  <r>
    <n v="856.7893361445468"/>
    <n v="648.3146127945131"/>
    <n v="-208.4747233500338"/>
    <n v="6.306999999999999"/>
    <m/>
    <n v="648.3146127945131"/>
    <n v="506.2268994600001"/>
    <n v="155.8093361445468"/>
    <m/>
    <n v="119.6900000000001"/>
    <n v="172.3422766499662"/>
    <n v="209.8499999999999"/>
    <n v="7"/>
    <n v="5.049999999999955"/>
    <n v="6.539999999999964"/>
    <n v="0"/>
    <n v="35.61"/>
    <n v="39.76000000000001"/>
    <n v="114.03"/>
    <n v="0.08103932659931413"/>
    <x v="75"/>
    <s v="23:54:59"/>
    <n v="-0.3215641283348815"/>
    <n v="251.613"/>
    <x v="2"/>
    <x v="0"/>
    <n v="0"/>
  </r>
  <r>
    <n v="856.7893361445468"/>
    <n v="654.4547243764196"/>
    <n v="-202.3346117681273"/>
    <n v="6.306999999999999"/>
    <m/>
    <n v="654.4547243764196"/>
    <n v="506.2268994600001"/>
    <n v="155.8093361445468"/>
    <m/>
    <n v="127.63"/>
    <n v="169.8523882318726"/>
    <n v="210.41"/>
    <n v="7"/>
    <n v="5.049999999999955"/>
    <n v="6.539999999999964"/>
    <n v="0"/>
    <n v="35.29"/>
    <n v="39.76000000000001"/>
    <n v="113.32"/>
    <n v="0.08180684054705245"/>
    <x v="76"/>
    <s v="23:27:14"/>
    <n v="-0.3091651786315954"/>
    <n v="6.140111581906496"/>
    <x v="2"/>
    <x v="0"/>
    <n v="0"/>
  </r>
  <r>
    <n v="909.4893361445469"/>
    <n v="704.8097479027251"/>
    <n v="-204.6795882418217"/>
    <n v="6.306999999999999"/>
    <m/>
    <n v="704.8097479027251"/>
    <n v="506.2268994600001"/>
    <n v="155.8093361445468"/>
    <m/>
    <n v="181.5400000000001"/>
    <n v="169.3274117581782"/>
    <n v="210.95"/>
    <n v="7"/>
    <n v="5.049999999999955"/>
    <n v="6.539999999999964"/>
    <n v="0"/>
    <n v="35.2"/>
    <n v="39.76000000000001"/>
    <n v="109.41"/>
    <n v="0.08810121848784064"/>
    <x v="77"/>
    <s v="23:33:05"/>
    <n v="-0.2904040258394252"/>
    <n v="-2.344976473694402"/>
    <x v="2"/>
    <x v="0"/>
    <n v="52.70000000000005"/>
  </r>
  <r>
    <n v="953.0722286065052"/>
    <n v="748.4726403646835"/>
    <n v="-204.5995882418217"/>
    <n v="6.306999999999999"/>
    <m/>
    <n v="748.4726403646835"/>
    <s v="-"/>
    <n v="199.3922286065051"/>
    <m/>
    <n v="181.54"/>
    <n v="169.3274117581782"/>
    <n v="210.95"/>
    <n v="7"/>
    <n v="5.049999999999955"/>
    <n v="6.539999999999964"/>
    <n v="0"/>
    <n v="35.2"/>
    <n v="39.76000000000001"/>
    <n v="109.41"/>
    <n v="0.09355908004558543"/>
    <x v="77"/>
    <s v="23:44:03"/>
    <n v="-0.2733561351583048"/>
    <n v="0.08000000000001251"/>
    <x v="2"/>
    <x v="0"/>
    <n v="43.58289246195829"/>
  </r>
  <r>
    <n v="953.0722286065052"/>
    <n v="748.4726403646835"/>
    <n v="-204.5995882418217"/>
    <n v="6.306999999999999"/>
    <m/>
    <n v="748.4726403646835"/>
    <s v="-"/>
    <n v="199.3922286065051"/>
    <m/>
    <n v="181.54"/>
    <n v="169.3274117581782"/>
    <n v="210.95"/>
    <n v="7"/>
    <n v="5.049999999999955"/>
    <n v="6.539999999999964"/>
    <n v="0"/>
    <n v="35.2"/>
    <n v="39.76000000000001"/>
    <n v="109.41"/>
    <n v="0.09355908004558543"/>
    <x v="78"/>
    <s v="10:42:43"/>
    <n v="-0.2733561351583048"/>
    <n v="0"/>
    <x v="2"/>
    <x v="0"/>
    <n v="0"/>
  </r>
  <r>
    <n v="953.0722286065052"/>
    <n v="751.4846062179314"/>
    <n v="-201.5876223885738"/>
    <n v="6.306999999999999"/>
    <m/>
    <n v="751.4846062179314"/>
    <s v="-"/>
    <n v="199.3922286065051"/>
    <m/>
    <n v="183.36"/>
    <n v="170.0893776114261"/>
    <n v="210.75"/>
    <n v="7"/>
    <n v="5.049999999999955"/>
    <n v="6.539999999999964"/>
    <n v="0"/>
    <n v="36.12"/>
    <n v="39.76000000000001"/>
    <n v="109.41"/>
    <n v="0.09393557577724143"/>
    <x v="79"/>
    <s v="22:07:40"/>
    <n v="-0.2682524974172434"/>
    <n v="3.011965853247887"/>
    <x v="2"/>
    <x v="0"/>
    <n v="0"/>
  </r>
  <r>
    <n v="953.0722286065052"/>
    <n v="750.5456899715792"/>
    <n v="-202.5265386349259"/>
    <n v="6.306999999999999"/>
    <m/>
    <n v="750.5456899715792"/>
    <s v="-"/>
    <n v="199.392228606505"/>
    <m/>
    <n v="186.92"/>
    <n v="168.220461365074"/>
    <n v="210.48"/>
    <n v="7"/>
    <n v="5.049999999999955"/>
    <n v="6.539999999999964"/>
    <n v="0"/>
    <n v="35.86"/>
    <n v="39.76000000000001"/>
    <n v="106.75"/>
    <n v="0.0938182112464474"/>
    <x v="80"/>
    <s v="23:24:48"/>
    <n v="-0.2698390535592776"/>
    <n v="-0.9389162463521075"/>
    <x v="2"/>
    <x v="0"/>
    <n v="0"/>
  </r>
  <r>
    <n v="954.2522286065051"/>
    <n v="754.3885903544796"/>
    <n v="-199.8636382520255"/>
    <n v="6.306999999999999"/>
    <m/>
    <n v="754.3885903544796"/>
    <s v="-"/>
    <n v="199.392228606505"/>
    <m/>
    <n v="185.89"/>
    <n v="170.4433617479743"/>
    <n v="212.41"/>
    <n v="7"/>
    <n v="6.230000000000018"/>
    <n v="6.539999999999964"/>
    <n v="0"/>
    <n v="36.48"/>
    <n v="39.76000000000001"/>
    <n v="104.1"/>
    <n v="0.09429857379430995"/>
    <x v="81"/>
    <s v="22:39:34"/>
    <n v="-0.2649345984383348"/>
    <n v="2.662900382900403"/>
    <x v="2"/>
    <x v="0"/>
    <n v="1.17999999999995"/>
  </r>
  <r>
    <n v="954.2522286065051"/>
    <n v="756.8726161661978"/>
    <n v="-197.3796124403074"/>
    <n v="6.306999999999999"/>
    <m/>
    <n v="756.8726161661978"/>
    <s v="-"/>
    <n v="199.3922286065051"/>
    <m/>
    <n v="185.9"/>
    <n v="169.8673875596925"/>
    <n v="213.62"/>
    <n v="7"/>
    <n v="6.230000000000018"/>
    <n v="6.539999999999964"/>
    <n v="0"/>
    <n v="36.59"/>
    <n v="39.76000000000001"/>
    <n v="105.81"/>
    <n v="0.09460907702077472"/>
    <x v="82"/>
    <s v="21:12:33"/>
    <n v="-0.2607831334156313"/>
    <n v="2.484025811718112"/>
    <x v="2"/>
    <x v="0"/>
    <n v="0"/>
  </r>
  <r>
    <n v="954.2522286065051"/>
    <n v="524.7226161661976"/>
    <n v="-429.5296124403076"/>
    <n v="6.306999999999999"/>
    <m/>
    <n v="524.7226161661976"/>
    <n v="500.0006943633334"/>
    <n v="199.3922286065051"/>
    <m/>
    <n v="185.9"/>
    <n v="169.8673875596925"/>
    <n v="213.62"/>
    <n v="7"/>
    <n v="6.230000000000018"/>
    <n v="6.539999999999964"/>
    <n v="0"/>
    <n v="36.59"/>
    <n v="39.76000000000001"/>
    <n v="105.81"/>
    <n v="0.06559032702077469"/>
    <x v="82"/>
    <s v="21:32:01"/>
    <n v="-0.8185841418054314"/>
    <n v="-232.1500000000002"/>
    <x v="2"/>
    <x v="0"/>
    <n v="0"/>
  </r>
  <r>
    <n v="954.2522286065051"/>
    <n v="527.48560930996"/>
    <n v="-426.7666192965452"/>
    <n v="6.306999999999999"/>
    <m/>
    <n v="527.48560930996"/>
    <n v="500.0006943633334"/>
    <n v="199.3922286065051"/>
    <m/>
    <n v="187.39"/>
    <n v="170.0203807034549"/>
    <n v="214.34"/>
    <n v="7"/>
    <n v="6.230000000000018"/>
    <n v="6.539999999999964"/>
    <n v="0"/>
    <n v="36.73999999999999"/>
    <n v="39.76000000000001"/>
    <n v="105.81"/>
    <n v="0.06593570116374499"/>
    <x v="83"/>
    <s v="21:44:20"/>
    <n v="-0.8090583169744248"/>
    <n v="2.762993143762401"/>
    <x v="2"/>
    <x v="0"/>
    <n v="0"/>
  </r>
  <r>
    <n v="984.562303669437"/>
    <n v="807.3807092435578"/>
    <n v="-177.1815944258792"/>
    <n v="6.306999999999999"/>
    <m/>
    <n v="807.3807092435578"/>
    <n v="500.0006943633334"/>
    <n v="228.9723036694371"/>
    <m/>
    <n v="184.67"/>
    <n v="169.4654055741207"/>
    <n v="214.47"/>
    <n v="7"/>
    <n v="6.960000000000036"/>
    <n v="6.539999999999964"/>
    <n v="0"/>
    <n v="36.3"/>
    <n v="39.76000000000001"/>
    <n v="108.33"/>
    <n v="0.1009225886554447"/>
    <x v="84"/>
    <s v="10:21:07"/>
    <n v="-0.2194523505421404"/>
    <n v="249.585024870666"/>
    <x v="2"/>
    <x v="0"/>
    <n v="30.3100750629319"/>
  </r>
  <r>
    <n v="984.562303669437"/>
    <n v="809.7067130077667"/>
    <n v="-174.8555906616704"/>
    <n v="6.306999999999999"/>
    <m/>
    <n v="809.7067130077667"/>
    <n v="500.0006943633334"/>
    <n v="228.972303669437"/>
    <m/>
    <n v="184.4300000000001"/>
    <n v="169.3814093383296"/>
    <n v="216.8599999999999"/>
    <n v="7"/>
    <n v="6.960000000000036"/>
    <n v="6.539999999999964"/>
    <n v="0"/>
    <n v="36.19"/>
    <n v="39.76000000000001"/>
    <n v="108.33"/>
    <n v="0.1012133391259708"/>
    <x v="85"/>
    <s v="08:18:01"/>
    <n v="-0.2159492910860839"/>
    <n v="2.326003764208821"/>
    <x v="2"/>
    <x v="0"/>
    <n v="0"/>
  </r>
  <r>
    <n v="994.8097736759404"/>
    <n v="820.07418301427"/>
    <n v="-174.7355906616704"/>
    <n v="6.306999999999999"/>
    <m/>
    <n v="820.07418301427"/>
    <n v="500.0006943633334"/>
    <n v="239.2197736759402"/>
    <m/>
    <n v="184.4299999999999"/>
    <n v="169.3814093383297"/>
    <n v="216.86"/>
    <n v="7"/>
    <n v="6.960000000000036"/>
    <n v="6.539999999999964"/>
    <n v="0"/>
    <n v="36.19"/>
    <n v="39.76000000000001"/>
    <n v="108.33"/>
    <n v="0.1025092728767838"/>
    <x v="86"/>
    <s v="20:49:35"/>
    <n v="-0.2130729076477095"/>
    <n v="0.1200000000000045"/>
    <x v="2"/>
    <x v="0"/>
    <n v="10.24747000650336"/>
  </r>
  <r>
    <n v="994.8097736759404"/>
    <n v="850.07418301427"/>
    <n v="-144.7355906616704"/>
    <n v="6.306999999999999"/>
    <m/>
    <n v="850.07418301427"/>
    <n v="220.0003471816667"/>
    <n v="239.2197736759402"/>
    <m/>
    <n v="184.4299999999999"/>
    <n v="169.3814093383297"/>
    <n v="216.86"/>
    <n v="7"/>
    <n v="6.960000000000036"/>
    <n v="6.539999999999964"/>
    <n v="0"/>
    <n v="36.19"/>
    <n v="39.76000000000001"/>
    <n v="108.33"/>
    <n v="0.1062592728767838"/>
    <x v="86"/>
    <s v="22:47:07"/>
    <n v="-0.170262305988936"/>
    <n v="30"/>
    <x v="2"/>
    <x v="0"/>
    <n v="0"/>
  </r>
  <r>
    <n v="1054.809773675941"/>
    <n v="907.5"/>
    <n v="-147.31"/>
    <n v="6.306999999999999"/>
    <m/>
    <n v="850.0741830142701"/>
    <n v="220.0003471816667"/>
    <n v="239.2197736759404"/>
    <m/>
    <n v="184.4300000000001"/>
    <n v="226.8"/>
    <n v="216.8599999999999"/>
    <n v="7"/>
    <n v="6.960000000000036"/>
    <n v="6.539999999999964"/>
    <n v="0"/>
    <n v="36.19"/>
    <n v="39.76000000000001"/>
    <n v="108.33"/>
    <n v="0.1134375"/>
    <x v="86"/>
    <s v="23:03:14"/>
    <n v="-0.1623250688705234"/>
    <n v="-2.574409338329616"/>
    <x v="2"/>
    <x v="0"/>
    <n v="60.00000000000057"/>
  </r>
  <r>
    <n v="1060.229064931454"/>
    <n v="916.6153066069295"/>
    <n v="-143.6137583245242"/>
    <n v="6.306999999999999"/>
    <m/>
    <n v="916.6153066069295"/>
    <n v="220.0003471816667"/>
    <n v="244.6390649314536"/>
    <m/>
    <n v="184.0200000000001"/>
    <n v="227.0332416754758"/>
    <n v="217.0600000000001"/>
    <n v="7"/>
    <n v="6.960000000000036"/>
    <n v="6.539999999999964"/>
    <n v="0"/>
    <n v="36.36"/>
    <n v="39.76000000000001"/>
    <n v="111.7"/>
    <n v="0.1145769133258662"/>
    <x v="87"/>
    <s v="10:01:21"/>
    <n v="-0.1566783330906232"/>
    <n v="3.69624167547579"/>
    <x v="2"/>
    <x v="0"/>
    <n v="5.419291255513144"/>
  </r>
  <r>
    <n v="1060.229064931454"/>
    <n v="798.1595805967255"/>
    <n v="-262.0694843347281"/>
    <n v="6.306999999999999"/>
    <m/>
    <n v="798.1595805967255"/>
    <n v="359.9983375133333"/>
    <n v="244.6390649314536"/>
    <m/>
    <n v="184.78"/>
    <n v="228.5275156652718"/>
    <n v="216.25"/>
    <n v="7"/>
    <n v="6.960000000000036"/>
    <n v="6.539999999999964"/>
    <n v="0"/>
    <n v="36.73"/>
    <n v="39.76000000000001"/>
    <n v="111.7"/>
    <n v="0.09976994757459069"/>
    <x v="88"/>
    <s v="23:14:02"/>
    <n v="-0.3283422146468478"/>
    <n v="-118.4557260102039"/>
    <x v="2"/>
    <x v="0"/>
    <n v="0"/>
  </r>
  <r>
    <n v="1060.229064931454"/>
    <n v="518.1323901437963"/>
    <n v="-542.0966747876573"/>
    <n v="6.306999999999999"/>
    <m/>
    <n v="518.1323901437963"/>
    <n v="716.4035933333333"/>
    <n v="244.6390649314535"/>
    <m/>
    <n v="183.15"/>
    <n v="228.7203252123425"/>
    <n v="213.41"/>
    <n v="7"/>
    <n v="6.960000000000036"/>
    <n v="6.539999999999964"/>
    <n v="0"/>
    <n v="36.69"/>
    <n v="39.76000000000001"/>
    <n v="111.7"/>
    <n v="0.06476654876797454"/>
    <x v="89"/>
    <s v="10:12:44"/>
    <n v="-1.04625127689317"/>
    <n v="-280.0271904529292"/>
    <x v="5"/>
    <x v="0"/>
    <n v="0"/>
  </r>
  <r>
    <n v="1060.229064931454"/>
    <n v="518.1323901437963"/>
    <n v="-542.0966747876573"/>
    <n v="6.306999999999999"/>
    <m/>
    <n v="518.1323901437963"/>
    <n v="716.4035933333333"/>
    <n v="244.6390649314535"/>
    <m/>
    <n v="183.15"/>
    <n v="228.7203252123425"/>
    <n v="213.41"/>
    <n v="7"/>
    <n v="6.960000000000036"/>
    <n v="6.539999999999964"/>
    <n v="0"/>
    <n v="36.69"/>
    <n v="39.76000000000001"/>
    <n v="111.7"/>
    <n v="0.06476654876797454"/>
    <x v="90"/>
    <s v="06:33:09"/>
    <n v="-1.04625127689317"/>
    <n v="0"/>
    <x v="5"/>
    <x v="0"/>
    <n v="0"/>
  </r>
  <r>
    <n v="1060.229064931454"/>
    <n v="513.0544900577471"/>
    <n v="-547.1745748737065"/>
    <n v="6.306999999999999"/>
    <m/>
    <n v="513.0544900577471"/>
    <n v="716.4035933333333"/>
    <n v="244.6390649314535"/>
    <m/>
    <n v="180.77"/>
    <n v="226.3624251262931"/>
    <n v="212.88"/>
    <n v="7"/>
    <n v="6.960000000000036"/>
    <n v="6.539999999999964"/>
    <n v="0"/>
    <n v="36.67"/>
    <n v="39.76000000000001"/>
    <n v="111.7"/>
    <n v="0.06413181125721838"/>
    <x v="90"/>
    <s v="06:34:48"/>
    <n v="-1.066503822648778"/>
    <n v="-5.077900086049226"/>
    <x v="5"/>
    <x v="0"/>
    <n v="0"/>
  </r>
  <r>
    <n v="1060.229064931454"/>
    <n v="508.6346813016298"/>
    <n v="-551.5943836298238"/>
    <n v="6.306999999999999"/>
    <m/>
    <n v="508.6346813016298"/>
    <n v="716.4035933333333"/>
    <n v="244.6390649314535"/>
    <m/>
    <n v="179.04"/>
    <n v="224.5026163701759"/>
    <n v="212.8199999999999"/>
    <n v="7"/>
    <n v="6.960000000000036"/>
    <n v="6.539999999999964"/>
    <n v="0"/>
    <n v="36.24"/>
    <n v="39.76000000000001"/>
    <n v="111.7"/>
    <n v="0.06357933516270373"/>
    <x v="91"/>
    <s v="06:32:55"/>
    <n v="-1.084460820127832"/>
    <n v="-4.419808756117277"/>
    <x v="5"/>
    <x v="0"/>
    <n v="0"/>
  </r>
  <r>
    <n v="1057.699064931453"/>
    <n v="1054.077571035747"/>
    <n v="-3.621493895706215"/>
    <n v="6.306999999999999"/>
    <m/>
    <n v="1054.077571035747"/>
    <n v="716.4035933333333"/>
    <n v="244.6390649314535"/>
    <m/>
    <n v="173.6900000000001"/>
    <n v="223.2855061042935"/>
    <n v="212.9300000000001"/>
    <n v="15.19000000000005"/>
    <n v="6.960000000000036"/>
    <n v="0"/>
    <n v="0"/>
    <n v="36.39"/>
    <n v="42.02"/>
    <n v="108.06"/>
    <n v="0.1317596963794684"/>
    <x v="92"/>
    <s v="10:19:29"/>
    <n v="-0.003435699606194732"/>
    <n v="547.9728897341176"/>
    <x v="5"/>
    <x v="0"/>
    <n v="-2.53000000000111"/>
  </r>
  <r>
    <n v="1057.699064931453"/>
    <n v="1054.077571035747"/>
    <n v="-3.621493895706215"/>
    <n v="6.306999999999999"/>
    <m/>
    <n v="1054.077571035747"/>
    <n v="716.4035933333333"/>
    <n v="244.6390649314535"/>
    <m/>
    <n v="173.6900000000001"/>
    <n v="223.2855061042935"/>
    <n v="212.9300000000001"/>
    <n v="15.19000000000005"/>
    <n v="6.960000000000036"/>
    <n v="0"/>
    <n v="0"/>
    <n v="36.39"/>
    <n v="42.02"/>
    <n v="108.06"/>
    <n v="0.1317596963794684"/>
    <x v="93"/>
    <s v="10:25:25"/>
    <n v="-0.003435699606194732"/>
    <n v="0"/>
    <x v="5"/>
    <x v="0"/>
    <n v="0"/>
  </r>
  <r>
    <n v="1117.699064931453"/>
    <n v="1102.54879382035"/>
    <n v="-15.15027111110326"/>
    <n v="7.968"/>
    <m/>
    <n v="1102.54879382035"/>
    <n v="716.4035933333333"/>
    <n v="244.6390649314535"/>
    <m/>
    <n v="172.3099999999999"/>
    <n v="277.9077288888966"/>
    <n v="210.72"/>
    <n v="15.19000000000005"/>
    <n v="6.960000000000036"/>
    <n v="0"/>
    <n v="0"/>
    <e v="#REF!"/>
    <n v="42.02"/>
    <n v="108.06"/>
    <n v="0.1378185992275437"/>
    <x v="94"/>
    <s v="21:23:15"/>
    <n v="-0.01374113435706307"/>
    <n v="-11.52877721539705"/>
    <x v="5"/>
    <x v="0"/>
    <n v="60"/>
  </r>
  <r>
    <n v="1117.699064931453"/>
    <n v="1102.54879382035"/>
    <n v="-15.15027111110326"/>
    <n v="7.968"/>
    <m/>
    <n v="1102.54879382035"/>
    <n v="716.4035933333333"/>
    <n v="244.6390649314535"/>
    <m/>
    <n v="172.3099999999999"/>
    <n v="277.9077288888966"/>
    <n v="210.72"/>
    <n v="15.19000000000005"/>
    <n v="6.960000000000036"/>
    <n v="0"/>
    <n v="0"/>
    <e v="#REF!"/>
    <n v="42.02"/>
    <n v="108.06"/>
    <n v="0.1378185992275437"/>
    <x v="94"/>
    <s v="23:34:05"/>
    <n v="-0.01374113435706307"/>
    <n v="0"/>
    <x v="5"/>
    <x v="0"/>
    <n v="0"/>
  </r>
  <r>
    <n v="1129.699064931453"/>
    <n v="1114.54850990035"/>
    <n v="-15.15055503110326"/>
    <n v="7.968"/>
    <m/>
    <n v="1114.54850990035"/>
    <n v="716.4035933333333"/>
    <n v="244.6390649314535"/>
    <m/>
    <n v="172.3099999999999"/>
    <n v="277.9077288888966"/>
    <n v="210.72"/>
    <n v="15.19000000000005"/>
    <n v="6.960000000000036"/>
    <n v="11.99971608"/>
    <n v="0"/>
    <n v="36.31"/>
    <n v="42.02"/>
    <n v="108.06"/>
    <n v="0.1393185637375438"/>
    <x v="94"/>
    <s v="23:42:30"/>
    <n v="-0.0135934460425216"/>
    <n v="-0.0002839199999993269"/>
    <x v="5"/>
    <x v="0"/>
    <n v="12"/>
  </r>
  <r>
    <n v="1129.829064931454"/>
    <n v="1113.66626524035"/>
    <n v="-16.16279969110326"/>
    <n v="7.968"/>
    <m/>
    <n v="1113.66626524035"/>
    <n v="716.4035933333333"/>
    <n v="244.7690649314536"/>
    <m/>
    <n v="172.3099999999999"/>
    <n v="277.9077288888966"/>
    <n v="210.72"/>
    <n v="15.19000000000005"/>
    <n v="6.960000000000036"/>
    <n v="11.99747142"/>
    <n v="0"/>
    <n v="36.31"/>
    <n v="42.02"/>
    <n v="107.11"/>
    <n v="0.1392082831550437"/>
    <x v="94"/>
    <s v="23:48:00"/>
    <n v="-0.01451314473247066"/>
    <n v="-1.01224466"/>
    <x v="5"/>
    <x v="0"/>
    <n v="0.1300000000010186"/>
  </r>
  <r>
    <n v="1129.959064931453"/>
    <n v="593.2899784214703"/>
    <n v="-536.6690865099831"/>
    <n v="7.968"/>
    <m/>
    <n v="593.2899784214703"/>
    <n v="232.3632665866666"/>
    <n v="244.8990649314535"/>
    <m/>
    <n v="174.38"/>
    <n v="278.6826946700168"/>
    <n v="209.9299999999999"/>
    <n v="15.19000000000005"/>
    <n v="6.960000000000036"/>
    <n v="12.02621882"/>
    <n v="0"/>
    <n v="36.51"/>
    <n v="42.02"/>
    <n v="107.11"/>
    <n v="0.07416124730268379"/>
    <x v="95"/>
    <s v="23:48:28"/>
    <n v="-0.9045645570111687"/>
    <n v="-520.5062868188799"/>
    <x v="5"/>
    <x v="0"/>
    <n v="0.1299999999989723"/>
  </r>
  <r>
    <n v="1130.009064931453"/>
    <n v="593.3572567026508"/>
    <n v="-536.6518082288026"/>
    <n v="7.968"/>
    <m/>
    <n v="593.3572567026508"/>
    <n v="232.3632665866666"/>
    <n v="244.8990649314535"/>
    <m/>
    <n v="174.77"/>
    <n v="277.8927295511976"/>
    <n v="210.21"/>
    <n v="15.19000000000005"/>
    <n v="7.009999999999991"/>
    <n v="12.02346222"/>
    <n v="0"/>
    <n v="36.56"/>
    <n v="42.02"/>
    <n v="107.11"/>
    <n v="0.07416965708783135"/>
    <x v="96"/>
    <s v="10:30:50"/>
    <n v="-0.904432872719942"/>
    <n v="0.01727828118055186"/>
    <x v="5"/>
    <x v="0"/>
    <n v="0.04999999999995453"/>
  </r>
  <r>
    <n v="1130.139064931454"/>
    <n v="594.4096492060148"/>
    <n v="-535.7294157254387"/>
    <n v="7.968"/>
    <m/>
    <n v="594.4096492060148"/>
    <n v="232.3632665866666"/>
    <n v="245.0290649314536"/>
    <m/>
    <n v="177.48"/>
    <n v="276.8277765745615"/>
    <n v="210.12"/>
    <n v="15.19000000000005"/>
    <n v="7.009999999999991"/>
    <n v="11.8008077"/>
    <n v="0"/>
    <n v="36.29"/>
    <n v="42.02"/>
    <n v="106.27"/>
    <n v="0.07430120615075185"/>
    <x v="97"/>
    <s v="00:21:44"/>
    <n v="-0.901279810045213"/>
    <n v="0.9223925033638807"/>
    <x v="5"/>
    <x v="0"/>
    <n v="0.1300000000010186"/>
  </r>
  <r>
    <n v="1130.139064931454"/>
    <n v="594.4896197337139"/>
    <n v="-535.6494451977396"/>
    <n v="7.968"/>
    <m/>
    <n v="594.4896197337139"/>
    <n v="232.3632665866666"/>
    <n v="245.0290649314535"/>
    <m/>
    <n v="178.75"/>
    <n v="276.8427759122605"/>
    <n v="209.74"/>
    <n v="15.19000000000005"/>
    <n v="7.009999999999991"/>
    <n v="11.29577889"/>
    <n v="0"/>
    <n v="36.37"/>
    <n v="42.02"/>
    <n v="106.27"/>
    <n v="0.07431120246671423"/>
    <x v="97"/>
    <s v="23:56:07"/>
    <n v="-0.9010240505758028"/>
    <n v="0.07997052769906077"/>
    <x v="5"/>
    <x v="0"/>
    <n v="0"/>
  </r>
  <r>
    <n v="1130.139064931454"/>
    <n v="598.5162810130942"/>
    <n v="-531.6227839183593"/>
    <n v="7.968"/>
    <m/>
    <n v="598.5162810130942"/>
    <n v="232.3632665866666"/>
    <n v="245.0290649314535"/>
    <m/>
    <n v="179.11"/>
    <n v="277.1727613416408"/>
    <n v="212.6199999999999"/>
    <n v="15.19000000000005"/>
    <n v="7.009999999999991"/>
    <n v="11.46245474"/>
    <n v="0"/>
    <n v="36.16"/>
    <n v="42.02"/>
    <n v="106.27"/>
    <n v="0.07481453512663677"/>
    <x v="98"/>
    <s v="17:40:31"/>
    <n v="-0.8882344570785847"/>
    <n v="4.026661279380278"/>
    <x v="5"/>
    <x v="0"/>
    <n v="0"/>
  </r>
  <r>
    <n v="1131.619064931454"/>
    <n v="601.5550803930942"/>
    <n v="-530.0639845383594"/>
    <n v="7.968"/>
    <m/>
    <n v="601.5550803930942"/>
    <n v="232.3632665866666"/>
    <n v="245.0290649314535"/>
    <m/>
    <n v="179.11"/>
    <n v="277.1727613416408"/>
    <n v="212.6199999999999"/>
    <n v="15.19000000000005"/>
    <n v="8.490000000000009"/>
    <n v="11.54125412"/>
    <n v="0"/>
    <n v="36.16"/>
    <n v="42.02"/>
    <n v="106.27"/>
    <n v="0.07519438504913677"/>
    <x v="99"/>
    <s v="14:47:18"/>
    <n v="-0.8811561930322025"/>
    <n v="1.558799379999982"/>
    <x v="5"/>
    <x v="0"/>
    <n v="1.480000000000018"/>
  </r>
  <r>
    <n v="1131.619064931454"/>
    <n v="701.5404347646595"/>
    <n v="-430.0786301667941"/>
    <n v="7.968"/>
    <m/>
    <n v="701.5404347646595"/>
    <e v="#REF!"/>
    <n v="245.0290649314535"/>
    <m/>
    <n v="176.4200000000001"/>
    <n v="275.5328337532061"/>
    <n v="214.0899999999999"/>
    <n v="15.19000000000005"/>
    <n v="8.490000000000009"/>
    <n v="11.56653608"/>
    <n v="0"/>
    <n v="36.5"/>
    <n v="42.02"/>
    <n v="106.27"/>
    <n v="0.08769255434558244"/>
    <x v="100"/>
    <s v="23:53:42"/>
    <n v="-0.6130489546351942"/>
    <n v="99.98535437156528"/>
    <x v="5"/>
    <x v="0"/>
    <n v="0"/>
  </r>
  <r>
    <n v="1131.619064931454"/>
    <n v="550.7645297919796"/>
    <n v="-580.8545351394739"/>
    <n v="7.968"/>
    <m/>
    <n v="550.7645297919796"/>
    <e v="#REF!"/>
    <n v="245.0290649314535"/>
    <m/>
    <n v="182.9300000000001"/>
    <n v="271.3130200805264"/>
    <n v="214.99"/>
    <n v="15.19000000000005"/>
    <n v="8.490000000000009"/>
    <n v="11.61044478"/>
    <n v="0"/>
    <n v="36.64"/>
    <n v="42.02"/>
    <n v="106.27"/>
    <n v="0.06884556622399746"/>
    <x v="101"/>
    <s v="23:40:46"/>
    <n v="-1.05463315758344"/>
    <n v="-150.7759049726798"/>
    <x v="6"/>
    <x v="0"/>
    <n v="0"/>
  </r>
  <r>
    <n v="1131.619064931454"/>
    <n v="851.2459402726292"/>
    <n v="-280.3731246588243"/>
    <n v="7.968"/>
    <m/>
    <n v="851.2459402726292"/>
    <n v="203.421388"/>
    <n v="245.0290649314536"/>
    <m/>
    <n v="184.1600000000001"/>
    <n v="271.0480317811755"/>
    <n v="215.3900000000001"/>
    <n v="15.19000000000005"/>
    <n v="8.490000000000009"/>
    <n v="11.53684356"/>
    <n v="0"/>
    <n v="36.79000000000001"/>
    <n v="42.02"/>
    <n v="106.27"/>
    <n v="0.1064057425340787"/>
    <x v="102"/>
    <s v="21:06:13"/>
    <n v="-0.3293679433807684"/>
    <n v="300.4814104806496"/>
    <x v="6"/>
    <x v="0"/>
    <n v="0"/>
  </r>
  <r>
    <n v="1131.619064931454"/>
    <n v="854.7121401026291"/>
    <n v="-276.9069248288244"/>
    <n v="7.968"/>
    <m/>
    <n v="854.7121401026291"/>
    <n v="203.421388"/>
    <n v="245.0290649314536"/>
    <m/>
    <n v="184.1600000000001"/>
    <n v="271.0480317811755"/>
    <n v="215.3900000000001"/>
    <n v="15.19000000000005"/>
    <n v="8.490000000000009"/>
    <n v="11.53304339"/>
    <n v="0"/>
    <n v="36.79000000000001"/>
    <n v="42.02"/>
    <n v="106.27"/>
    <n v="0.1068390175128286"/>
    <x v="102"/>
    <s v="21:16:49"/>
    <n v="-0.3239768242856302"/>
    <n v="3.46619982999988"/>
    <x v="6"/>
    <x v="0"/>
    <n v="0"/>
  </r>
  <r>
    <n v="1137.649064931453"/>
    <n v="593.3832539564564"/>
    <n v="-544.2658109749971"/>
    <n v="7.968"/>
    <m/>
    <n v="593.3832539564564"/>
    <n v="489.4636328"/>
    <n v="245.0290649314535"/>
    <m/>
    <n v="182.23"/>
    <n v="277.8027335250031"/>
    <n v="215.75"/>
    <n v="21.22000000000003"/>
    <n v="8.490000000000009"/>
    <n v="13.3094555"/>
    <n v="0"/>
    <n v="37.66"/>
    <n v="42.02"/>
    <n v="106.27"/>
    <n v="0.07417290674455705"/>
    <x v="103"/>
    <s v="10:33:01"/>
    <n v="-0.9172247570959196"/>
    <n v="-267.3588861461727"/>
    <x v="6"/>
    <x v="0"/>
    <n v="6.029999999999063"/>
  </r>
  <r>
    <n v="1137.649064931453"/>
    <n v="591.9825391862798"/>
    <n v="-545.6665257451737"/>
    <n v="7.968"/>
    <m/>
    <n v="591.9825391862798"/>
    <e v="#REF!"/>
    <n v="245.0290649314535"/>
    <m/>
    <n v="179.0699999999999"/>
    <n v="277.4127507448264"/>
    <n v="217.24"/>
    <n v="21.22000000000003"/>
    <n v="8.490000000000009"/>
    <n v="13.13872351"/>
    <n v="0"/>
    <n v="37.96"/>
    <n v="42.02"/>
    <n v="106.27"/>
    <n v="0.07399781739828498"/>
    <x v="104"/>
    <s v="01:05:53"/>
    <n v="-0.9217611831849455"/>
    <n v="-1.400714770176592"/>
    <x v="6"/>
    <x v="0"/>
    <n v="0"/>
  </r>
  <r>
    <n v="1137.649064931453"/>
    <n v="183.2348702962931"/>
    <n v="-954.4141946351604"/>
    <n v="7.968"/>
    <m/>
    <n v="183.2348702962931"/>
    <n v="0"/>
    <n v="245.0290649314535"/>
    <m/>
    <n v="184.67"/>
    <n v="265.5482746248396"/>
    <n v="214.9399999999999"/>
    <n v="21.22"/>
    <n v="8.490000000000009"/>
    <n v="13.04553074"/>
    <n v="0"/>
    <n v="38.63"/>
    <n v="42.02"/>
    <n v="106.27"/>
    <n v="0.02290435878703664"/>
    <x v="105"/>
    <s v="21:34:52"/>
    <n v="-5.208693045662436"/>
    <n v="-408.7476688899867"/>
    <x v="7"/>
    <x v="0"/>
    <n v="0"/>
  </r>
  <r>
    <n v="1137.649064931453"/>
    <n v="196.8051776959969"/>
    <n v="-940.8438872354566"/>
    <n v="7.968"/>
    <m/>
    <n v="196.8051776959969"/>
    <n v="0"/>
    <n v="245.0290649314535"/>
    <m/>
    <n v="198.31"/>
    <n v="266.5932284845434"/>
    <n v="215.4699999999999"/>
    <n v="21.22"/>
    <n v="8.490000000000009"/>
    <n v="11.01088428"/>
    <n v="0"/>
    <n v="38.77"/>
    <n v="42.02"/>
    <n v="106.27"/>
    <n v="0.02460064721199961"/>
    <x v="106"/>
    <s v="17:03:40"/>
    <n v="-4.780585034651727"/>
    <n v="13.57030739970378"/>
    <x v="8"/>
    <x v="0"/>
    <n v="0"/>
  </r>
  <r>
    <n v="1137.649064931453"/>
    <n v="284.2003657759967"/>
    <n v="-853.4486991554568"/>
    <n v="7.968"/>
    <m/>
    <n v="284.2003657759967"/>
    <n v="0"/>
    <n v="245.0290649314535"/>
    <m/>
    <n v="198.31"/>
    <n v="266.5932284845434"/>
    <n v="215.4699999999999"/>
    <n v="21.22000000000003"/>
    <n v="8.490000000000009"/>
    <n v="10.97607236"/>
    <n v="0"/>
    <n v="38.77"/>
    <n v="42.02"/>
    <n v="106.27"/>
    <n v="0.03552504572199959"/>
    <x v="106"/>
    <s v="17:20:30"/>
    <n v="-3.002982409347547"/>
    <n v="87.3951880799998"/>
    <x v="8"/>
    <x v="0"/>
    <n v="0"/>
  </r>
  <r>
    <n v="1244.605066841197"/>
    <n v="393.8689423526151"/>
    <n v="-850.7361244885816"/>
    <n v="7.968"/>
    <m/>
    <n v="393.8689423526151"/>
    <e v="#REF!"/>
    <n v="351.9850668411966"/>
    <m/>
    <n v="202.3100000000001"/>
    <n v="264.7883081814185"/>
    <n v="214.9399999999999"/>
    <n v="21.22000000000003"/>
    <n v="8.490000000000009"/>
    <n v="10.64356733"/>
    <n v="0"/>
    <n v="39.11"/>
    <n v="42.02"/>
    <n v="106.27"/>
    <n v="0.04923361779407689"/>
    <x v="107"/>
    <s v="10:24:17"/>
    <n v="-2.159947213423473"/>
    <n v="2.712574666875184"/>
    <x v="8"/>
    <x v="0"/>
    <n v="106.9560019097439"/>
  </r>
  <r>
    <n v="1246.075066841197"/>
    <n v="407.699462175852"/>
    <n v="-838.3756046653446"/>
    <n v="7.968"/>
    <m/>
    <n v="407.699462175852"/>
    <n v="1292.54216448"/>
    <n v="353.4550668411966"/>
    <m/>
    <n v="201.33"/>
    <n v="271.9379924846555"/>
    <n v="213.9"/>
    <n v="21.22000000000003"/>
    <n v="8.490000000000009"/>
    <n v="9.58440285"/>
    <n v="0"/>
    <n v="40.33"/>
    <n v="42.02"/>
    <n v="106.27"/>
    <n v="0.05096243277198149"/>
    <x v="108"/>
    <s v="21:52:13"/>
    <n v="-2.056356906116619"/>
    <n v="12.36051982323704"/>
    <x v="9"/>
    <x v="0"/>
    <n v="1.470000000000027"/>
  </r>
  <r>
    <n v="1246.075066841197"/>
    <n v="996.4976787658521"/>
    <n v="-249.5773880753444"/>
    <n v="7.968"/>
    <m/>
    <n v="376.3570668411966"/>
    <e v="#REF!"/>
    <n v="353.4550668411965"/>
    <m/>
    <n v="201.33"/>
    <n v="271.9379924846554"/>
    <n v="213.9"/>
    <n v="21.22000000000003"/>
    <n v="8.490000000000009"/>
    <n v="9.584619439999999"/>
    <n v="0"/>
    <n v="40.33"/>
    <n v="42.02"/>
    <n v="106.27"/>
    <n v="0.1245622098457315"/>
    <x v="108"/>
    <s v="22:14:44"/>
    <n v="-0.250454560400424"/>
    <n v="588.7982165900002"/>
    <x v="9"/>
    <x v="0"/>
    <n v="0"/>
  </r>
  <r>
    <n v="1246.075066841197"/>
    <n v="996.4442204158521"/>
    <n v="-249.6308464253444"/>
    <n v="7.968"/>
    <m/>
    <n v="376.3570668411966"/>
    <e v="#REF!"/>
    <n v="353.4550668411968"/>
    <m/>
    <n v="201.33"/>
    <n v="271.9379924846554"/>
    <n v="213.9"/>
    <n v="21.22000000000003"/>
    <n v="8.490000000000009"/>
    <n v="9.531161089999999"/>
    <n v="0"/>
    <n v="40.33"/>
    <n v="42.02"/>
    <n v="106.27"/>
    <n v="0.1245555275519815"/>
    <x v="109"/>
    <s v="10:47:51"/>
    <n v="-0.2505216461802192"/>
    <n v="-0.05345834999999965"/>
    <x v="9"/>
    <x v="0"/>
    <n v="0"/>
  </r>
  <r>
    <n v="1246.075066841197"/>
    <n v="996.4442204158521"/>
    <n v="-249.6308464253444"/>
    <n v="7.968"/>
    <m/>
    <n v="376.3570668411966"/>
    <e v="#REF!"/>
    <n v="353.4550668411968"/>
    <m/>
    <n v="201.33"/>
    <n v="271.9379924846554"/>
    <n v="213.9"/>
    <n v="21.22000000000003"/>
    <n v="8.490000000000009"/>
    <n v="9.531161089999999"/>
    <n v="0"/>
    <n v="40.33"/>
    <n v="42.02"/>
    <n v="106.27"/>
    <n v="0.1245555275519815"/>
    <x v="109"/>
    <s v="10:49:31"/>
    <n v="-0.2505216461802192"/>
    <n v="0"/>
    <x v="9"/>
    <x v="0"/>
    <n v="0"/>
  </r>
  <r>
    <n v="1224.083276786147"/>
    <n v="382.0352767861473"/>
    <n v="-842.0479999999995"/>
    <m/>
    <m/>
    <m/>
    <m/>
    <n v="361.173276786147"/>
    <m/>
    <n v="201.33"/>
    <n v="271.9379924846555"/>
    <n v="213.9"/>
    <m/>
    <m/>
    <n v="9.68509751"/>
    <m/>
    <n v="40.33"/>
    <n v="43.67"/>
    <n v="106.27"/>
    <n v="0.04775440959826841"/>
    <x v="110"/>
    <m/>
    <n v="-2.204110591785362"/>
    <n v="-592.4171535746551"/>
    <x v="9"/>
    <x v="0"/>
    <n v="-21.99179005504993"/>
  </r>
  <r>
    <n v="1224.083276786147"/>
    <n v="382.0352767861473"/>
    <n v="-842.0479999999995"/>
    <m/>
    <m/>
    <m/>
    <m/>
    <n v="361.173276786147"/>
    <m/>
    <n v="201.33"/>
    <n v="271.9379924846555"/>
    <n v="213.9"/>
    <m/>
    <m/>
    <n v="9.68509751"/>
    <m/>
    <n v="40.33"/>
    <n v="43.67"/>
    <n v="106.27"/>
    <n v="0.04775440959826841"/>
    <x v="110"/>
    <s v="23:09:26"/>
    <n v="-2.204110591785362"/>
    <n v="0"/>
    <x v="9"/>
    <x v="0"/>
    <n v="0"/>
  </r>
  <r>
    <n v="1235.300779843976"/>
    <n v="393.2527798439764"/>
    <n v="-842.0479999999998"/>
    <m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15:54"/>
    <n v="-2.141238519239669"/>
    <n v="0"/>
    <x v="9"/>
    <x v="0"/>
    <n v="11.21750305782894"/>
  </r>
  <r>
    <n v="1235.300779843976"/>
    <n v="393.2527798439764"/>
    <n v="-842.0479999999998"/>
    <m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23:35"/>
    <n v="-2.141238519239669"/>
    <n v="0"/>
    <x v="9"/>
    <x v="0"/>
    <n v="0"/>
  </r>
  <r>
    <n v="1235.300779843976"/>
    <n v="393.2527798439764"/>
    <n v="-842.0479999999998"/>
    <s v="FII"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33:23"/>
    <n v="-2.141238519239669"/>
    <n v="0"/>
    <x v="9"/>
    <x v="0"/>
    <n v="0"/>
  </r>
  <r>
    <n v="1235.300779843976"/>
    <n v="393.2527798439764"/>
    <n v="-842.0479999999998"/>
    <n v="208.07"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50:13"/>
    <n v="-2.141238519239669"/>
    <n v="0"/>
    <x v="9"/>
    <x v="0"/>
    <n v="0"/>
  </r>
  <r>
    <n v="1246.608292505481"/>
    <n v="404.9702925054812"/>
    <n v="-841.6380000000001"/>
    <n v="361.173276786147"/>
    <m/>
    <n v="296.74"/>
    <n v="208.07"/>
    <n v="383.6982925054813"/>
    <m/>
    <n v="204.44"/>
    <n v="270.2530668831234"/>
    <n v="214.83"/>
    <s v="07/12/2025"/>
    <m/>
    <n v="9.767913650000001"/>
    <m/>
    <n v="40.36"/>
    <n v="43.67"/>
    <n v="106.27"/>
    <n v="0.05062128656318515"/>
    <x v="111"/>
    <s v="22:18:58"/>
    <n v="-2.078270963514215"/>
    <n v="0.4099999999996271"/>
    <x v="9"/>
    <x v="0"/>
    <n v="11.30751266150492"/>
  </r>
  <r>
    <n v="1252.296027911759"/>
    <n v="411.0780279117585"/>
    <n v="-841.2180000000005"/>
    <n v="361.173276786147"/>
    <m/>
    <n v="296.74"/>
    <n v="208.07"/>
    <n v="389.3860279117591"/>
    <m/>
    <n v="202.1"/>
    <n v="270.9180375211168"/>
    <n v="215.57"/>
    <m/>
    <m/>
    <n v="9.63890477"/>
    <m/>
    <n v="40.16"/>
    <n v="43.67"/>
    <n v="106.27"/>
    <n v="0.05138475348896981"/>
    <x v="112"/>
    <s v="19:30:25"/>
    <n v="-2.046370622806859"/>
    <n v="0.419999999999618"/>
    <x v="9"/>
    <x v="0"/>
    <n v="5.68773540627808"/>
  </r>
  <r>
    <n v="1263.73991098788"/>
    <n v="422.7619109878792"/>
    <n v="-840.9780000000005"/>
    <n v="361.173276786147"/>
    <m/>
    <n v="296.74"/>
    <n v="208.07"/>
    <n v="400.8299109878799"/>
    <m/>
    <n v="202.27"/>
    <n v="270.9180375211168"/>
    <n v="215.68"/>
    <m/>
    <m/>
    <n v="9.518067240000001"/>
    <m/>
    <n v="40.16"/>
    <n v="43.67"/>
    <n v="106.27"/>
    <n v="0.05284523887348491"/>
    <x v="113"/>
    <s v="08:51:54"/>
    <n v="-1.989247323711979"/>
    <n v="0.2400000000000091"/>
    <x v="9"/>
    <x v="0"/>
    <n v="11.44388307612098"/>
  </r>
  <r>
    <n v="1269.496241394561"/>
    <n v="428.5182413945608"/>
    <n v="-840.9780000000003"/>
    <m/>
    <m/>
    <m/>
    <m/>
    <n v="406.5862413945612"/>
    <m/>
    <n v="203.6"/>
    <n v="270.7030470140963"/>
    <n v="215.71"/>
    <n v="12"/>
    <n v="34.75"/>
    <n v="9.15925637"/>
    <n v="102"/>
    <n v="40.3"/>
    <n v="43.67"/>
    <n v="106.27"/>
    <n v="0.0535647801743201"/>
    <x v="114"/>
    <s v="23:13:30"/>
    <n v="-1.962525556119009"/>
    <n v="0"/>
    <x v="9"/>
    <x v="0"/>
    <n v="5.756330406680945"/>
  </r>
  <r>
    <n v="1723.958299364214"/>
    <n v="882.9802993642138"/>
    <n v="-840.9780000000003"/>
    <m/>
    <m/>
    <m/>
    <m/>
    <n v="861.0482993642141"/>
    <m/>
    <n v="199.69"/>
    <n v="275.4278383893124"/>
    <n v="215.78"/>
    <m/>
    <m/>
    <n v="9.491406979999999"/>
    <s v="18:55:09"/>
    <n v="40.38"/>
    <n v="43.67"/>
    <n v="106.27"/>
    <n v="0.1103725374205267"/>
    <x v="115"/>
    <s v="23:11:12"/>
    <n v="-0.9524312157423477"/>
    <n v="0"/>
    <x v="9"/>
    <x v="0"/>
    <n v="454.4620579696532"/>
  </r>
  <r>
    <n v="1731.557344197954"/>
    <n v="890.9993441979536"/>
    <n v="-840.5580000000004"/>
    <m/>
    <m/>
    <m/>
    <m/>
    <n v="868.6473441979542"/>
    <m/>
    <n v="199.82"/>
    <n v="276.4027953397538"/>
    <n v="215.79"/>
    <n v="9.68509751"/>
    <n v="40.33"/>
    <n v="9.545652929999999"/>
    <n v="106.27"/>
    <n v="40.73"/>
    <n v="43.67"/>
    <n v="106.27"/>
    <n v="0.1113749180247442"/>
    <x v="116"/>
    <s v="13:09:52"/>
    <n v="-0.9433878997482779"/>
    <n v="0.4199999999998454"/>
    <x v="9"/>
    <x v="0"/>
    <n v="7.599044833739981"/>
  </r>
  <r>
    <n v="1785.609458772553"/>
    <n v="947.9914587725521"/>
    <n v="-837.6180000000008"/>
    <m/>
    <m/>
    <m/>
    <m/>
    <n v="922.699458772553"/>
    <m/>
    <n v="199.82"/>
    <n v="276.4027953397538"/>
    <n v="215.79"/>
    <n v="9.68509751"/>
    <n v="40.33"/>
    <n v="9.545652929999999"/>
    <n v="106.27"/>
    <n v="40.73"/>
    <n v="43.67"/>
    <n v="106.27"/>
    <n v="0.118498932346569"/>
    <x v="117"/>
    <s v="19:29:32"/>
    <n v="-0.883571251880833"/>
    <n v="2.9399999999996"/>
    <x v="9"/>
    <x v="0"/>
    <n v="54.05211457459882"/>
  </r>
  <r>
    <n v="1805.2831413157"/>
    <n v="417.6651413156997"/>
    <n v="-1387.618"/>
    <m/>
    <m/>
    <m/>
    <m/>
    <n v="948.7631413157"/>
    <m/>
    <n v="202.06"/>
    <n v="273.8379085932079"/>
    <n v="219.26"/>
    <n v="9.68509751"/>
    <n v="40.33"/>
    <n v="9.44021298"/>
    <n v="106.27"/>
    <n v="41.54"/>
    <n v="43.67"/>
    <n v="106.27"/>
    <n v="0.05220814266446246"/>
    <x v="117"/>
    <s v="20:07:19"/>
    <n v="-3.322321790199733"/>
    <n v="-549.9999999999991"/>
    <x v="9"/>
    <x v="0"/>
    <n v="19.67368254314715"/>
  </r>
  <r>
    <n v="1813.209790004801"/>
    <n v="425.5917900048007"/>
    <n v="-1387.618"/>
    <m/>
    <m/>
    <m/>
    <m/>
    <n v="956.6897900048009"/>
    <m/>
    <n v="202.06"/>
    <n v="273.8379085932079"/>
    <n v="219.26"/>
    <m/>
    <m/>
    <n v="9.451239380000001"/>
    <m/>
    <n v="41.54"/>
    <n v="43.67"/>
    <n v="106.27"/>
    <n v="0.05319897375060009"/>
    <x v="118"/>
    <s v="01:03:38"/>
    <n v="-3.260443534365049"/>
    <n v="0"/>
    <x v="0"/>
    <x v="1"/>
    <n v="7.926648689101057"/>
  </r>
  <r>
    <n v="1831.202334399944"/>
    <n v="3442.146728224945"/>
    <n v="296.5923938250003"/>
    <m/>
    <m/>
    <n v="669.6543343999447"/>
    <m/>
    <n v="972.6623343999445"/>
    <n v="2.02"/>
    <n v="205.92"/>
    <n v="269.3781055173427"/>
    <m/>
    <m/>
    <n v="216.37"/>
    <m/>
    <n v="9.67875733"/>
    <n v="40.78"/>
    <n v="43.67"/>
    <m/>
    <n v="0.4302683410281181"/>
    <x v="119"/>
    <s v="22:11:22"/>
    <n v="0.08616494799393627"/>
    <n v="1684.210393825"/>
    <x v="0"/>
    <x v="1"/>
    <n v="17.99254439514289"/>
  </r>
  <r>
    <n v="1831.202334399944"/>
    <n v="3442.146728224945"/>
    <n v="296.5923938250003"/>
    <m/>
    <m/>
    <n v="669.6543343999447"/>
    <n v="361.173276786147"/>
    <n v="972.6623343999445"/>
    <n v="2.02"/>
    <n v="205.92"/>
    <n v="269.3781055173427"/>
    <m/>
    <n v="40.33"/>
    <n v="216.37"/>
    <n v="106.27"/>
    <n v="9.67924958"/>
    <n v="40.78"/>
    <n v="43.67"/>
    <n v="106.27"/>
    <n v="0.4302683410281181"/>
    <x v="119"/>
    <s v="22:17:19"/>
    <n v="0.08616494799393627"/>
    <n v="0"/>
    <x v="0"/>
    <x v="1"/>
    <n v="0"/>
  </r>
  <r>
    <n v="1839.332960807836"/>
    <n v="3450.277354632836"/>
    <n v="296.5923938250003"/>
    <m/>
    <m/>
    <n v="677.7849608078359"/>
    <n v="361.173276786147"/>
    <n v="972.6623343999445"/>
    <n v="10.15062640789141"/>
    <n v="205.4"/>
    <n v="268.5281430477271"/>
    <m/>
    <n v="40.33"/>
    <n v="217.12"/>
    <n v="106.27"/>
    <n v="9.58304424"/>
    <n v="41.13"/>
    <n v="43.67"/>
    <n v="106.27"/>
    <n v="0.4312846693291045"/>
    <x v="120"/>
    <s v="23:05:27"/>
    <n v="0.08596189909972105"/>
    <n v="0"/>
    <x v="0"/>
    <x v="1"/>
    <n v="8.130626407891896"/>
  </r>
  <r>
    <n v="1863.335072117836"/>
    <n v="3474.279465942836"/>
    <n v="296.5923938250003"/>
    <m/>
    <m/>
    <n v="701.787072117836"/>
    <n v="361.173276786147"/>
    <n v="972.6623343999445"/>
    <n v="10.15062640789141"/>
    <n v="205.4"/>
    <n v="268.5281430477271"/>
    <n v="9.68509751"/>
    <n v="40.33"/>
    <n v="217.12"/>
    <n v="106.27"/>
    <n v="33.36972124"/>
    <n v="41.13"/>
    <n v="43.67"/>
    <n v="106.27"/>
    <n v="0.4342849332428545"/>
    <x v="121"/>
    <s v="21:35:12"/>
    <n v="0.08536803004260114"/>
    <n v="0"/>
    <x v="0"/>
    <x v="1"/>
    <n v="24.00211131000015"/>
  </r>
  <r>
    <n v="1867.43093869129"/>
    <n v="3478.785332516291"/>
    <n v="296.5923938250003"/>
    <m/>
    <m/>
    <n v="706.2929386912901"/>
    <n v="361.173276786147"/>
    <n v="972.6623343999445"/>
    <n v="14.24649298134591"/>
    <n v="205.4"/>
    <n v="268.5281430477271"/>
    <n v="9.68509751"/>
    <n v="40.33"/>
    <n v="217.12"/>
    <n v="106.27"/>
    <n v="33.83372552"/>
    <n v="41.13"/>
    <n v="43.67"/>
    <n v="106.27"/>
    <n v="0.4348481665645364"/>
    <x v="122"/>
    <s v="23:41:10"/>
    <n v="0.08525745784102973"/>
    <n v="0"/>
    <x v="0"/>
    <x v="1"/>
    <n v="4.095866573454032"/>
  </r>
  <r>
    <n v="1867.43093869129"/>
    <n v="3415.255332516291"/>
    <n v="296.5923938250003"/>
    <m/>
    <m/>
    <n v="642.7629386912904"/>
    <n v="361.173276786147"/>
    <n v="972.6623343999445"/>
    <n v="14.24649298134591"/>
    <n v="205.15"/>
    <n v="268.7481333339805"/>
    <m/>
    <m/>
    <n v="216.94"/>
    <n v="40.33"/>
    <n v="33.667431"/>
    <n v="41.24"/>
    <n v="43.67"/>
    <n v="106.27"/>
    <n v="0.4269069165645364"/>
    <x v="123"/>
    <s v="23:09:14"/>
    <n v="0.0868434026004366"/>
    <n v="0"/>
    <x v="0"/>
    <x v="1"/>
    <n v="0"/>
  </r>
  <r>
    <n v="1871.547310196778"/>
    <n v="3419.371704021779"/>
    <n v="296.5923938250003"/>
    <m/>
    <m/>
    <n v="646.8793101967785"/>
    <n v="361.173276786147"/>
    <n v="972.6623343999445"/>
    <n v="18.36286448683378"/>
    <n v="206.51"/>
    <n v="268.6031397362226"/>
    <m/>
    <m/>
    <n v="216.86"/>
    <m/>
    <n v="35.05841394"/>
    <n v="41.13"/>
    <n v="43.67"/>
    <n v="106.27"/>
    <n v="0.4274214630027224"/>
    <x v="124"/>
    <s v="06:32:36"/>
    <n v="0.08673885716377537"/>
    <n v="0"/>
    <x v="0"/>
    <x v="1"/>
    <n v="4.116371505487905"/>
  </r>
  <r>
    <n v="1875.684289287115"/>
    <n v="3423.508683112116"/>
    <n v="296.5923938250003"/>
    <m/>
    <m/>
    <n v="651.0162892871158"/>
    <m/>
    <n v="972.6623343999445"/>
    <n v="22.49984357717099"/>
    <n v="214.09"/>
    <n v="268.4081483461343"/>
    <m/>
    <m/>
    <n v="217.5700000000001"/>
    <m/>
    <n v="34.99243168"/>
    <n v="41.27"/>
    <n v="43.67"/>
    <n v="106.27"/>
    <n v="0.4279385853890145"/>
    <x v="125"/>
    <s v="16:02:05"/>
    <n v="0.08663404164507188"/>
    <n v="0"/>
    <x v="0"/>
    <x v="1"/>
    <n v="4.136979090337036"/>
  </r>
  <r>
    <n v="1877.760538896058"/>
    <n v="3425.614932721059"/>
    <n v="296.5923938250003"/>
    <m/>
    <m/>
    <n v="653.1225388960584"/>
    <m/>
    <n v="972.6623343999445"/>
    <n v="24.57609318611391"/>
    <n v="214.93"/>
    <n v="268.4581461384646"/>
    <m/>
    <m/>
    <n v="217.23"/>
    <m/>
    <n v="35.06438736"/>
    <n v="41.22"/>
    <n v="43.67"/>
    <n v="106.27"/>
    <n v="0.4282018665901324"/>
    <x v="126"/>
    <s v="21:48:22"/>
    <n v="0.08658077444489912"/>
    <n v="0"/>
    <x v="0"/>
    <x v="1"/>
    <n v="2.076249608943044"/>
  </r>
  <r>
    <n v="1879.841979129023"/>
    <n v="4295.137729689023"/>
    <n v="967.4437505599999"/>
    <m/>
    <m/>
    <n v="555.2039791290235"/>
    <m/>
    <n v="972.6623343999445"/>
    <n v="26.6575334190792"/>
    <n v="214.93"/>
    <n v="268.4581461384646"/>
    <m/>
    <m/>
    <n v="217.23"/>
    <m/>
    <n v="35.07331316"/>
    <n v="41.22"/>
    <n v="43.67"/>
    <n v="106.27"/>
    <n v="0.5368922162111279"/>
    <x v="127"/>
    <s v="13:58:35"/>
    <n v="0.2252416130623231"/>
    <n v="670.8513567349996"/>
    <x v="0"/>
    <x v="1"/>
    <n v="2.081440232964951"/>
  </r>
  <r>
    <n v="1879.841979129023"/>
    <n v="4295.137729689023"/>
    <n v="967.4437505599999"/>
    <m/>
    <m/>
    <n v="555.2039791290235"/>
    <m/>
    <n v="972.6623343999445"/>
    <n v="26.6575334190792"/>
    <n v="214.93"/>
    <n v="268.4131481253673"/>
    <m/>
    <m/>
    <n v="217.23"/>
    <m/>
    <n v="35.09858004"/>
    <n v="41.22"/>
    <n v="43.67"/>
    <n v="106.27"/>
    <n v="0.5368922162111279"/>
    <x v="128"/>
    <s v="15:15:39"/>
    <n v="0.2252416130623231"/>
    <n v="0"/>
    <x v="0"/>
    <x v="1"/>
    <n v="0"/>
  </r>
  <r>
    <n v="1879.841979129023"/>
    <n v="4295.137729689023"/>
    <n v="967.4437505599999"/>
    <m/>
    <m/>
    <n v="555.2039791290235"/>
    <m/>
    <n v="972.6623343999445"/>
    <n v="26.6575334190792"/>
    <n v="214.93"/>
    <n v="268.5281430477271"/>
    <m/>
    <m/>
    <n v="217.23"/>
    <m/>
    <n v="34.33061794"/>
    <n v="41.22"/>
    <n v="43.67"/>
    <n v="106.27"/>
    <n v="0.5368922162111279"/>
    <x v="129"/>
    <s v="09:16:08"/>
    <n v="0.2252416130623231"/>
    <n v="0"/>
    <x v="0"/>
    <x v="1"/>
    <n v="0"/>
  </r>
  <r>
    <n v="1896.681927477932"/>
    <n v="4311.977678037932"/>
    <n v="967.4437505599999"/>
    <m/>
    <m/>
    <n v="572.0439274779328"/>
    <m/>
    <n v="972.6623343999445"/>
    <n v="43.49748176798781"/>
    <n v="232.11"/>
    <n v="264.0383412964636"/>
    <m/>
    <m/>
    <n v="220.94"/>
    <m/>
    <n v="32.03428424"/>
    <n v="40.96000000000001"/>
    <n v="43.67"/>
    <n v="106.27"/>
    <n v="0.5389972097547415"/>
    <x v="130"/>
    <s v="21:15:03"/>
    <n v="0.2243619570406064"/>
    <n v="0"/>
    <x v="0"/>
    <x v="1"/>
    <n v="16.83994834890905"/>
  </r>
  <r>
    <n v="1903.084137473623"/>
    <n v="12166.96746947362"/>
    <n v="9516.031332"/>
    <m/>
    <m/>
    <n v="355.6419637389664"/>
    <m/>
    <n v="972.6623343999445"/>
    <n v="49.89969176367902"/>
    <n v="244.33"/>
    <n v="261.9784322524541"/>
    <m/>
    <m/>
    <n v="221.84"/>
    <m/>
    <n v="30.42688498"/>
    <n v="40.54"/>
    <n v="43.67"/>
    <n v="106.27"/>
    <n v="1.520870933684203"/>
    <x v="131"/>
    <s v="12:56:56"/>
    <n v="0.7821202247704944"/>
    <n v="8548.587581440001"/>
    <x v="0"/>
    <x v="1"/>
    <n v="6.40220999569101"/>
  </r>
  <r>
    <n v="1905.228886703032"/>
    <n v="12169.11221870303"/>
    <n v="9516.031332000002"/>
    <m/>
    <m/>
    <n v="247.4434015021534"/>
    <m/>
    <n v="972.6623343999445"/>
    <n v="52.04444099308822"/>
    <n v="244.38"/>
    <n v="261.5434514591802"/>
    <m/>
    <m/>
    <n v="223.36"/>
    <m/>
    <n v="29.74873016"/>
    <n v="40.75"/>
    <n v="43.67"/>
    <n v="106.27"/>
    <n v="1.521139027337879"/>
    <x v="132"/>
    <s v="12:59:36"/>
    <n v="0.7819823797314123"/>
    <n v="0"/>
    <x v="0"/>
    <x v="1"/>
    <n v="2.144749229408944"/>
  </r>
  <r>
    <n v="1909.518422570735"/>
    <n v="13036.30853857074"/>
    <n v="9628.938116000001"/>
    <m/>
    <m/>
    <n v="139.24"/>
    <m/>
    <n v="972.6623343999445"/>
    <n v="56.33397686079025"/>
    <n v="239.56"/>
    <n v="262.8433940597688"/>
    <m/>
    <m/>
    <n v="223.6899999999999"/>
    <m/>
    <n v="27.71179394"/>
    <n v="40.62"/>
    <n v="43.67"/>
    <n v="106.27"/>
    <n v="1.629538567321342"/>
    <x v="133"/>
    <s v="20:33:54"/>
    <n v="0.7386245951076337"/>
    <n v="112.9067839999989"/>
    <x v="1"/>
    <x v="1"/>
    <n v="4.28953586770308"/>
  </r>
  <r>
    <n v="1911.67283926534"/>
    <n v="12540.67295526534"/>
    <n v="9628.938116000001"/>
    <m/>
    <n v="48.65894495028151"/>
    <n v="139.2448392653405"/>
    <m/>
    <n v="972.6623343999445"/>
    <n v="58.48839355539582"/>
    <n v="239.71"/>
    <n v="263.0333856706241"/>
    <m/>
    <m/>
    <n v="219.52"/>
    <m/>
    <n v="28.40931088"/>
    <n v="40.8"/>
    <n v="43.67"/>
    <n v="106.27"/>
    <n v="1.567584119408168"/>
    <x v="134"/>
    <s v="12:59:38"/>
    <n v="0.7678166993388649"/>
    <n v="0"/>
    <x v="1"/>
    <x v="1"/>
    <n v="2.154416694604834"/>
  </r>
  <r>
    <n v="1911.67283926534"/>
    <n v="12540.67295526534"/>
    <n v="9628.938116000001"/>
    <m/>
    <n v="48.65894495028151"/>
    <n v="139.2448392653405"/>
    <m/>
    <n v="972.6623343999445"/>
    <n v="58.48839355539582"/>
    <n v="240.39"/>
    <n v="263.0083867744588"/>
    <m/>
    <m/>
    <n v="218.57"/>
    <m/>
    <n v="28.35060658"/>
    <n v="40.75"/>
    <n v="43.67"/>
    <n v="106.27"/>
    <n v="1.567584119408168"/>
    <x v="134"/>
    <s v="19:03:52"/>
    <n v="0.7678166993388649"/>
    <n v="0"/>
    <x v="1"/>
    <x v="1"/>
    <n v="0"/>
  </r>
  <r>
    <n v="1913.831564793335"/>
    <n v="12542.88168079334"/>
    <n v="9628.938116000001"/>
    <m/>
    <n v="48.65894495028151"/>
    <n v="141.4535647933353"/>
    <m/>
    <n v="972.7123343999446"/>
    <n v="60.64711908339061"/>
    <n v="245.64"/>
    <n v="261.9234346808907"/>
    <m/>
    <m/>
    <n v="220.13"/>
    <m/>
    <n v="27.2892603"/>
    <n v="40.39"/>
    <n v="43.67"/>
    <n v="106.27"/>
    <n v="1.567860210099167"/>
    <x v="135"/>
    <s v="20:29:49"/>
    <n v="0.7676814914665582"/>
    <n v="0"/>
    <x v="1"/>
    <x v="1"/>
    <n v="2.158725527995102"/>
  </r>
  <r>
    <n v="1913.831564793335"/>
    <n v="12542.88168079334"/>
    <n v="9628.938116000001"/>
    <m/>
    <n v="48.00859618192464"/>
    <n v="141.4535647933353"/>
    <m/>
    <n v="972.7123343999446"/>
    <n v="60.64711908339061"/>
    <n v="245.64"/>
    <n v="261.9234346808907"/>
    <m/>
    <m/>
    <n v="220.13"/>
    <m/>
    <n v="27.27875532"/>
    <n v="40.39"/>
    <n v="43.67"/>
    <n v="106.27"/>
    <n v="1.567860210099167"/>
    <x v="135"/>
    <s v="21:59:47"/>
    <n v="0.7676814914665582"/>
    <n v="0"/>
    <x v="1"/>
    <x v="1"/>
    <n v="0"/>
  </r>
  <r>
    <n v="1915.994607772386"/>
    <n v="12545.04472377239"/>
    <n v="9628.938116000001"/>
    <m/>
    <n v="48.00859618192464"/>
    <n v="143.6166077723865"/>
    <m/>
    <n v="972.7123343999446"/>
    <n v="62.81016206244138"/>
    <n v="243.18"/>
    <n v="261.9384340185898"/>
    <m/>
    <m/>
    <n v="220.12"/>
    <m/>
    <n v="26.30000702"/>
    <n v="40.31"/>
    <n v="43.67"/>
    <n v="106.27"/>
    <n v="1.568130590471548"/>
    <x v="136"/>
    <s v="20:29:38"/>
    <n v="0.7675491262102497"/>
    <n v="0"/>
    <x v="1"/>
    <x v="1"/>
    <n v="2.163042979050942"/>
  </r>
  <r>
    <n v="1915.994607772386"/>
    <n v="12545.04472377239"/>
    <n v="9628.938116000001"/>
    <m/>
    <n v="48.00859618192464"/>
    <n v="143.6166077723865"/>
    <m/>
    <n v="972.7123343999446"/>
    <n v="62.81016206244138"/>
    <n v="243.18"/>
    <n v="261.9384340185898"/>
    <m/>
    <m/>
    <n v="220.12"/>
    <m/>
    <n v="26.30000702"/>
    <n v="40.31"/>
    <n v="43.67"/>
    <n v="106.27"/>
    <n v="1.568130590471548"/>
    <x v="136"/>
    <s v="20:32:54"/>
    <n v="0.7675491262102497"/>
    <n v="0"/>
    <x v="1"/>
    <x v="1"/>
    <n v="0"/>
  </r>
  <r>
    <n v="1915.994607772386"/>
    <n v="12545.04472377239"/>
    <n v="9628.938116000001"/>
    <m/>
    <n v="48.00859618192464"/>
    <n v="143.6166077723865"/>
    <m/>
    <n v="972.7123343999446"/>
    <n v="62.81016206244138"/>
    <n v="243.18"/>
    <n v="261.9384340185898"/>
    <m/>
    <m/>
    <n v="220.12"/>
    <m/>
    <n v="26.30000702"/>
    <n v="40.31"/>
    <n v="43.67"/>
    <n v="106.27"/>
    <n v="1.568130590471548"/>
    <x v="136"/>
    <s v="20:34:11"/>
    <n v="0.7675491262102497"/>
    <n v="0"/>
    <x v="1"/>
    <x v="1"/>
    <n v="0"/>
  </r>
  <r>
    <n v="1920.333680640533"/>
    <n v="11718.14998733333"/>
    <n v="9797.816306692797"/>
    <m/>
    <n v="48.01869236730233"/>
    <n v="409.9456806405342"/>
    <m/>
    <n v="972.7323343999445"/>
    <n v="67.14923493058915"/>
    <n v="237.61"/>
    <n v="261.2334651467322"/>
    <m/>
    <m/>
    <n v="220.88"/>
    <m/>
    <n v="24.45078724"/>
    <n v="40.3"/>
    <n v="43.67"/>
    <n v="106.27"/>
    <n v="1.464768748416666"/>
    <x v="137"/>
    <s v="12:22:28"/>
    <n v="0.8361231352460664"/>
    <n v="168.8781906927961"/>
    <x v="1"/>
    <x v="1"/>
    <n v="4.339072868147014"/>
  </r>
  <r>
    <n v="1920.333680640533"/>
    <n v="12178.09566797387"/>
    <n v="8945.659987333334"/>
    <m/>
    <n v="96.41081360966109"/>
    <n v="459.9456806405342"/>
    <m/>
    <n v="972.7323343999445"/>
    <n v="67.14923493058915"/>
    <n v="237.79"/>
    <n v="260.8184834703904"/>
    <m/>
    <m/>
    <n v="220.87"/>
    <m/>
    <n v="25.34089548"/>
    <n v="40.5"/>
    <n v="43.67"/>
    <n v="106.27"/>
    <n v="1.522261958496734"/>
    <x v="138"/>
    <s v="19:11:08"/>
    <n v="0.7345696922761707"/>
    <n v="-852.1563193594629"/>
    <x v="1"/>
    <x v="1"/>
    <n v="0"/>
  </r>
  <r>
    <n v="1924.690127156445"/>
    <n v="22105.64365451555"/>
    <n v="9926.119140025772"/>
    <m/>
    <n v="191.3085685436675"/>
    <n v="264.772127156446"/>
    <m/>
    <n v="972.6823343999445"/>
    <n v="71.50568144650097"/>
    <n v="237.79"/>
    <n v="260.8184834703904"/>
    <m/>
    <m/>
    <n v="220.87"/>
    <m/>
    <n v="25.45651892"/>
    <n v="40.5"/>
    <n v="43.67"/>
    <n v="106.27"/>
    <n v="2.763205456814444"/>
    <x v="138"/>
    <s v="20:11:27"/>
    <n v="0.4490309938565463"/>
    <n v="980.4591526924378"/>
    <x v="1"/>
    <x v="1"/>
    <n v="4.356446515912012"/>
  </r>
  <r>
    <n v="1926.874887260222"/>
    <n v="22107.82841461933"/>
    <n v="9926.119140025776"/>
    <m/>
    <n v="191.3294527367432"/>
    <n v="266.9568872602231"/>
    <m/>
    <n v="972.6823343999445"/>
    <n v="73.69044155027797"/>
    <n v="237.87"/>
    <n v="259.0635609595959"/>
    <m/>
    <m/>
    <n v="220.99"/>
    <m/>
    <n v="24.68148484"/>
    <n v="40.44"/>
    <n v="43.67"/>
    <n v="106.27"/>
    <n v="2.763478551827417"/>
    <x v="139"/>
    <s v="12:54:06"/>
    <n v="0.4489866193036803"/>
    <n v="0"/>
    <x v="1"/>
    <x v="1"/>
    <n v="2.18476010377708"/>
  </r>
  <r>
    <n v="1929.064016884207"/>
    <n v="22110.03754424331"/>
    <n v="9926.119140025772"/>
    <m/>
    <n v="191.350569878857"/>
    <n v="269.1660168842081"/>
    <m/>
    <n v="972.6823343999445"/>
    <n v="75.87957117426251"/>
    <n v="242.7"/>
    <n v="260.1035150400668"/>
    <m/>
    <m/>
    <n v="220.87"/>
    <m/>
    <n v="24.69913046"/>
    <n v="40.82"/>
    <n v="43.67"/>
    <n v="106.27"/>
    <n v="2.763754693030414"/>
    <x v="140"/>
    <s v="12:49:27"/>
    <n v="0.4489417586995545"/>
    <n v="0"/>
    <x v="1"/>
    <x v="1"/>
    <n v="2.189129623984854"/>
  </r>
  <r>
    <n v="1929.064016884207"/>
    <n v="22110.03754424331"/>
    <n v="9926.119140025772"/>
    <m/>
    <n v="191.350569878857"/>
    <n v="269.1660168842081"/>
    <m/>
    <n v="972.6823343999445"/>
    <n v="75.87957117426251"/>
    <n v="242.2"/>
    <n v="260.0085192346392"/>
    <m/>
    <m/>
    <n v="220.84"/>
    <m/>
    <n v="24.74382812"/>
    <n v="40.77"/>
    <n v="43.67"/>
    <n v="106.27"/>
    <n v="2.763754693030414"/>
    <x v="141"/>
    <s v="12:09:36"/>
    <n v="0.4489417586995545"/>
    <n v="0"/>
    <x v="1"/>
    <x v="1"/>
    <n v="0"/>
  </r>
  <r>
    <n v="1931.257524767439"/>
    <n v="22112.25105212655"/>
    <n v="9926.119140025774"/>
    <m/>
    <n v="191.3717288728939"/>
    <n v="271.3795247674416"/>
    <m/>
    <n v="972.6823343999445"/>
    <n v="78.07307905749502"/>
    <n v="246.38"/>
    <n v="259.2885510250824"/>
    <m/>
    <m/>
    <n v="220.58"/>
    <m/>
    <n v="23.68557154"/>
    <n v="40.52"/>
    <n v="43.67"/>
    <n v="106.27"/>
    <n v="2.764031381515819"/>
    <x v="141"/>
    <s v="13:00:54"/>
    <n v="0.4488968181767805"/>
    <n v="0"/>
    <x v="1"/>
    <x v="1"/>
    <n v="2.193507883232087"/>
  </r>
</pivotCacheRecords>
</file>

<file path=xl/pivotCache/pivotCacheRecords2.xml><?xml version="1.0" encoding="utf-8"?>
<pivotCacheRecords xmlns="http://schemas.openxmlformats.org/spreadsheetml/2006/main" count="199">
  <r>
    <n v="82.70250101356964"/>
    <n v="82.24852274910684"/>
    <n v="-0.4539782644628048"/>
    <n v="1.04"/>
    <m/>
    <n v="82.24852274910684"/>
    <s v="-"/>
    <n v="20.41250101356965"/>
    <m/>
    <n v="1.769999999999996"/>
    <n v="19.2460217355372"/>
    <n v="27.58"/>
    <n v="1.189999999999998"/>
    <n v="2.159999999999997"/>
    <n v="0"/>
    <n v="9.159999999999997"/>
    <s v="-"/>
    <s v="-"/>
    <s v="-"/>
    <n v="0.01028106534363835"/>
    <x v="0"/>
    <s v="11:39:45"/>
    <n v="-0.005519591711666757"/>
    <n v="0"/>
    <x v="0"/>
    <x v="0"/>
    <n v="0"/>
  </r>
  <r>
    <n v="89.96930976732349"/>
    <n v="87.74533150286069"/>
    <n v="-2.223978264462804"/>
    <n v="1.04"/>
    <m/>
    <n v="87.74533150286069"/>
    <s v="-"/>
    <n v="22.67930976732349"/>
    <m/>
    <n v="1.769999999999996"/>
    <n v="19.2460217355372"/>
    <n v="27.68000000000001"/>
    <n v="1.189999999999998"/>
    <n v="2.159999999999997"/>
    <n v="5"/>
    <n v="9.159999999999997"/>
    <s v="-"/>
    <s v="-"/>
    <s v="-"/>
    <n v="0.01096816643785759"/>
    <x v="1"/>
    <s v="16:32:49"/>
    <n v="-0.02534583010140314"/>
    <n v="-1.769999999999999"/>
    <x v="0"/>
    <x v="0"/>
    <n v="7.26680875375385"/>
  </r>
  <r>
    <n v="91.11054061635153"/>
    <n v="88.88656235188873"/>
    <n v="-2.223978264462804"/>
    <n v="1.04"/>
    <m/>
    <n v="88.88656235188873"/>
    <s v="-"/>
    <n v="23.82054061635152"/>
    <m/>
    <n v="1.769999999999996"/>
    <n v="19.2460217355372"/>
    <n v="27.48"/>
    <n v="1.189999999999998"/>
    <n v="2.159999999999997"/>
    <n v="5"/>
    <n v="9.159999999999997"/>
    <s v="-"/>
    <s v="-"/>
    <s v="-"/>
    <n v="0.01111082029398609"/>
    <x v="2"/>
    <s v="18:02:53"/>
    <n v="-0.02502041034794892"/>
    <n v="0"/>
    <x v="0"/>
    <x v="0"/>
    <n v="1.141230849028034"/>
  </r>
  <r>
    <n v="102.2570211272851"/>
    <n v="99.46338398294519"/>
    <n v="-2.793637144339907"/>
    <n v="1.04"/>
    <m/>
    <n v="99.46338398294519"/>
    <s v="-"/>
    <n v="24.96702112728509"/>
    <m/>
    <n v="1.609999999999999"/>
    <n v="29.07636285566009"/>
    <n v="27.3"/>
    <n v="1.189999999999998"/>
    <n v="2.159999999999997"/>
    <n v="5"/>
    <n v="9.099999999999994"/>
    <s v="-"/>
    <s v="-"/>
    <s v="-"/>
    <n v="0.01243292299786815"/>
    <x v="3"/>
    <s v="18:03:11"/>
    <n v="-0.02808709127389962"/>
    <n v="-0.5696588798771032"/>
    <x v="0"/>
    <x v="0"/>
    <n v="11.14648051093357"/>
  </r>
  <r>
    <n v="102.2570211272851"/>
    <n v="99.09595683353041"/>
    <n v="-3.161064293754688"/>
    <n v="1.04"/>
    <m/>
    <n v="99.09595683353041"/>
    <s v="-"/>
    <n v="24.96702112728509"/>
    <m/>
    <n v="1.549999999999997"/>
    <n v="28.88893570624531"/>
    <n v="27.20999999999999"/>
    <n v="1.189999999999998"/>
    <n v="2.159999999999997"/>
    <n v="5"/>
    <n v="9.069999999999993"/>
    <s v="-"/>
    <s v="-"/>
    <s v="-"/>
    <n v="0.0123869946041913"/>
    <x v="4"/>
    <s v="18:00:40"/>
    <n v="-0.03189902388313284"/>
    <n v="-0.3674271494147807"/>
    <x v="0"/>
    <x v="0"/>
    <n v="0"/>
  </r>
  <r>
    <n v="104.5537669220797"/>
    <n v="81.86049745094564"/>
    <n v="-22.69326947113408"/>
    <n v="1.04"/>
    <m/>
    <n v="81.86049745094564"/>
    <s v="-"/>
    <n v="27.26376692207972"/>
    <m/>
    <n v="1.530000000000001"/>
    <n v="28.97673052886591"/>
    <n v="27.50999999999999"/>
    <n v="1.189999999999998"/>
    <n v="2.159999999999997"/>
    <n v="5"/>
    <n v="9.170000000000002"/>
    <s v="-"/>
    <s v="-"/>
    <s v="-"/>
    <n v="0.01023256218136821"/>
    <x v="5"/>
    <s v="18:02:42"/>
    <n v="-0.277218807334183"/>
    <n v="-19.53220517737939"/>
    <x v="0"/>
    <x v="0"/>
    <n v="2.296745794794603"/>
  </r>
  <r>
    <n v="96.53403498194959"/>
    <n v="69.06293212183465"/>
    <n v="-27.47110286011495"/>
    <n v="1.04"/>
    <m/>
    <n v="69.06293212183465"/>
    <s v="-"/>
    <n v="28.41403498194958"/>
    <m/>
    <n v="1.579999999999998"/>
    <n v="28.81889713988505"/>
    <n v="27.66"/>
    <n v="1.189999999999998"/>
    <n v="2.159999999999997"/>
    <n v="5.010000000000005"/>
    <n v="0"/>
    <s v="-"/>
    <s v="-"/>
    <s v="-"/>
    <n v="0.008632866515229331"/>
    <x v="6"/>
    <s v="18:00:47"/>
    <n v="-0.397769136295182"/>
    <n v="-4.77783338898087"/>
    <x v="0"/>
    <x v="0"/>
    <n v="-8.019731940130114"/>
  </r>
  <r>
    <n v="97.68556833668532"/>
    <n v="70.15509411909963"/>
    <n v="-27.53047421758568"/>
    <n v="1.04"/>
    <m/>
    <n v="70.15509411909963"/>
    <s v="-"/>
    <n v="29.56556833668532"/>
    <m/>
    <n v="1.560000000000002"/>
    <n v="28.80952578241431"/>
    <n v="27.63"/>
    <n v="1.189999999999998"/>
    <n v="2.159999999999997"/>
    <n v="5.010000000000005"/>
    <n v="0"/>
    <s v="-"/>
    <s v="-"/>
    <s v="-"/>
    <n v="0.008769386764887454"/>
    <x v="7"/>
    <s v="11:33:35"/>
    <n v="-0.3924230244898289"/>
    <n v="-0.05937135747073086"/>
    <x v="1"/>
    <x v="0"/>
    <n v="1.151533354735733"/>
  </r>
  <r>
    <n v="99.08556833668533"/>
    <n v="71.56742485261377"/>
    <n v="-27.51814348407156"/>
    <n v="1.04"/>
    <m/>
    <n v="71.56742485261377"/>
    <n v="39.47218916666667"/>
    <n v="29.56556833668532"/>
    <m/>
    <n v="1.560000000000002"/>
    <n v="28.82185651592845"/>
    <n v="27.63000000000001"/>
    <n v="1.189999999999998"/>
    <n v="2.159999999999997"/>
    <n v="6.409999999999997"/>
    <n v="0"/>
    <s v="-"/>
    <s v="-"/>
    <s v="-"/>
    <n v="0.008945928106576722"/>
    <x v="8"/>
    <s v="23:40:46"/>
    <n v="-0.384506548066282"/>
    <n v="0.01233073351411917"/>
    <x v="1"/>
    <x v="0"/>
    <n v="1.400000000000006"/>
  </r>
  <r>
    <n v="99.08556833668533"/>
    <n v="71.56742485261377"/>
    <n v="-27.51814348407156"/>
    <n v="1.04"/>
    <m/>
    <n v="71.56742485261377"/>
    <s v="-"/>
    <n v="29.56556833668532"/>
    <m/>
    <n v="1.560000000000002"/>
    <n v="28.82185651592845"/>
    <n v="27.63000000000001"/>
    <n v="1.189999999999998"/>
    <n v="2.159999999999997"/>
    <n v="6.409999999999997"/>
    <n v="0"/>
    <s v="-"/>
    <s v="-"/>
    <s v="-"/>
    <n v="0.008945928106576722"/>
    <x v="9"/>
    <s v="18:04:05"/>
    <n v="-0.384506548066282"/>
    <n v="0"/>
    <x v="1"/>
    <x v="0"/>
    <n v="0"/>
  </r>
  <r>
    <n v="99.08556833668533"/>
    <n v="70.43831532632203"/>
    <n v="-28.64725301036329"/>
    <n v="1.04"/>
    <m/>
    <n v="70.43831532632203"/>
    <s v="-"/>
    <n v="29.56556833668532"/>
    <m/>
    <n v="1.519999999999996"/>
    <n v="28.39274698963671"/>
    <n v="26.97"/>
    <n v="1.189999999999998"/>
    <n v="2.159999999999997"/>
    <n v="6.409999999999997"/>
    <n v="0"/>
    <s v="-"/>
    <s v="-"/>
    <s v="-"/>
    <n v="0.008804789415790253"/>
    <x v="10"/>
    <s v="18:49:41"/>
    <n v="-0.4066998604047835"/>
    <n v="-1.129109526291728"/>
    <x v="1"/>
    <x v="0"/>
    <n v="0"/>
  </r>
  <r>
    <n v="108.0655683366853"/>
    <n v="79.4659845928079"/>
    <n v="-28.59958374387743"/>
    <n v="1.04"/>
    <m/>
    <n v="79.4659845928079"/>
    <n v="54.85096416666666"/>
    <n v="29.56556833668532"/>
    <m/>
    <n v="1.530000000000001"/>
    <n v="28.38041625612257"/>
    <n v="27"/>
    <n v="1.189999999999998"/>
    <n v="2.159999999999997"/>
    <n v="6.409999999999997"/>
    <n v="9"/>
    <s v="-"/>
    <s v="-"/>
    <s v="-"/>
    <n v="0.009933248074100988"/>
    <x v="10"/>
    <s v="18:54:49"/>
    <n v="-0.3598971797861025"/>
    <n v="0.04766926648585823"/>
    <x v="1"/>
    <x v="0"/>
    <n v="8.979999999999976"/>
  </r>
  <r>
    <n v="108.0655683366853"/>
    <n v="79.53520082298203"/>
    <n v="-28.53036751370329"/>
    <n v="1.04"/>
    <m/>
    <n v="79.53520082298203"/>
    <s v="-"/>
    <n v="29.56556833668532"/>
    <m/>
    <n v="1.480000000000004"/>
    <n v="28.61963248629671"/>
    <n v="26.91000000000001"/>
    <n v="1.189999999999998"/>
    <n v="2.159999999999997"/>
    <n v="6.409999999999997"/>
    <n v="8.969999999999999"/>
    <s v="-"/>
    <s v="-"/>
    <s v="-"/>
    <n v="0.009941900102872754"/>
    <x v="11"/>
    <s v="20:32:20"/>
    <n v="-0.358713716926447"/>
    <n v="0.06921623017414191"/>
    <x v="2"/>
    <x v="0"/>
    <n v="0"/>
  </r>
  <r>
    <n v="108.0655683366853"/>
    <n v="79.51210603374994"/>
    <n v="-28.55346230293538"/>
    <n v="1.04"/>
    <m/>
    <n v="79.51210603374994"/>
    <n v="54.85096416666666"/>
    <n v="29.56556833668532"/>
    <m/>
    <n v="1.450000000000003"/>
    <n v="28.62653769706461"/>
    <n v="26.91"/>
    <n v="1.189999999999998"/>
    <n v="2.159999999999997"/>
    <n v="6.409999999999997"/>
    <n v="8.969999999999999"/>
    <s v="-"/>
    <s v="-"/>
    <s v="-"/>
    <n v="0.009939013254218743"/>
    <x v="12"/>
    <s v="18:04:04"/>
    <n v="-0.3591083638360112"/>
    <n v="-0.02309478923208985"/>
    <x v="1"/>
    <x v="0"/>
    <n v="0"/>
  </r>
  <r>
    <n v="108.0655683366853"/>
    <n v="79.51210603374994"/>
    <n v="-28.55346230293538"/>
    <n v="1.04"/>
    <m/>
    <n v="79.51210603374994"/>
    <n v="54.85096416666666"/>
    <n v="29.56556833668532"/>
    <m/>
    <n v="1.450000000000003"/>
    <n v="28.62653769706461"/>
    <n v="26.91"/>
    <n v="1.189999999999998"/>
    <n v="2.159999999999997"/>
    <n v="6.409999999999997"/>
    <n v="8.969999999999999"/>
    <s v="-"/>
    <s v="-"/>
    <s v="-"/>
    <n v="0.009939013254218743"/>
    <x v="13"/>
    <s v="18:01:22"/>
    <n v="-0.3591083638360112"/>
    <n v="0"/>
    <x v="1"/>
    <x v="0"/>
    <n v="0"/>
  </r>
  <r>
    <n v="108.0655683366853"/>
    <n v="135.5414773912207"/>
    <n v="27.47590905453536"/>
    <n v="1.04"/>
    <m/>
    <n v="135.5414773912207"/>
    <n v="0"/>
    <n v="29.56556833668532"/>
    <m/>
    <n v="1.469999999999999"/>
    <n v="28.63590905453535"/>
    <n v="26.97"/>
    <n v="1.189999999999998"/>
    <n v="2.159999999999997"/>
    <n v="6.409999999999997"/>
    <n v="8.990000000000009"/>
    <s v="-"/>
    <s v="-"/>
    <s v="-"/>
    <n v="0.01694268467390259"/>
    <x v="14"/>
    <s v="20:05:54"/>
    <n v="0.2027121851064834"/>
    <n v="56.02937135747074"/>
    <x v="1"/>
    <x v="0"/>
    <n v="0"/>
  </r>
  <r>
    <n v="108.0655683366853"/>
    <n v="51.12147739122069"/>
    <n v="-56.94409094546464"/>
    <n v="2.18"/>
    <m/>
    <n v="51.12147739122069"/>
    <n v="56.19473002"/>
    <n v="29.56556833668532"/>
    <m/>
    <n v="1.469999999999999"/>
    <n v="28.63590905453535"/>
    <n v="26.97"/>
    <n v="1.189999999999998"/>
    <n v="2.159999999999997"/>
    <n v="6.409999999999997"/>
    <n v="8.990000000000002"/>
    <s v="-"/>
    <s v="-"/>
    <s v="-"/>
    <n v="0.006390184673902586"/>
    <x v="15"/>
    <s v="13:07:22"/>
    <n v="-1.113897599431348"/>
    <n v="-84.42"/>
    <x v="1"/>
    <x v="0"/>
    <n v="0"/>
  </r>
  <r>
    <n v="112.6843825637491"/>
    <n v="55.75410203982025"/>
    <n v="-56.93028052392881"/>
    <n v="2.18"/>
    <m/>
    <n v="55.75410203982025"/>
    <s v="-"/>
    <n v="34.18438256374905"/>
    <m/>
    <n v="1.469999999999999"/>
    <n v="28.64971947607118"/>
    <n v="26.97000000000001"/>
    <n v="1.189999999999998"/>
    <n v="2.160000000000004"/>
    <n v="6.410000000000004"/>
    <n v="8.990000000000002"/>
    <s v="-"/>
    <s v="-"/>
    <s v="-"/>
    <n v="0.006969262754977531"/>
    <x v="15"/>
    <s v="20:14:40"/>
    <n v="-1.021095819698944"/>
    <n v="0.01381042153582968"/>
    <x v="1"/>
    <x v="0"/>
    <n v="4.618814227063794"/>
  </r>
  <r>
    <n v="112.6843825637491"/>
    <n v="55.75410203982025"/>
    <n v="-56.93028052392881"/>
    <n v="2.18"/>
    <m/>
    <n v="55.75410203982025"/>
    <s v="-"/>
    <n v="34.18438256374905"/>
    <m/>
    <n v="1.469999999999999"/>
    <n v="28.64971947607118"/>
    <n v="26.97000000000001"/>
    <n v="1.189999999999998"/>
    <n v="2.160000000000004"/>
    <n v="6.410000000000004"/>
    <n v="8.990000000000002"/>
    <s v="-"/>
    <s v="-"/>
    <s v="-"/>
    <n v="0.006969262754977531"/>
    <x v="16"/>
    <s v="18:01:43"/>
    <n v="-1.021095819698944"/>
    <n v="0"/>
    <x v="1"/>
    <x v="0"/>
    <n v="0"/>
  </r>
  <r>
    <n v="112.6843825637491"/>
    <n v="55.62953741962042"/>
    <n v="-57.05484514412863"/>
    <n v="2.18"/>
    <m/>
    <n v="55.62953741962042"/>
    <s v="-"/>
    <n v="34.18438256374904"/>
    <m/>
    <n v="1.450000000000003"/>
    <n v="28.54515485587135"/>
    <n v="26.97"/>
    <n v="1.189999999999998"/>
    <n v="2.159999999999997"/>
    <n v="6.409999999999997"/>
    <n v="8.989999999999995"/>
    <s v="-"/>
    <s v="-"/>
    <s v="-"/>
    <n v="0.006953692177452553"/>
    <x v="17"/>
    <s v="18:00:01"/>
    <n v="-1.025621419674173"/>
    <n v="-0.1245646201998198"/>
    <x v="1"/>
    <x v="0"/>
    <n v="0"/>
  </r>
  <r>
    <n v="112.6843825637491"/>
    <n v="55.38102696469607"/>
    <n v="-57.30335559905298"/>
    <n v="2.18"/>
    <m/>
    <n v="55.38102696469607"/>
    <n v="56.19473002"/>
    <n v="34.18438256374905"/>
    <m/>
    <n v="1.43"/>
    <n v="28.436644400947"/>
    <n v="26.88"/>
    <n v="1.189999999999998"/>
    <n v="2.160000000000004"/>
    <n v="6.410000000000004"/>
    <n v="8.960000000000001"/>
    <s v="-"/>
    <s v="-"/>
    <s v="-"/>
    <n v="0.006922628370587008"/>
    <x v="18"/>
    <s v="18:03:50"/>
    <n v="-1.034710960408559"/>
    <n v="-0.2485104549243502"/>
    <x v="1"/>
    <x v="0"/>
    <n v="0"/>
  </r>
  <r>
    <n v="112.6843825637491"/>
    <n v="55.38102696469607"/>
    <n v="-57.30335559905298"/>
    <n v="2.18"/>
    <m/>
    <n v="55.38102696469607"/>
    <s v="-"/>
    <n v="34.18438256374905"/>
    <m/>
    <n v="1.43"/>
    <n v="28.436644400947"/>
    <n v="26.88"/>
    <n v="1.189999999999998"/>
    <n v="2.160000000000004"/>
    <n v="6.410000000000004"/>
    <n v="8.960000000000001"/>
    <s v="-"/>
    <s v="-"/>
    <s v="-"/>
    <n v="0.006922628370587008"/>
    <x v="19"/>
    <s v="18:01:30"/>
    <n v="-1.034710960408559"/>
    <n v="0"/>
    <x v="1"/>
    <x v="0"/>
    <n v="0"/>
  </r>
  <r>
    <n v="112.6843825637491"/>
    <n v="55.22842540480455"/>
    <n v="-57.45595715894451"/>
    <n v="2.18"/>
    <m/>
    <n v="55.22842540480455"/>
    <s v="-"/>
    <n v="34.18438256374903"/>
    <m/>
    <n v="1.43"/>
    <n v="28.44404284105548"/>
    <n v="26.76"/>
    <n v="1.189999999999998"/>
    <n v="2.160000000000004"/>
    <n v="6.410000000000004"/>
    <n v="8.919999999999995"/>
    <s v="-"/>
    <s v="-"/>
    <s v="-"/>
    <n v="0.006903553175600569"/>
    <x v="20"/>
    <s v="18:01:35"/>
    <n v="-1.040333066492716"/>
    <n v="-0.1526015598915293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1"/>
    <s v="22:28:00"/>
    <n v="-1.039566953189366"/>
    <n v="0.0207452034656086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2"/>
    <s v="18:16:40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2"/>
    <s v="18:18:11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18:01:56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20:00:43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20:22:19"/>
    <n v="-1.039566953189366"/>
    <n v="0"/>
    <x v="1"/>
    <x v="0"/>
    <n v="0"/>
  </r>
  <r>
    <n v="112.6843825637491"/>
    <n v="55.24917060827016"/>
    <n v="-57.4352119554789"/>
    <n v="2.18"/>
    <m/>
    <n v="55.24917060827016"/>
    <s v="-"/>
    <n v="34.18438256374905"/>
    <m/>
    <n v="1.439999999999998"/>
    <n v="28.13478804452109"/>
    <n v="27.00000000000001"/>
    <n v="1.189999999999998"/>
    <n v="2.160000000000004"/>
    <n v="6.410000000000004"/>
    <n v="9.000000000000007"/>
    <s v="-"/>
    <s v="-"/>
    <s v="-"/>
    <n v="0.00690614632603377"/>
    <x v="23"/>
    <s v="20:24:40"/>
    <n v="-1.039566953189366"/>
    <n v="0"/>
    <x v="1"/>
    <x v="0"/>
    <n v="0"/>
  </r>
  <r>
    <n v="103.704382563749"/>
    <n v="46.46257479023989"/>
    <n v="-57.24180777350916"/>
    <n v="2.18"/>
    <m/>
    <n v="46.46257479023989"/>
    <s v="-"/>
    <n v="34.18438256374905"/>
    <m/>
    <n v="1.439999999999998"/>
    <n v="28.17819222649083"/>
    <n v="27.09"/>
    <n v="1.189999999999998"/>
    <n v="2.160000000000004"/>
    <n v="6.410000000000004"/>
    <n v="0"/>
    <s v="-"/>
    <s v="-"/>
    <s v="-"/>
    <n v="0.005807821848779987"/>
    <x v="23"/>
    <s v="20:25:30"/>
    <n v="-1.231998184171524"/>
    <n v="0.1934041819697399"/>
    <x v="1"/>
    <x v="0"/>
    <n v="-8.980000000000103"/>
  </r>
  <r>
    <n v="103.704382563749"/>
    <n v="46.73257479023989"/>
    <n v="-56.97180777350916"/>
    <n v="2.18"/>
    <m/>
    <n v="46.73257479023989"/>
    <s v="-"/>
    <n v="34.18438256374904"/>
    <m/>
    <n v="1.439999999999998"/>
    <n v="28.17819222649084"/>
    <n v="27.08999999999999"/>
    <n v="1.189999999999998"/>
    <n v="2.159999999999997"/>
    <n v="6.409999999999997"/>
    <n v="0"/>
    <s v="-"/>
    <s v="-"/>
    <s v="-"/>
    <n v="0.005841571848779986"/>
    <x v="24"/>
    <s v="18:44:39"/>
    <n v="-1.219102692912348"/>
    <n v="0.269999999999996"/>
    <x v="1"/>
    <x v="0"/>
    <n v="0"/>
  </r>
  <r>
    <n v="103.704382563749"/>
    <n v="34.62518620718537"/>
    <n v="-69.07919635656368"/>
    <n v="2.18"/>
    <m/>
    <n v="34.62518620718537"/>
    <s v="-"/>
    <n v="34.18438256374905"/>
    <m/>
    <n v="1.420000000000002"/>
    <n v="28.06080364343631"/>
    <n v="27.12"/>
    <n v="1.189999999999998"/>
    <n v="2.159999999999997"/>
    <n v="6.409999999999997"/>
    <n v="0"/>
    <s v="-"/>
    <s v="-"/>
    <s v="-"/>
    <n v="0.004328148275898172"/>
    <x v="24"/>
    <s v="20:18:59"/>
    <n v="-1.995056313725425"/>
    <n v="-12.10738858305452"/>
    <x v="1"/>
    <x v="0"/>
    <n v="0"/>
  </r>
  <r>
    <n v="103.704382563749"/>
    <n v="46.60518620718537"/>
    <n v="-57.09919635656368"/>
    <n v="2.18"/>
    <m/>
    <n v="46.60518620718537"/>
    <s v="-"/>
    <n v="34.18438256374904"/>
    <m/>
    <n v="1.420000000000002"/>
    <n v="28.06080364343632"/>
    <n v="27.12"/>
    <n v="1.189999999999998"/>
    <n v="2.160000000000004"/>
    <n v="6.409999999999997"/>
    <n v="0"/>
    <s v="-"/>
    <s v="-"/>
    <s v="-"/>
    <n v="0.005825648275898171"/>
    <x v="24"/>
    <s v="20:29:58"/>
    <n v="-1.225168291415611"/>
    <n v="11.98"/>
    <x v="1"/>
    <x v="0"/>
    <n v="0"/>
  </r>
  <r>
    <n v="103.704382563749"/>
    <n v="46.60518620718537"/>
    <n v="-57.09919635656368"/>
    <n v="2.18"/>
    <m/>
    <n v="46.60518620718537"/>
    <s v="-"/>
    <n v="34.18438256374904"/>
    <m/>
    <n v="1.420000000000002"/>
    <n v="28.06080364343632"/>
    <n v="27.12"/>
    <n v="1.189999999999998"/>
    <n v="2.160000000000004"/>
    <n v="6.409999999999997"/>
    <n v="0"/>
    <s v="-"/>
    <s v="-"/>
    <s v="-"/>
    <n v="0.005825648275898171"/>
    <x v="25"/>
    <s v="19:29:29"/>
    <n v="-1.225168291415611"/>
    <n v="0"/>
    <x v="1"/>
    <x v="0"/>
    <n v="0"/>
  </r>
  <r>
    <n v="103.704382563749"/>
    <n v="46.92400605484737"/>
    <n v="-56.78037650890168"/>
    <n v="2.18"/>
    <m/>
    <n v="46.92400605484737"/>
    <s v="-"/>
    <n v="34.18438256374904"/>
    <m/>
    <n v="1.399999999999999"/>
    <n v="28.21962349109832"/>
    <n v="27.3"/>
    <n v="1.189999999999998"/>
    <n v="2.159999999999997"/>
    <n v="6.409999999999997"/>
    <n v="0"/>
    <s v="-"/>
    <s v="-"/>
    <s v="-"/>
    <n v="0.005865500756855921"/>
    <x v="25"/>
    <s v="19:35:30"/>
    <n v="-1.210049637333471"/>
    <n v="0.3188198476619988"/>
    <x v="1"/>
    <x v="0"/>
    <n v="0"/>
  </r>
  <r>
    <n v="115.724382563749"/>
    <n v="59.09400605484737"/>
    <n v="-56.63037650890168"/>
    <n v="2.18"/>
    <m/>
    <n v="59.09400605484737"/>
    <s v="-"/>
    <n v="34.18438256374904"/>
    <m/>
    <n v="12.77"/>
    <n v="28.2196234910983"/>
    <n v="27.3"/>
    <n v="1.960000000000001"/>
    <n v="2.159999999999997"/>
    <n v="6.409999999999997"/>
    <n v="0"/>
    <s v="-"/>
    <s v="-"/>
    <s v="-"/>
    <n v="0.007386750756855921"/>
    <x v="26"/>
    <s v="18:00:35"/>
    <n v="-0.9583099926639074"/>
    <n v="0.1499999999999986"/>
    <x v="1"/>
    <x v="0"/>
    <n v="12.02000000000001"/>
  </r>
  <r>
    <n v="143.9208000622061"/>
    <n v="142.4495407128984"/>
    <n v="-1.471259349307762"/>
    <n v="2.18"/>
    <m/>
    <n v="142.4495407128984"/>
    <s v="-"/>
    <n v="41.15080006220612"/>
    <m/>
    <n v="12.72"/>
    <n v="38.01874065069225"/>
    <n v="27.56999999999999"/>
    <n v="1.960000000000008"/>
    <n v="2.159999999999997"/>
    <n v="6.409999999999997"/>
    <n v="11.28999999999999"/>
    <s v="-"/>
    <s v="-"/>
    <s v="-"/>
    <n v="0.0178061925891123"/>
    <x v="27"/>
    <s v="10:16:39"/>
    <n v="-0.0103282842608319"/>
    <n v="55.15911715959392"/>
    <x v="1"/>
    <x v="0"/>
    <n v="28.19641749845709"/>
  </r>
  <r>
    <n v="143.9208000622061"/>
    <n v="142.2782286704219"/>
    <n v="-1.642571391784242"/>
    <n v="2.18"/>
    <m/>
    <n v="142.2782286704219"/>
    <s v="-"/>
    <n v="41.15080006220612"/>
    <m/>
    <n v="12.63"/>
    <n v="38.21742860821578"/>
    <n v="27.35999999999999"/>
    <n v="1.960000000000008"/>
    <n v="2.159999999999997"/>
    <n v="6.409999999999997"/>
    <n v="11.22"/>
    <s v="-"/>
    <s v="-"/>
    <s v="-"/>
    <n v="0.01778477858380274"/>
    <x v="28"/>
    <s v="10:40:37"/>
    <n v="-0.01154478381642739"/>
    <n v="-0.17131204247648"/>
    <x v="1"/>
    <x v="0"/>
    <n v="0"/>
  </r>
  <r>
    <n v="143.9208000622061"/>
    <n v="142.2782286704219"/>
    <n v="-1.642571391784242"/>
    <n v="2.18"/>
    <m/>
    <n v="142.2782286704219"/>
    <s v="-"/>
    <n v="41.15080006220612"/>
    <m/>
    <n v="12.63"/>
    <n v="38.21742860821578"/>
    <n v="27.35999999999999"/>
    <n v="1.960000000000008"/>
    <n v="2.159999999999997"/>
    <n v="6.409999999999997"/>
    <n v="11.22"/>
    <s v="-"/>
    <s v="-"/>
    <s v="-"/>
    <n v="0.01778477858380274"/>
    <x v="29"/>
    <s v="19:24:15"/>
    <n v="-0.01154478381642739"/>
    <n v="0"/>
    <x v="1"/>
    <x v="0"/>
    <n v="0"/>
  </r>
  <r>
    <n v="143.9208000622061"/>
    <n v="141.6982618927321"/>
    <n v="-2.222538169474046"/>
    <n v="2.18"/>
    <m/>
    <n v="141.6982618927321"/>
    <s v="-"/>
    <n v="41.15080006220609"/>
    <m/>
    <n v="12.24000000000001"/>
    <n v="38.52746183052597"/>
    <n v="27.24000000000001"/>
    <n v="1.960000000000008"/>
    <n v="2.159999999999997"/>
    <n v="6.409999999999997"/>
    <n v="10.84"/>
    <s v="-"/>
    <s v="-"/>
    <s v="-"/>
    <n v="0.01771228273659151"/>
    <x v="29"/>
    <s v="20:25:35"/>
    <n v="-0.01568500657514447"/>
    <n v="-0.5799667776898041"/>
    <x v="1"/>
    <x v="0"/>
    <n v="0"/>
  </r>
  <r>
    <n v="143.9608000622061"/>
    <n v="141.7089007669715"/>
    <n v="-2.251899295234615"/>
    <n v="2.18"/>
    <m/>
    <n v="141.7089007669715"/>
    <s v="-"/>
    <n v="41.15080006220612"/>
    <m/>
    <n v="12.21000000000001"/>
    <n v="38.2681007047654"/>
    <n v="27.53999999999999"/>
    <n v="1.969999999999999"/>
    <n v="2.180000000000007"/>
    <n v="6.419999999999987"/>
    <n v="10.80000000000001"/>
    <s v="-"/>
    <s v="-"/>
    <s v="-"/>
    <n v="0.01771361259587144"/>
    <x v="30"/>
    <s v="18:58:59"/>
    <n v="-0.01589102225087241"/>
    <n v="-0.02936112576056882"/>
    <x v="1"/>
    <x v="0"/>
    <n v="0.03999999999999204"/>
  </r>
  <r>
    <n v="143.9608000622061"/>
    <n v="141.6449464208558"/>
    <n v="-2.315853641350282"/>
    <n v="2.18"/>
    <m/>
    <n v="141.6449464208558"/>
    <s v="-"/>
    <n v="41.15080006220612"/>
    <m/>
    <n v="12.03"/>
    <n v="38.69414635864973"/>
    <n v="27.38999999999999"/>
    <n v="1.969999999999999"/>
    <n v="2.180000000000007"/>
    <n v="6.419999999999987"/>
    <n v="10.63999999999999"/>
    <s v="-"/>
    <s v="-"/>
    <s v="-"/>
    <n v="0.01770561830260698"/>
    <x v="31"/>
    <s v="20:08:28"/>
    <n v="-0.01634970890150512"/>
    <n v="-0.06395434611566708"/>
    <x v="1"/>
    <x v="0"/>
    <n v="0"/>
  </r>
  <r>
    <n v="143.9608000622061"/>
    <n v="141.6096714587643"/>
    <n v="-2.351128603441835"/>
    <n v="2.18"/>
    <m/>
    <n v="141.6096714587643"/>
    <s v="-"/>
    <n v="41.15080006220612"/>
    <m/>
    <n v="11.84"/>
    <n v="39.23887139655818"/>
    <n v="27.24000000000001"/>
    <n v="1.969999999999999"/>
    <n v="2.180000000000007"/>
    <n v="6.419999999999987"/>
    <n v="10.40000000000001"/>
    <s v="-"/>
    <s v="-"/>
    <s v="-"/>
    <n v="0.01770120893234554"/>
    <x v="32"/>
    <s v="19:22:38"/>
    <n v="-0.01660288156325867"/>
    <n v="-0.0352749620915529"/>
    <x v="1"/>
    <x v="0"/>
    <n v="0"/>
  </r>
  <r>
    <n v="144.1208000622061"/>
    <n v="140.4196714587643"/>
    <n v="-3.701128603441844"/>
    <n v="2.18"/>
    <m/>
    <n v="140.4196714587643"/>
    <n v="1.527624983333333"/>
    <n v="41.30080006220609"/>
    <m/>
    <n v="11.84"/>
    <n v="39.23887139655818"/>
    <n v="27.24000000000001"/>
    <n v="1.969999999999999"/>
    <n v="2.180000000000007"/>
    <n v="6.430000000000007"/>
    <n v="10.40000000000001"/>
    <s v="-"/>
    <s v="-"/>
    <s v="-"/>
    <n v="0.01755245893234554"/>
    <x v="33"/>
    <s v="19:22:21"/>
    <n v="-0.02635762187015741"/>
    <n v="-1.350000000000009"/>
    <x v="3"/>
    <x v="0"/>
    <n v="0.1599999999999966"/>
  </r>
  <r>
    <n v="144.1208000622061"/>
    <n v="49.95627668201853"/>
    <n v="-94.16452338018759"/>
    <n v="2.18"/>
    <m/>
    <n v="49.95627668201853"/>
    <n v="89.69926831666668"/>
    <n v="41.30080006220611"/>
    <m/>
    <n v="11.73"/>
    <n v="38.66547661981244"/>
    <n v="27"/>
    <n v="1.969999999999999"/>
    <n v="2.18"/>
    <n v="6.43"/>
    <n v="10.32"/>
    <s v="-"/>
    <s v="-"/>
    <s v="-"/>
    <n v="0.006244534585252317"/>
    <x v="34"/>
    <s v="13:40:43"/>
    <n v="-1.884938783159585"/>
    <n v="-90.46339477674574"/>
    <x v="3"/>
    <x v="0"/>
    <n v="0"/>
  </r>
  <r>
    <n v="144.1208000622061"/>
    <n v="50.34294834989318"/>
    <n v="-93.77785171231294"/>
    <n v="2.18"/>
    <m/>
    <n v="50.34294834989318"/>
    <n v="89.69926831666668"/>
    <n v="41.30080006220611"/>
    <m/>
    <n v="11.92"/>
    <n v="38.71214828768709"/>
    <n v="26.97"/>
    <n v="1.969999999999999"/>
    <n v="2.18"/>
    <n v="6.43"/>
    <n v="10.5"/>
    <s v="-"/>
    <s v="-"/>
    <s v="-"/>
    <n v="0.006292868543736647"/>
    <x v="34"/>
    <s v="18:06:09"/>
    <n v="-1.862780285742083"/>
    <n v="0.3866716678746513"/>
    <x v="3"/>
    <x v="0"/>
    <n v="0"/>
  </r>
  <r>
    <n v="144.1208000622061"/>
    <n v="221.2609181283078"/>
    <n v="77.14011806610171"/>
    <n v="2.18"/>
    <m/>
    <n v="221.2609181283078"/>
    <n v="0"/>
    <n v="41.30080006220612"/>
    <m/>
    <n v="12.03999999999999"/>
    <n v="38.43011806610167"/>
    <n v="27.06"/>
    <n v="1.969999999999999"/>
    <n v="2.180000000000007"/>
    <n v="6.430000000000007"/>
    <n v="10.63999999999999"/>
    <s v="-"/>
    <s v="-"/>
    <s v="-"/>
    <n v="0.02765761476603847"/>
    <x v="35"/>
    <s v="21:34:46"/>
    <n v="0.3486386964252252"/>
    <n v="170.9179697784147"/>
    <x v="3"/>
    <x v="0"/>
    <n v="0"/>
  </r>
  <r>
    <n v="261.7081801655472"/>
    <n v="259.2496270168049"/>
    <n v="-2.458553148742232"/>
    <n v="2.18"/>
    <m/>
    <n v="259.2496270168049"/>
    <n v="0"/>
    <n v="65.67818016554713"/>
    <m/>
    <n v="46.79000000000002"/>
    <n v="57.86144685125777"/>
    <n v="45.25"/>
    <n v="1.970000000000027"/>
    <n v="2.180000000000007"/>
    <n v="6.430000000000007"/>
    <n v="10.69999999999999"/>
    <s v="-"/>
    <s v="-"/>
    <s v="-"/>
    <n v="0.03240620337710061"/>
    <x v="36"/>
    <s v="19:01:53"/>
    <n v="-0.009483343050606842"/>
    <n v="-79.59867121484393"/>
    <x v="3"/>
    <x v="0"/>
    <n v="117.5873801033411"/>
  </r>
  <r>
    <n v="261.7081801655472"/>
    <n v="248.2496270168049"/>
    <n v="-13.45855314874223"/>
    <n v="2.18"/>
    <m/>
    <n v="248.2496270168049"/>
    <n v="11.28408233333333"/>
    <n v="65.67818016554713"/>
    <m/>
    <n v="46.79000000000002"/>
    <n v="57.86144685125777"/>
    <n v="45.25"/>
    <n v="1.969999999999999"/>
    <n v="2.180000000000007"/>
    <n v="6.430000000000007"/>
    <n v="10.69999999999999"/>
    <s v="-"/>
    <s v="-"/>
    <s v="-"/>
    <n v="0.03103120337710061"/>
    <x v="37"/>
    <s v="17:19:01"/>
    <n v="-0.05421379000835788"/>
    <n v="-11"/>
    <x v="3"/>
    <x v="0"/>
    <n v="0"/>
  </r>
  <r>
    <n v="261.7081801655472"/>
    <n v="248.2806202927559"/>
    <n v="-13.42755987279122"/>
    <n v="3.43"/>
    <m/>
    <n v="248.2806202927559"/>
    <s v="-"/>
    <n v="65.67818016554713"/>
    <m/>
    <n v="46.79000000000002"/>
    <n v="57.89244012720877"/>
    <n v="45.25"/>
    <n v="1.969999999999999"/>
    <n v="2.180000000000007"/>
    <n v="6.430000000000007"/>
    <n v="10.69999999999999"/>
    <n v="21"/>
    <s v="-"/>
    <s v="-"/>
    <n v="0.03103507753659449"/>
    <x v="38"/>
    <s v="20:31:39"/>
    <n v="-0.05408219077654284"/>
    <n v="0.03099327595101009"/>
    <x v="3"/>
    <x v="0"/>
    <n v="0"/>
  </r>
  <r>
    <n v="261.7081801655472"/>
    <n v="248.0834786539176"/>
    <n v="-13.62470151162954"/>
    <n v="3.43"/>
    <m/>
    <n v="248.0834786539176"/>
    <s v="-"/>
    <n v="65.67818016554713"/>
    <m/>
    <n v="46.48000000000002"/>
    <n v="58.54529848837046"/>
    <n v="45.19999999999999"/>
    <n v="1.969999999999999"/>
    <n v="2.180000000000007"/>
    <n v="6.430000000000007"/>
    <n v="10.47000000000003"/>
    <n v="20.74"/>
    <s v="-"/>
    <s v="-"/>
    <n v="0.0310104348317397"/>
    <x v="39"/>
    <s v="18:01:06"/>
    <n v="-0.05491982612286861"/>
    <n v="-0.1971416388383211"/>
    <x v="3"/>
    <x v="0"/>
    <n v="0"/>
  </r>
  <r>
    <n v="261.7081801655472"/>
    <n v="246.9425743089371"/>
    <n v="-14.76560585661009"/>
    <n v="3.43"/>
    <m/>
    <n v="246.9425743089371"/>
    <s v="-"/>
    <n v="65.67818016554713"/>
    <m/>
    <n v="45.94999999999999"/>
    <n v="58.10439414338987"/>
    <n v="45.19999999999999"/>
    <n v="1.969999999999999"/>
    <n v="2.180000000000007"/>
    <n v="6.43000000000001"/>
    <n v="10.39999999999998"/>
    <n v="20.64"/>
    <s v="-"/>
    <s v="-"/>
    <n v="0.03086782178861714"/>
    <x v="40"/>
    <s v="18:04:34"/>
    <n v="-0.05979368238924084"/>
    <n v="-1.14090434498055"/>
    <x v="3"/>
    <x v="0"/>
    <n v="0"/>
  </r>
  <r>
    <n v="276.5981801655471"/>
    <n v="261.9245782132235"/>
    <n v="-14.67360195232359"/>
    <n v="3.43"/>
    <m/>
    <n v="261.9245782132235"/>
    <s v="-"/>
    <n v="65.72818016554714"/>
    <m/>
    <n v="45.94999999999999"/>
    <n v="58.08639804767643"/>
    <n v="45.19999999999999"/>
    <n v="1.970000000000027"/>
    <n v="2.180000000000007"/>
    <n v="6.439999999999998"/>
    <n v="10.39999999999998"/>
    <n v="20.64"/>
    <s v="-"/>
    <s v="-"/>
    <n v="0.03274057227665294"/>
    <x v="40"/>
    <s v="22:54:48"/>
    <n v="-0.05602224141171788"/>
    <n v="0.09200390428649996"/>
    <x v="3"/>
    <x v="0"/>
    <n v="14.88999999999987"/>
  </r>
  <r>
    <n v="276.5981801655471"/>
    <n v="262.0846020727521"/>
    <n v="-14.51357809279493"/>
    <n v="3.43"/>
    <m/>
    <n v="262.0846020727521"/>
    <s v="-"/>
    <n v="65.72818016554714"/>
    <m/>
    <n v="46.06"/>
    <n v="57.97642190720507"/>
    <n v="45.19999999999999"/>
    <n v="1.970000000000027"/>
    <n v="2.180000000000007"/>
    <n v="6.439999999999998"/>
    <n v="10.5"/>
    <n v="20.7"/>
    <s v="-"/>
    <s v="-"/>
    <n v="0.03276057525909401"/>
    <x v="41"/>
    <s v="21:31:57"/>
    <n v="-0.05537745437164639"/>
    <n v="0.1600238595286605"/>
    <x v="3"/>
    <x v="0"/>
    <n v="0"/>
  </r>
  <r>
    <n v="265.3681801655471"/>
    <n v="252.7666016389426"/>
    <n v="-12.60157852660454"/>
    <n v="3.43"/>
    <m/>
    <n v="252.7666016389426"/>
    <s v="-"/>
    <n v="65.72818016554712"/>
    <m/>
    <n v="47.49999999999997"/>
    <n v="57.97842147339546"/>
    <n v="45.09999999999999"/>
    <n v="1.969999999999999"/>
    <n v="2.180000000000007"/>
    <n v="6.440000000000026"/>
    <n v="0"/>
    <n v="20.54"/>
    <s v="-"/>
    <s v="-"/>
    <n v="0.03159582520486783"/>
    <x v="42"/>
    <s v="21:42:20"/>
    <n v="-0.04985460280312235"/>
    <n v="1.91199956619039"/>
    <x v="3"/>
    <x v="0"/>
    <n v="-11.23000000000002"/>
  </r>
  <r>
    <n v="284.4081801655471"/>
    <n v="283.8468492345772"/>
    <n v="-0.561330930969915"/>
    <n v="3.43"/>
    <m/>
    <n v="283.8468492345772"/>
    <s v="-"/>
    <n v="65.79818016554714"/>
    <m/>
    <n v="49.90999999999997"/>
    <n v="66.18866906903008"/>
    <n v="54.30000000000001"/>
    <n v="2.910000000000025"/>
    <n v="2.180000000000007"/>
    <n v="6.439999999999998"/>
    <n v="0"/>
    <n v="20.65"/>
    <s v="-"/>
    <s v="-"/>
    <n v="0.03548085615432215"/>
    <x v="43"/>
    <s v="18:19:06"/>
    <n v="-0.00197758380085459"/>
    <n v="12.04024759563463"/>
    <x v="3"/>
    <x v="0"/>
    <n v="19.04000000000002"/>
  </r>
  <r>
    <n v="284.4581801655471"/>
    <n v="284.0156634983682"/>
    <n v="-0.4425166671789238"/>
    <n v="3.43"/>
    <m/>
    <n v="284.0156634983682"/>
    <s v="-"/>
    <n v="65.83818016554716"/>
    <m/>
    <n v="49.91000000000003"/>
    <n v="66.21748333282108"/>
    <n v="54.30000000000001"/>
    <n v="2.910000000000025"/>
    <n v="2.180000000000007"/>
    <n v="6.449999999999989"/>
    <n v="0"/>
    <n v="20.65"/>
    <s v="-"/>
    <s v="-"/>
    <n v="0.03550195793729603"/>
    <x v="44"/>
    <s v="21:49:06"/>
    <n v="-0.001558071346235685"/>
    <n v="0.1188142637909912"/>
    <x v="3"/>
    <x v="0"/>
    <n v="0.05000000000001137"/>
  </r>
  <r>
    <n v="284.4581801655471"/>
    <n v="283.3013433943441"/>
    <n v="-1.156836771203036"/>
    <n v="3.43"/>
    <m/>
    <n v="283.3013433943441"/>
    <s v="-"/>
    <n v="65.83818016554716"/>
    <m/>
    <n v="49.75"/>
    <n v="65.60316322879697"/>
    <n v="54.24000000000001"/>
    <n v="2.910000000000025"/>
    <n v="2.180000000000007"/>
    <n v="6.449999999999989"/>
    <n v="0"/>
    <n v="20.77"/>
    <s v="-"/>
    <s v="-"/>
    <n v="0.03541266792429301"/>
    <x v="45"/>
    <s v="11:27:58"/>
    <n v="-0.004083414350749356"/>
    <n v="-0.7143201040241123"/>
    <x v="3"/>
    <x v="0"/>
    <n v="0"/>
  </r>
  <r>
    <n v="284.4581801655471"/>
    <n v="190.1175457133817"/>
    <n v="-94.34063445216536"/>
    <n v="3.43"/>
    <m/>
    <n v="190.1175457133817"/>
    <n v="95.33315300000001"/>
    <n v="65.83818016554713"/>
    <m/>
    <n v="49.70999999999998"/>
    <n v="65.55936554783463"/>
    <n v="54.18000000000001"/>
    <n v="2.909999999999997"/>
    <n v="2.180000000000007"/>
    <n v="6.449999999999989"/>
    <n v="0"/>
    <n v="20.73"/>
    <s v="-"/>
    <s v="-"/>
    <n v="0.02376469321417271"/>
    <x v="45"/>
    <s v="11:37:00"/>
    <n v="-0.4962226610814336"/>
    <n v="-93.18379768096233"/>
    <x v="3"/>
    <x v="0"/>
    <n v="0"/>
  </r>
  <r>
    <n v="277.7881801655471"/>
    <n v="183.7828359342031"/>
    <n v="-94.00534423134401"/>
    <n v="3.43"/>
    <m/>
    <n v="183.7828359342031"/>
    <n v="95.33315300000001"/>
    <n v="65.83818016554713"/>
    <m/>
    <n v="49.57999999999998"/>
    <n v="65.64465576865598"/>
    <n v="54.24000000000001"/>
    <n v="2.909999999999997"/>
    <n v="3.460000000000008"/>
    <n v="6.449999999999989"/>
    <n v="0"/>
    <n v="20.72"/>
    <n v="6.88"/>
    <s v="-"/>
    <n v="0.02297285449177539"/>
    <x v="45"/>
    <s v="11:52:28"/>
    <n v="-0.5115023051717369"/>
    <n v="0.3352902208213493"/>
    <x v="3"/>
    <x v="0"/>
    <n v="-6.670000000000016"/>
  </r>
  <r>
    <n v="277.7881801655471"/>
    <n v="183.5623549895324"/>
    <n v="-94.22582517601465"/>
    <n v="3.43"/>
    <m/>
    <n v="183.5623549895324"/>
    <s v="-"/>
    <n v="65.83818016554713"/>
    <m/>
    <n v="49.70999999999998"/>
    <n v="65.38417482398535"/>
    <n v="54.18000000000001"/>
    <n v="2.909999999999997"/>
    <n v="3.460000000000008"/>
    <n v="6.449999999999989"/>
    <n v="0"/>
    <n v="20.69"/>
    <n v="6.88"/>
    <s v="-"/>
    <n v="0.02294529437369155"/>
    <x v="45"/>
    <s v="19:13:47"/>
    <n v="-0.5133178051751834"/>
    <n v="-0.2204809446706406"/>
    <x v="3"/>
    <x v="0"/>
    <n v="0"/>
  </r>
  <r>
    <n v="277.7881801655471"/>
    <n v="184.3688641122202"/>
    <n v="-93.41931605332692"/>
    <n v="3.43"/>
    <m/>
    <n v="184.3688641122202"/>
    <s v="-"/>
    <n v="65.83818016554713"/>
    <m/>
    <n v="50.14000000000001"/>
    <n v="65.41068394667306"/>
    <n v="54.11999999999998"/>
    <n v="2.909999999999997"/>
    <n v="3.460000000000008"/>
    <n v="6.449999999999989"/>
    <n v="0"/>
    <n v="21.1"/>
    <n v="6.88"/>
    <s v="-"/>
    <n v="0.02304610801402752"/>
    <x v="46"/>
    <s v="21:54:15"/>
    <n v="-0.5066978988191042"/>
    <n v="0.8065091226877286"/>
    <x v="3"/>
    <x v="0"/>
    <n v="0"/>
  </r>
  <r>
    <n v="354.8395128509162"/>
    <n v="352.4195235581527"/>
    <n v="-2.419989292763536"/>
    <n v="3.43"/>
    <m/>
    <n v="352.4195235581527"/>
    <s v="-"/>
    <n v="93.87951285091623"/>
    <m/>
    <n v="50.13999999999999"/>
    <n v="113.5000107072365"/>
    <n v="54.12"/>
    <n v="2.910000000000025"/>
    <n v="3.45999999999998"/>
    <n v="6.449999999999989"/>
    <n v="0"/>
    <n v="21.1"/>
    <n v="6.86"/>
    <s v="-"/>
    <n v="0.04405244044476909"/>
    <x v="47"/>
    <s v="22:40:29"/>
    <n v="-0.006866785552430422"/>
    <n v="90.99932676056339"/>
    <x v="3"/>
    <x v="0"/>
    <n v="77.05133268536912"/>
  </r>
  <r>
    <n v="354.8395128509162"/>
    <n v="455.997491293468"/>
    <n v="101.1579784425519"/>
    <n v="3.43"/>
    <m/>
    <n v="455.997491293468"/>
    <s v="-"/>
    <n v="93.87951285091623"/>
    <m/>
    <n v="50.75"/>
    <n v="114.4179784425519"/>
    <n v="54.24000000000001"/>
    <n v="2.910000000000025"/>
    <n v="3.45999999999998"/>
    <n v="6.449999999999989"/>
    <n v="0"/>
    <n v="21.18"/>
    <n v="6.86"/>
    <s v="-"/>
    <n v="0.0569996864116835"/>
    <x v="48"/>
    <s v="17:12:34"/>
    <n v="0.2218388924807687"/>
    <n v="103.5779677353154"/>
    <x v="3"/>
    <x v="0"/>
    <n v="0"/>
  </r>
  <r>
    <n v="453.9695128509162"/>
    <n v="454.5874881302637"/>
    <n v="0.6179752793474709"/>
    <n v="3.43"/>
    <m/>
    <n v="454.5874881302637"/>
    <s v="-"/>
    <n v="93.87951285091623"/>
    <m/>
    <n v="88.33999999999997"/>
    <n v="114.5079752793476"/>
    <n v="81.54000000000002"/>
    <n v="5.910000000000025"/>
    <n v="3.45999999999998"/>
    <n v="6.449999999999989"/>
    <n v="0"/>
    <n v="21.18"/>
    <n v="38.34"/>
    <s v="-"/>
    <n v="0.05682343601628296"/>
    <x v="48"/>
    <s v="17:26:13"/>
    <n v="0.001359419903722444"/>
    <n v="-100.5400031632044"/>
    <x v="3"/>
    <x v="0"/>
    <n v="99.13"/>
  </r>
  <r>
    <n v="453.9695128509162"/>
    <n v="453.7814862323411"/>
    <n v="-0.1880266185751207"/>
    <n v="3.43"/>
    <m/>
    <n v="453.7814862323411"/>
    <s v="-"/>
    <n v="93.87951285091617"/>
    <m/>
    <n v="88.40999999999997"/>
    <n v="114.5619733814249"/>
    <n v="81.53999999999996"/>
    <n v="5.910000000000025"/>
    <n v="3.45999999999998"/>
    <n v="6.449999999999989"/>
    <n v="0"/>
    <n v="21.23"/>
    <n v="38.34"/>
    <s v="-"/>
    <n v="0.05672268577904264"/>
    <x v="48"/>
    <s v="17:37:46"/>
    <n v="-0.0004143549798302019"/>
    <n v="-0.8060018979225916"/>
    <x v="3"/>
    <x v="0"/>
    <n v="0"/>
  </r>
  <r>
    <n v="453.9695128509162"/>
    <n v="453.8974821553221"/>
    <n v="-0.07203069559409236"/>
    <n v="3.43"/>
    <m/>
    <n v="453.8974821553221"/>
    <s v="-"/>
    <n v="93.87951285091617"/>
    <m/>
    <n v="88.40999999999997"/>
    <n v="114.6779693044059"/>
    <n v="81.53999999999996"/>
    <n v="5.910000000000025"/>
    <n v="3.45999999999998"/>
    <n v="6.449999999999989"/>
    <n v="0"/>
    <n v="21.23"/>
    <n v="38.34"/>
    <s v="-"/>
    <n v="0.05673718526941526"/>
    <x v="48"/>
    <s v="18:39:36"/>
    <n v="-0.0001586937544840659"/>
    <n v="0.1159959229810283"/>
    <x v="3"/>
    <x v="0"/>
    <n v="0"/>
  </r>
  <r>
    <n v="453.9695128509162"/>
    <n v="454.2054635978565"/>
    <n v="0.2359507469402882"/>
    <n v="3.43"/>
    <m/>
    <n v="454.2054635978565"/>
    <s v="-"/>
    <n v="93.87951285091617"/>
    <m/>
    <n v="88.60000000000002"/>
    <n v="115.2059507469403"/>
    <n v="81.09000000000003"/>
    <n v="5.910000000000025"/>
    <n v="3.45999999999998"/>
    <n v="6.449999999999989"/>
    <n v="0"/>
    <n v="21.58"/>
    <n v="38.34"/>
    <s v="-"/>
    <n v="0.05677568294973206"/>
    <x v="49"/>
    <s v="18:58:19"/>
    <n v="0.0005194802041157166"/>
    <n v="0.3079814425343805"/>
    <x v="3"/>
    <x v="0"/>
    <n v="0"/>
  </r>
  <r>
    <n v="462.5907695350509"/>
    <n v="462.7747632312772"/>
    <n v="0.1839936962262536"/>
    <n v="3.43"/>
    <m/>
    <n v="462.7747632312772"/>
    <s v="-"/>
    <n v="102.7407695350509"/>
    <m/>
    <n v="89.53000000000003"/>
    <n v="113.9839936962263"/>
    <n v="81.18000000000001"/>
    <n v="5.910000000000025"/>
    <n v="3.45999999999998"/>
    <n v="6.46999999999997"/>
    <n v="0"/>
    <n v="21.53"/>
    <n v="38.08"/>
    <s v="-"/>
    <n v="0.05784684540390965"/>
    <x v="50"/>
    <s v="20:17:10"/>
    <n v="0.0003975880079145556"/>
    <n v="-0.05195705071403459"/>
    <x v="3"/>
    <x v="0"/>
    <n v="8.621256684134721"/>
  </r>
  <r>
    <n v="474.183262233218"/>
    <n v="476.4701584446829"/>
    <n v="2.28689621146485"/>
    <n v="3.43"/>
    <m/>
    <n v="476.4701584446829"/>
    <s v="-"/>
    <n v="104.613262233218"/>
    <m/>
    <n v="90.51000000000005"/>
    <n v="124.5868962114649"/>
    <n v="81.62999999999994"/>
    <n v="5.910000000000025"/>
    <n v="3.45999999999998"/>
    <n v="6.46999999999997"/>
    <n v="0"/>
    <n v="21.34"/>
    <n v="37.8"/>
    <s v="-"/>
    <n v="0.05955876980558537"/>
    <x v="51"/>
    <s v="19:16:16"/>
    <n v="0.004799663044858566"/>
    <n v="2.102902515238597"/>
    <x v="3"/>
    <x v="0"/>
    <n v="11.59249269816706"/>
  </r>
  <r>
    <n v="476.0649673539857"/>
    <n v="478.373629313119"/>
    <n v="2.308661959133278"/>
    <n v="3.43"/>
    <m/>
    <n v="478.373629313119"/>
    <s v="-"/>
    <n v="106.4949673539857"/>
    <m/>
    <n v="90.50999999999999"/>
    <n v="124.5586619591334"/>
    <n v="81.63"/>
    <n v="5.910000000000025"/>
    <n v="3.45999999999998"/>
    <n v="6.470000000000027"/>
    <n v="0"/>
    <n v="21.34"/>
    <n v="37.8"/>
    <s v="-"/>
    <n v="0.05979670366413987"/>
    <x v="52"/>
    <s v="20:01:18"/>
    <n v="0.004826064435132451"/>
    <n v="0.02176574766842787"/>
    <x v="3"/>
    <x v="0"/>
    <n v="1.88170512076772"/>
  </r>
  <r>
    <n v="476.3849673539856"/>
    <n v="479.0100507257533"/>
    <n v="2.625083371767711"/>
    <n v="3.43"/>
    <m/>
    <n v="479.0100507257533"/>
    <s v="-"/>
    <n v="106.4949673539857"/>
    <m/>
    <n v="90.63"/>
    <n v="124.6650833717678"/>
    <n v="81.72000000000003"/>
    <n v="5.910000000000025"/>
    <n v="3.45999999999998"/>
    <n v="6.470000000000027"/>
    <n v="0"/>
    <n v="21.3"/>
    <n v="38.12"/>
    <s v="-"/>
    <n v="0.05987625634071916"/>
    <x v="52"/>
    <s v="20:06:06"/>
    <n v="0.005480226078326371"/>
    <n v="0.3164214126344329"/>
    <x v="3"/>
    <x v="0"/>
    <n v="0.3199999999998795"/>
  </r>
  <r>
    <n v="510.2660885490335"/>
    <n v="512.3573107812632"/>
    <n v="2.091222232229744"/>
    <n v="3.43"/>
    <m/>
    <n v="512.3573107812632"/>
    <s v="-"/>
    <n v="108.3960885490335"/>
    <m/>
    <n v="89.65999999999997"/>
    <n v="125.0712222322297"/>
    <n v="100.54"/>
    <n v="5.909999999999968"/>
    <n v="3.460000000000036"/>
    <n v="6.480000000000018"/>
    <n v="0"/>
    <n v="35.2"/>
    <n v="37.78"/>
    <s v="-"/>
    <n v="0.0640446638476579"/>
    <x v="53"/>
    <s v="18:26:30"/>
    <n v="0.004081570006371068"/>
    <n v="-0.5338611395379669"/>
    <x v="3"/>
    <x v="0"/>
    <n v="33.88112119504791"/>
  </r>
  <r>
    <n v="510.2660885490335"/>
    <n v="492.3573107812633"/>
    <n v="-17.90877776777025"/>
    <n v="3.43"/>
    <m/>
    <n v="492.3573107812633"/>
    <n v="20.52826"/>
    <n v="108.3960885490334"/>
    <m/>
    <n v="89.66000000000003"/>
    <n v="125.0712222322298"/>
    <n v="100.54"/>
    <n v="5.910000000000025"/>
    <n v="3.45999999999998"/>
    <n v="6.480000000000018"/>
    <n v="0"/>
    <n v="35.2"/>
    <n v="37.78"/>
    <s v="-"/>
    <n v="0.06154466384765792"/>
    <x v="53"/>
    <s v="18:36:24"/>
    <n v="-0.03637353884184829"/>
    <n v="-19.99999999999999"/>
    <x v="3"/>
    <x v="0"/>
    <n v="0"/>
  </r>
  <r>
    <n v="515.9380176148068"/>
    <n v="313.0150080103291"/>
    <n v="-202.9230096044777"/>
    <n v="3.43"/>
    <m/>
    <n v="313.0150080103291"/>
    <n v="209.29587483"/>
    <n v="114.0680176148068"/>
    <m/>
    <n v="89.13999999999999"/>
    <n v="124.4869903955224"/>
    <n v="100.87"/>
    <n v="5.910000000000025"/>
    <n v="3.45999999999998"/>
    <n v="6.480000000000018"/>
    <n v="0"/>
    <n v="34.87"/>
    <n v="37.78"/>
    <s v="-"/>
    <n v="0.03912687600129114"/>
    <x v="54"/>
    <s v="12:20:03"/>
    <n v="-0.6482852400412107"/>
    <n v="-185.0142318367074"/>
    <x v="3"/>
    <x v="0"/>
    <n v="5.67192906577327"/>
  </r>
  <r>
    <n v="515.9380176148068"/>
    <n v="312.1981981901622"/>
    <n v="-203.7398194246446"/>
    <n v="3.43"/>
    <m/>
    <n v="312.1981981901622"/>
    <s v="-"/>
    <n v="114.0680176148068"/>
    <m/>
    <n v="88.78999999999996"/>
    <n v="123.8701805753554"/>
    <n v="100.76"/>
    <n v="5.910000000000025"/>
    <n v="3.45999999999998"/>
    <n v="6.480000000000018"/>
    <n v="0"/>
    <n v="35.17"/>
    <n v="37.78"/>
    <s v="-"/>
    <n v="0.03902477477377028"/>
    <x v="54"/>
    <s v="18:10:44"/>
    <n v="-0.6525976786725245"/>
    <n v="-0.8168098201668954"/>
    <x v="3"/>
    <x v="0"/>
    <n v="0"/>
  </r>
  <r>
    <n v="517.8688831426193"/>
    <n v="311.6934251594657"/>
    <n v="-206.1754579831536"/>
    <n v="3.43"/>
    <m/>
    <n v="311.6934251594657"/>
    <s v="-"/>
    <n v="115.9988831426193"/>
    <m/>
    <n v="88.46999999999997"/>
    <n v="123.3945420168464"/>
    <n v="99.55000000000001"/>
    <n v="5.910000000000025"/>
    <n v="3.45999999999998"/>
    <n v="6.480000000000018"/>
    <n v="0"/>
    <n v="34.95"/>
    <n v="37.78"/>
    <s v="-"/>
    <n v="0.03896167814493321"/>
    <x v="55"/>
    <s v="18:19:51"/>
    <n v="-0.6614687424916712"/>
    <n v="-2.435638558508998"/>
    <x v="4"/>
    <x v="0"/>
    <n v="1.930865527812557"/>
  </r>
  <r>
    <n v="524.8602158450266"/>
    <n v="319.6807437749462"/>
    <n v="-205.1794720700804"/>
    <n v="3.43"/>
    <m/>
    <n v="319.6807437749462"/>
    <s v="-"/>
    <n v="117.9502158450265"/>
    <m/>
    <n v="93.31"/>
    <n v="123.0405279299196"/>
    <n v="99.88"/>
    <n v="5.910000000000025"/>
    <n v="3.45999999999998"/>
    <n v="6.480000000000018"/>
    <n v="0"/>
    <n v="35.1"/>
    <n v="38.19"/>
    <s v="-"/>
    <n v="0.03996009297186828"/>
    <x v="56"/>
    <s v="20:46:31"/>
    <n v="-0.6418261846091231"/>
    <n v="0.9959859130731843"/>
    <x v="4"/>
    <x v="0"/>
    <n v="6.991332702407249"/>
  </r>
  <r>
    <n v="527.1922326740794"/>
    <n v="319.3238731023256"/>
    <n v="-207.8683595717538"/>
    <n v="3.43"/>
    <m/>
    <n v="319.3238731023256"/>
    <s v="-"/>
    <n v="119.9222326740794"/>
    <m/>
    <n v="92.86000000000001"/>
    <n v="122.3216404282462"/>
    <n v="99.22000000000003"/>
    <n v="5.910000000000025"/>
    <n v="3.45999999999998"/>
    <n v="6.480000000000018"/>
    <n v="0"/>
    <n v="33.75"/>
    <n v="38.55"/>
    <s v="-"/>
    <n v="0.0399154841377907"/>
    <x v="57"/>
    <s v="19:46:18"/>
    <n v="-0.6509640433464977"/>
    <n v="-2.688887501673406"/>
    <x v="4"/>
    <x v="0"/>
    <n v="2.332016829052804"/>
  </r>
  <r>
    <n v="820.7351528815202"/>
    <n v="816.9362960365066"/>
    <n v="-3.798856845013606"/>
    <n v="4.8"/>
    <m/>
    <n v="816.9362960365066"/>
    <s v="-"/>
    <n v="121.9151528815202"/>
    <m/>
    <n v="142.87"/>
    <n v="175.3211431549864"/>
    <n v="185.63"/>
    <n v="5.909999999999968"/>
    <n v="5.049999999999955"/>
    <n v="6.480000000000018"/>
    <n v="0"/>
    <n v="32.88"/>
    <n v="38.55"/>
    <s v="-"/>
    <n v="0.1021170370045633"/>
    <x v="58"/>
    <s v="21:38:56"/>
    <n v="-0.004650126164603471"/>
    <n v="204.0695027267402"/>
    <x v="4"/>
    <x v="0"/>
    <n v="293.5429202074408"/>
  </r>
  <r>
    <n v="820.7351528815202"/>
    <n v="642.3722971119948"/>
    <n v="-178.3628557695253"/>
    <n v="4.8"/>
    <m/>
    <n v="642.3722971119948"/>
    <n v="179.2359987"/>
    <n v="121.9151528815202"/>
    <m/>
    <n v="142.87"/>
    <n v="175.2971442304747"/>
    <n v="185.63"/>
    <n v="5.909999999999968"/>
    <n v="5.049999999999955"/>
    <n v="6.480000000000018"/>
    <n v="0"/>
    <n v="32.88"/>
    <n v="38.55"/>
    <s v="-"/>
    <n v="0.08029653713899935"/>
    <x v="59"/>
    <s v="21:06:07"/>
    <n v="-0.2776627456872234"/>
    <n v="-174.5639989245117"/>
    <x v="4"/>
    <x v="0"/>
    <n v="0"/>
  </r>
  <r>
    <n v="820.8851528815203"/>
    <n v="642.672297111995"/>
    <n v="-178.2128557695253"/>
    <n v="4.8"/>
    <m/>
    <n v="642.672297111995"/>
    <n v="179.2359987"/>
    <n v="121.9151528815202"/>
    <m/>
    <n v="142.87"/>
    <n v="175.2971442304747"/>
    <n v="185.63"/>
    <n v="5.909999999999968"/>
    <n v="5.049999999999955"/>
    <n v="6.480000000000018"/>
    <n v="0"/>
    <n v="32.88"/>
    <n v="38.7"/>
    <s v="-"/>
    <n v="0.08033403713899938"/>
    <x v="59"/>
    <s v="21:10:31"/>
    <n v="-0.2772997320257436"/>
    <n v="0.1500000000000057"/>
    <x v="4"/>
    <x v="0"/>
    <n v="0.1500000000000909"/>
  </r>
  <r>
    <n v="820.8851528815203"/>
    <n v="641.2472009902322"/>
    <n v="-179.6379518912881"/>
    <n v="4.8"/>
    <m/>
    <n v="641.2472009902322"/>
    <n v="179.24"/>
    <n v="121.9151528815202"/>
    <m/>
    <n v="140.0599999999999"/>
    <n v="177.4420481087119"/>
    <n v="185.02"/>
    <n v="5.909999999999968"/>
    <n v="5.049999999999955"/>
    <n v="6.480000000000018"/>
    <n v="0"/>
    <n v="32.86"/>
    <n v="38.7"/>
    <s v="-"/>
    <n v="0.08015590012377902"/>
    <x v="60"/>
    <s v="19:39:54"/>
    <n v="-0.2801383797291997"/>
    <n v="-1.425096121762806"/>
    <x v="4"/>
    <x v="0"/>
    <n v="0"/>
  </r>
  <r>
    <n v="820.8851528815203"/>
    <n v="641.2472009902322"/>
    <n v="-179.6379518912881"/>
    <n v="4.8"/>
    <m/>
    <n v="641.2472009902322"/>
    <n v="0"/>
    <n v="121.9151528815202"/>
    <m/>
    <n v="140.0599999999999"/>
    <n v="177.4420481087119"/>
    <n v="185.02"/>
    <n v="5.909999999999968"/>
    <n v="5.049999999999955"/>
    <n v="6.480000000000018"/>
    <n v="0"/>
    <n v="32.86"/>
    <n v="38.7"/>
    <s v="-"/>
    <n v="0.08015590012377902"/>
    <x v="60"/>
    <s v="20:09:19"/>
    <n v="-0.2801383797291997"/>
    <n v="0"/>
    <x v="4"/>
    <x v="0"/>
    <n v="0"/>
  </r>
  <r>
    <n v="820.8851528815203"/>
    <n v="638.4110668230724"/>
    <n v="-182.474086058448"/>
    <n v="4.8"/>
    <m/>
    <n v="638.4110668230724"/>
    <n v="0"/>
    <n v="121.9151528815202"/>
    <m/>
    <n v="134.84"/>
    <n v="180.435913941552"/>
    <n v="184.61"/>
    <n v="5.909999999999968"/>
    <n v="5.049999999999955"/>
    <n v="6.480000000000018"/>
    <n v="0"/>
    <n v="32.9"/>
    <n v="38.7"/>
    <s v="-"/>
    <n v="0.07980138335288404"/>
    <x v="61"/>
    <s v="06:19:13"/>
    <n v="-0.2858253804503962"/>
    <n v="-2.836134167159884"/>
    <x v="4"/>
    <x v="0"/>
    <n v="0"/>
  </r>
  <r>
    <n v="821.0351528815202"/>
    <n v="642.9183304521308"/>
    <n v="-178.1168224293894"/>
    <n v="4.8"/>
    <m/>
    <n v="642.9183304521308"/>
    <n v="0"/>
    <n v="122.0651528815201"/>
    <m/>
    <n v="140.89"/>
    <n v="174.5531775706106"/>
    <n v="185.22"/>
    <n v="5.909999999999968"/>
    <n v="5.049999999999955"/>
    <n v="6.480000000000018"/>
    <n v="0"/>
    <n v="34.46"/>
    <n v="38.7"/>
    <s v="-"/>
    <n v="0.08036479130651636"/>
    <x v="61"/>
    <s v="22:31:14"/>
    <n v="-0.2770442434020028"/>
    <n v="4.357263629058593"/>
    <x v="4"/>
    <x v="0"/>
    <n v="0.1499999999998636"/>
  </r>
  <r>
    <n v="820.6651528815203"/>
    <n v="646.3762409177336"/>
    <n v="-174.2889119637866"/>
    <n v="4.8"/>
    <m/>
    <n v="646.3762409177336"/>
    <n v="0"/>
    <n v="122.1351528815202"/>
    <m/>
    <n v="139.46"/>
    <n v="176.5510880362134"/>
    <n v="184.41"/>
    <n v="5.909999999999968"/>
    <n v="5.049999999999955"/>
    <n v="6.480000000000018"/>
    <n v="0"/>
    <n v="33.93"/>
    <n v="38.26000000000001"/>
    <s v="-"/>
    <n v="0.0807970301147167"/>
    <x v="62"/>
    <s v="18:28:23"/>
    <n v="-0.2696400345970775"/>
    <n v="3.827910465602798"/>
    <x v="4"/>
    <x v="0"/>
    <n v="-0.3699999999998909"/>
  </r>
  <r>
    <n v="820.7251528815202"/>
    <n v="633.9562409177336"/>
    <n v="-186.7689119637866"/>
    <n v="4.8"/>
    <m/>
    <n v="633.9562409177336"/>
    <n v="192.1133874"/>
    <n v="122.1351528815202"/>
    <m/>
    <n v="139.46"/>
    <n v="176.5510880362134"/>
    <n v="184.41"/>
    <n v="5.909999999999968"/>
    <n v="5.049999999999955"/>
    <n v="6.539999999999964"/>
    <n v="0"/>
    <n v="33.93"/>
    <n v="38.26000000000001"/>
    <s v="-"/>
    <n v="0.0792445301147167"/>
    <x v="62"/>
    <s v="21:47:13"/>
    <n v="-0.2946085232845322"/>
    <n v="-12.47999999999999"/>
    <x v="4"/>
    <x v="0"/>
    <n v="0.05999999999994543"/>
  </r>
  <r>
    <n v="821.1451528815202"/>
    <n v="637.0412671327598"/>
    <n v="-184.1038857487604"/>
    <n v="4.8"/>
    <m/>
    <n v="637.0412671327598"/>
    <s v="-"/>
    <n v="122.1951528815201"/>
    <m/>
    <n v="141.4299999999999"/>
    <n v="175.9661142512396"/>
    <n v="184.4"/>
    <n v="5.909999999999968"/>
    <n v="5.049999999999955"/>
    <n v="6.539999999999964"/>
    <n v="0"/>
    <n v="34.04"/>
    <n v="38.62"/>
    <s v="-"/>
    <n v="0.07963015839159497"/>
    <x v="63"/>
    <s v="21:38:15"/>
    <n v="-0.2889983667422177"/>
    <n v="2.665026215026188"/>
    <x v="4"/>
    <x v="0"/>
    <n v="0.4199999999999591"/>
  </r>
  <r>
    <n v="821.1451528815202"/>
    <n v="514.8412671327596"/>
    <n v="-306.3038857487605"/>
    <n v="4.8"/>
    <m/>
    <n v="514.8412671327596"/>
    <n v="317.6"/>
    <n v="122.1951528815201"/>
    <m/>
    <n v="141.4300000000001"/>
    <n v="175.9661142512396"/>
    <n v="184.4"/>
    <n v="5.909999999999968"/>
    <n v="5.049999999999955"/>
    <n v="6.539999999999964"/>
    <n v="0"/>
    <n v="34.04"/>
    <n v="38.62"/>
    <s v="-"/>
    <n v="0.06435515839159496"/>
    <x v="63"/>
    <s v="21:43:29"/>
    <n v="-0.594948201131234"/>
    <n v="-122.2000000000001"/>
    <x v="4"/>
    <x v="0"/>
    <n v="0"/>
  </r>
  <r>
    <n v="821.1451528815202"/>
    <n v="514.8412671327596"/>
    <n v="-306.3038857487605"/>
    <n v="4.8"/>
    <m/>
    <n v="514.8412671327596"/>
    <n v="0"/>
    <n v="122.1951528815201"/>
    <m/>
    <n v="141.4300000000001"/>
    <n v="175.9661142512396"/>
    <n v="184.4"/>
    <n v="5.909999999999968"/>
    <n v="5.049999999999955"/>
    <n v="6.539999999999964"/>
    <n v="0"/>
    <n v="34.04"/>
    <n v="38.62"/>
    <s v="-"/>
    <n v="0.06435515839159496"/>
    <x v="64"/>
    <s v="17:02:29"/>
    <n v="-0.594948201131234"/>
    <n v="0"/>
    <x v="4"/>
    <x v="0"/>
    <n v="0"/>
  </r>
  <r>
    <n v="821.1451528815202"/>
    <n v="514.8412671327596"/>
    <n v="-306.3038857487605"/>
    <n v="4.8"/>
    <m/>
    <n v="514.8412671327596"/>
    <n v="0"/>
    <n v="122.1951528815201"/>
    <m/>
    <n v="141.4300000000001"/>
    <n v="175.9661142512396"/>
    <n v="184.4"/>
    <n v="5.909999999999968"/>
    <n v="5.049999999999955"/>
    <n v="6.539999999999964"/>
    <n v="0"/>
    <n v="34.04"/>
    <n v="38.62"/>
    <n v="109.43"/>
    <n v="0.06435515839159496"/>
    <x v="64"/>
    <s v="17:04:25"/>
    <n v="-0.594948201131234"/>
    <n v="0"/>
    <x v="4"/>
    <x v="0"/>
    <n v="0"/>
  </r>
  <r>
    <n v="822.2351528815202"/>
    <n v="520.0992394389373"/>
    <n v="-302.1359134425829"/>
    <n v="4.8"/>
    <m/>
    <n v="520.0992394389373"/>
    <n v="0"/>
    <n v="122.1951528815201"/>
    <m/>
    <n v="141.45"/>
    <n v="176.584086557417"/>
    <n v="185.4400000000001"/>
    <n v="7"/>
    <n v="5.049999999999955"/>
    <n v="6.539999999999964"/>
    <n v="0"/>
    <n v="34.64"/>
    <n v="38.62"/>
    <n v="109.8"/>
    <n v="0.06501240492986717"/>
    <x v="65"/>
    <s v="18:45:40"/>
    <n v="-0.5809197371034714"/>
    <n v="4.167972306177603"/>
    <x v="4"/>
    <x v="0"/>
    <n v="1.090000000000032"/>
  </r>
  <r>
    <n v="822.4851528815203"/>
    <n v="520.0722661917077"/>
    <n v="-302.4128866898125"/>
    <n v="4.8"/>
    <m/>
    <n v="520.0722661917077"/>
    <n v="317.6011784"/>
    <n v="122.1951528815201"/>
    <m/>
    <n v="118.62"/>
    <n v="175.9871133101874"/>
    <n v="207.04"/>
    <n v="7"/>
    <n v="5.049999999999955"/>
    <n v="6.539999999999964"/>
    <n v="0"/>
    <n v="34.13"/>
    <n v="39.07"/>
    <n v="110.81"/>
    <n v="0.06500903327396347"/>
    <x v="66"/>
    <s v="21:42:20"/>
    <n v="-0.5814824330169873"/>
    <n v="-0.2769732472296482"/>
    <x v="4"/>
    <x v="0"/>
    <n v="0.2500000000001137"/>
  </r>
  <r>
    <n v="822.5351528815203"/>
    <n v="523.0283465844549"/>
    <n v="-299.5068062970654"/>
    <n v="4.8"/>
    <m/>
    <n v="523.0283465844549"/>
    <n v="0"/>
    <n v="122.1951528815201"/>
    <m/>
    <n v="118.7"/>
    <n v="174.1931937029344"/>
    <n v="207.66"/>
    <n v="7"/>
    <n v="5.049999999999955"/>
    <n v="6.539999999999964"/>
    <n v="0"/>
    <n v="33.99"/>
    <n v="39.12"/>
    <n v="114.6"/>
    <n v="0.06537854332305686"/>
    <x v="67"/>
    <s v="21:41:39"/>
    <n v="-0.5726397206823344"/>
    <n v="2.906080392747128"/>
    <x v="4"/>
    <x v="0"/>
    <n v="0.04999999999995453"/>
  </r>
  <r>
    <n v="822.5351528815203"/>
    <n v="533.0283465844549"/>
    <n v="-289.5068062970654"/>
    <n v="4.8"/>
    <m/>
    <n v="533.0283465844549"/>
    <n v="315.9516476"/>
    <n v="122.1951528815201"/>
    <m/>
    <n v="118.7"/>
    <n v="174.1931937029344"/>
    <n v="207.66"/>
    <n v="7"/>
    <n v="5.049999999999955"/>
    <n v="6.539999999999964"/>
    <n v="0"/>
    <n v="33.99"/>
    <n v="39.12"/>
    <n v="114.6"/>
    <n v="0.06662854332305686"/>
    <x v="68"/>
    <s v="15:55:18"/>
    <n v="-0.5431358541289041"/>
    <n v="10"/>
    <x v="4"/>
    <x v="0"/>
    <n v="0"/>
  </r>
  <r>
    <n v="856.1493361445469"/>
    <n v="566.6425298474815"/>
    <n v="-289.5068062970654"/>
    <n v="4.8"/>
    <m/>
    <n v="566.6425298474815"/>
    <n v="315.9516476"/>
    <n v="155.8093361445468"/>
    <m/>
    <n v="118.7"/>
    <n v="174.1931937029344"/>
    <n v="207.66"/>
    <n v="7"/>
    <n v="5.049999999999955"/>
    <n v="6.539999999999964"/>
    <n v="0"/>
    <n v="33.99"/>
    <n v="39.12"/>
    <n v="114.6"/>
    <n v="0.07083031623093518"/>
    <x v="68"/>
    <s v="16:07:08"/>
    <n v="-0.5109161262127457"/>
    <n v="0"/>
    <x v="4"/>
    <x v="0"/>
    <n v="33.61418326302658"/>
  </r>
  <r>
    <n v="856.1493361445469"/>
    <n v="565.778696279289"/>
    <n v="-290.3706398652579"/>
    <n v="4.8"/>
    <m/>
    <n v="565.778696279289"/>
    <n v="315.9516476"/>
    <n v="155.8093361445468"/>
    <m/>
    <n v="119.76"/>
    <n v="170.479360134742"/>
    <n v="208.6900000000001"/>
    <n v="7"/>
    <n v="5.049999999999955"/>
    <n v="6.539999999999964"/>
    <n v="0"/>
    <n v="34.13"/>
    <n v="39.12"/>
    <n v="114.6"/>
    <n v="0.07072233703491113"/>
    <x v="69"/>
    <s v="09:52:07"/>
    <n v="-0.5132230000436785"/>
    <n v="-0.86383356819249"/>
    <x v="4"/>
    <x v="0"/>
    <n v="0"/>
  </r>
  <r>
    <n v="856.3693361445469"/>
    <n v="565.8467075719157"/>
    <n v="-290.5226285726312"/>
    <n v="4.8"/>
    <m/>
    <n v="565.8467075719157"/>
    <n v="315.9516476"/>
    <n v="155.8093361445468"/>
    <m/>
    <n v="119.76"/>
    <n v="170.2273714273687"/>
    <n v="208.6900000000001"/>
    <n v="7"/>
    <n v="5.049999999999955"/>
    <n v="6.539999999999964"/>
    <n v="0"/>
    <n v="34.13"/>
    <n v="39.34"/>
    <n v="114.48"/>
    <n v="0.07073083844648946"/>
    <x v="69"/>
    <s v="09:57:06"/>
    <n v="-0.5134299178293046"/>
    <n v="-0.1519887073733344"/>
    <x v="4"/>
    <x v="0"/>
    <n v="0.2200000000000273"/>
  </r>
  <r>
    <n v="856.3693361445469"/>
    <n v="568.9366995057537"/>
    <n v="-287.4326366387931"/>
    <n v="4.8"/>
    <m/>
    <n v="568.9366995057537"/>
    <n v="315.9516476"/>
    <n v="155.8093361445468"/>
    <m/>
    <n v="120.53"/>
    <n v="170.4073633612068"/>
    <n v="209.61"/>
    <n v="7"/>
    <n v="5.049999999999955"/>
    <n v="6.539999999999964"/>
    <n v="0"/>
    <n v="34.49"/>
    <n v="39.34"/>
    <n v="114.48"/>
    <n v="0.07111708743821922"/>
    <x v="69"/>
    <s v="21:48:55"/>
    <n v="-0.5052102226635957"/>
    <n v="3.089991933838121"/>
    <x v="4"/>
    <x v="0"/>
    <n v="0"/>
  </r>
  <r>
    <n v="856.7893361445468"/>
    <n v="567.7966914395918"/>
    <n v="-288.9926447049551"/>
    <n v="4.8"/>
    <m/>
    <n v="567.7966914395918"/>
    <n v="315.9516476"/>
    <n v="155.8093361445468"/>
    <m/>
    <n v="120.89"/>
    <n v="170.5873552950447"/>
    <n v="210.49"/>
    <n v="7"/>
    <n v="5.049999999999955"/>
    <n v="6.539999999999964"/>
    <n v="0"/>
    <n v="34.70999999999999"/>
    <n v="39.76000000000001"/>
    <n v="110.62"/>
    <n v="0.07097458642994897"/>
    <x v="70"/>
    <s v="18:50:02"/>
    <n v="-0.5089720476747464"/>
    <n v="-1.560008066162027"/>
    <x v="4"/>
    <x v="0"/>
    <n v="0.4199999999999591"/>
  </r>
  <r>
    <n v="856.7893361445468"/>
    <n v="527.1027355346102"/>
    <n v="-329.6866006099366"/>
    <n v="4.8"/>
    <m/>
    <n v="527.1027355346102"/>
    <s v="-"/>
    <n v="155.8093361445468"/>
    <m/>
    <n v="120.87"/>
    <n v="169.6033993900633"/>
    <n v="210.75"/>
    <n v="7"/>
    <n v="5.049999999999955"/>
    <n v="6.539999999999964"/>
    <n v="0"/>
    <n v="34.67"/>
    <n v="39.76000000000001"/>
    <n v="110.62"/>
    <n v="0.06588784194182629"/>
    <x v="71"/>
    <s v="21:26:50"/>
    <n v="-0.6254693409541012"/>
    <n v="-40.69395590498146"/>
    <x v="4"/>
    <x v="0"/>
    <n v="0"/>
  </r>
  <r>
    <n v="856.7893361445468"/>
    <n v="390.841780839553"/>
    <n v="-465.9475553049938"/>
    <n v="4.8"/>
    <m/>
    <n v="390.841780839553"/>
    <s v="-"/>
    <n v="155.8093361445469"/>
    <m/>
    <n v="121.29"/>
    <n v="168.592444695006"/>
    <n v="210.33"/>
    <n v="7"/>
    <n v="5.050000000000011"/>
    <n v="6.54000000000002"/>
    <n v="0"/>
    <n v="34.75"/>
    <n v="39.76000000000001"/>
    <n v="110.62"/>
    <n v="0.04885522260494413"/>
    <x v="72"/>
    <s v="21:36:06"/>
    <n v="-1.19216413942263"/>
    <n v="-136.2609546950572"/>
    <x v="4"/>
    <x v="0"/>
    <n v="0"/>
  </r>
  <r>
    <n v="856.7893361445468"/>
    <n v="393.3947309637852"/>
    <n v="-463.3946051807617"/>
    <n v="4.8"/>
    <m/>
    <n v="393.3947309637852"/>
    <s v="-"/>
    <n v="155.8093361445468"/>
    <m/>
    <n v="121.97"/>
    <n v="169.7053948192382"/>
    <n v="210.35"/>
    <n v="7"/>
    <n v="5.050000000000011"/>
    <n v="6.54000000000002"/>
    <n v="0"/>
    <n v="35.38"/>
    <n v="39.76000000000001"/>
    <n v="110.62"/>
    <n v="0.04917434137047315"/>
    <x v="73"/>
    <s v="14:22:09"/>
    <n v="-1.177938006555102"/>
    <n v="2.552950124232098"/>
    <x v="2"/>
    <x v="0"/>
    <n v="0"/>
  </r>
  <r>
    <n v="856.7893361445468"/>
    <n v="396.701612794513"/>
    <n v="-460.0877233500338"/>
    <n v="4.8"/>
    <m/>
    <n v="396.701612794513"/>
    <n v="506.2268994600001"/>
    <n v="155.8093361445468"/>
    <m/>
    <n v="119.6900000000001"/>
    <n v="172.3422766499662"/>
    <n v="209.85"/>
    <n v="7"/>
    <n v="5.050000000000011"/>
    <n v="6.54000000000002"/>
    <n v="0"/>
    <n v="35.61"/>
    <n v="39.76000000000001"/>
    <n v="114.03"/>
    <n v="0.04958770159931412"/>
    <x v="74"/>
    <s v="23:50:59"/>
    <n v="-1.159782840581377"/>
    <n v="3.306881830727889"/>
    <x v="2"/>
    <x v="0"/>
    <n v="0"/>
  </r>
  <r>
    <n v="856.7893361445468"/>
    <n v="648.3146127945131"/>
    <n v="-208.4747233500338"/>
    <n v="6.306999999999999"/>
    <m/>
    <n v="648.3146127945131"/>
    <n v="506.2268994600001"/>
    <n v="155.8093361445468"/>
    <m/>
    <n v="119.6900000000001"/>
    <n v="172.3422766499662"/>
    <n v="209.8499999999999"/>
    <n v="7"/>
    <n v="5.049999999999955"/>
    <n v="6.539999999999964"/>
    <n v="0"/>
    <n v="35.61"/>
    <n v="39.76000000000001"/>
    <n v="114.03"/>
    <n v="0.08103932659931413"/>
    <x v="75"/>
    <s v="23:54:59"/>
    <n v="-0.3215641283348815"/>
    <n v="251.613"/>
    <x v="2"/>
    <x v="0"/>
    <n v="0"/>
  </r>
  <r>
    <n v="856.7893361445468"/>
    <n v="654.4547243764196"/>
    <n v="-202.3346117681273"/>
    <n v="6.306999999999999"/>
    <m/>
    <n v="654.4547243764196"/>
    <n v="506.2268994600001"/>
    <n v="155.8093361445468"/>
    <m/>
    <n v="127.63"/>
    <n v="169.8523882318726"/>
    <n v="210.41"/>
    <n v="7"/>
    <n v="5.049999999999955"/>
    <n v="6.539999999999964"/>
    <n v="0"/>
    <n v="35.29"/>
    <n v="39.76000000000001"/>
    <n v="113.32"/>
    <n v="0.08180684054705245"/>
    <x v="76"/>
    <s v="23:27:14"/>
    <n v="-0.3091651786315954"/>
    <n v="6.140111581906496"/>
    <x v="2"/>
    <x v="0"/>
    <n v="0"/>
  </r>
  <r>
    <n v="909.4893361445469"/>
    <n v="704.8097479027251"/>
    <n v="-204.6795882418217"/>
    <n v="6.306999999999999"/>
    <m/>
    <n v="704.8097479027251"/>
    <n v="506.2268994600001"/>
    <n v="155.8093361445468"/>
    <m/>
    <n v="181.5400000000001"/>
    <n v="169.3274117581782"/>
    <n v="210.95"/>
    <n v="7"/>
    <n v="5.049999999999955"/>
    <n v="6.539999999999964"/>
    <n v="0"/>
    <n v="35.2"/>
    <n v="39.76000000000001"/>
    <n v="109.41"/>
    <n v="0.08810121848784064"/>
    <x v="77"/>
    <s v="23:33:05"/>
    <n v="-0.2904040258394252"/>
    <n v="-2.344976473694402"/>
    <x v="2"/>
    <x v="0"/>
    <n v="52.70000000000005"/>
  </r>
  <r>
    <n v="953.0722286065052"/>
    <n v="748.4726403646835"/>
    <n v="-204.5995882418217"/>
    <n v="6.306999999999999"/>
    <m/>
    <n v="748.4726403646835"/>
    <s v="-"/>
    <n v="199.3922286065051"/>
    <m/>
    <n v="181.54"/>
    <n v="169.3274117581782"/>
    <n v="210.95"/>
    <n v="7"/>
    <n v="5.049999999999955"/>
    <n v="6.539999999999964"/>
    <n v="0"/>
    <n v="35.2"/>
    <n v="39.76000000000001"/>
    <n v="109.41"/>
    <n v="0.09355908004558543"/>
    <x v="77"/>
    <s v="23:44:03"/>
    <n v="-0.2733561351583048"/>
    <n v="0.08000000000001251"/>
    <x v="2"/>
    <x v="0"/>
    <n v="43.58289246195829"/>
  </r>
  <r>
    <n v="953.0722286065052"/>
    <n v="748.4726403646835"/>
    <n v="-204.5995882418217"/>
    <n v="6.306999999999999"/>
    <m/>
    <n v="748.4726403646835"/>
    <s v="-"/>
    <n v="199.3922286065051"/>
    <m/>
    <n v="181.54"/>
    <n v="169.3274117581782"/>
    <n v="210.95"/>
    <n v="7"/>
    <n v="5.049999999999955"/>
    <n v="6.539999999999964"/>
    <n v="0"/>
    <n v="35.2"/>
    <n v="39.76000000000001"/>
    <n v="109.41"/>
    <n v="0.09355908004558543"/>
    <x v="78"/>
    <s v="10:42:43"/>
    <n v="-0.2733561351583048"/>
    <n v="0"/>
    <x v="2"/>
    <x v="0"/>
    <n v="0"/>
  </r>
  <r>
    <n v="953.0722286065052"/>
    <n v="751.4846062179314"/>
    <n v="-201.5876223885738"/>
    <n v="6.306999999999999"/>
    <m/>
    <n v="751.4846062179314"/>
    <s v="-"/>
    <n v="199.3922286065051"/>
    <m/>
    <n v="183.36"/>
    <n v="170.0893776114261"/>
    <n v="210.75"/>
    <n v="7"/>
    <n v="5.049999999999955"/>
    <n v="6.539999999999964"/>
    <n v="0"/>
    <n v="36.12"/>
    <n v="39.76000000000001"/>
    <n v="109.41"/>
    <n v="0.09393557577724143"/>
    <x v="79"/>
    <s v="22:07:40"/>
    <n v="-0.2682524974172434"/>
    <n v="3.011965853247887"/>
    <x v="2"/>
    <x v="0"/>
    <n v="0"/>
  </r>
  <r>
    <n v="953.0722286065052"/>
    <n v="750.5456899715792"/>
    <n v="-202.5265386349259"/>
    <n v="6.306999999999999"/>
    <m/>
    <n v="750.5456899715792"/>
    <s v="-"/>
    <n v="199.392228606505"/>
    <m/>
    <n v="186.92"/>
    <n v="168.220461365074"/>
    <n v="210.48"/>
    <n v="7"/>
    <n v="5.049999999999955"/>
    <n v="6.539999999999964"/>
    <n v="0"/>
    <n v="35.86"/>
    <n v="39.76000000000001"/>
    <n v="106.75"/>
    <n v="0.0938182112464474"/>
    <x v="80"/>
    <s v="23:24:48"/>
    <n v="-0.2698390535592776"/>
    <n v="-0.9389162463521075"/>
    <x v="2"/>
    <x v="0"/>
    <n v="0"/>
  </r>
  <r>
    <n v="954.2522286065051"/>
    <n v="754.3885903544796"/>
    <n v="-199.8636382520255"/>
    <n v="6.306999999999999"/>
    <m/>
    <n v="754.3885903544796"/>
    <s v="-"/>
    <n v="199.392228606505"/>
    <m/>
    <n v="185.89"/>
    <n v="170.4433617479743"/>
    <n v="212.41"/>
    <n v="7"/>
    <n v="6.230000000000018"/>
    <n v="6.539999999999964"/>
    <n v="0"/>
    <n v="36.48"/>
    <n v="39.76000000000001"/>
    <n v="104.1"/>
    <n v="0.09429857379430995"/>
    <x v="81"/>
    <s v="22:39:34"/>
    <n v="-0.2649345984383348"/>
    <n v="2.662900382900403"/>
    <x v="2"/>
    <x v="0"/>
    <n v="1.17999999999995"/>
  </r>
  <r>
    <n v="954.2522286065051"/>
    <n v="756.8726161661978"/>
    <n v="-197.3796124403074"/>
    <n v="6.306999999999999"/>
    <m/>
    <n v="756.8726161661978"/>
    <s v="-"/>
    <n v="199.3922286065051"/>
    <m/>
    <n v="185.9"/>
    <n v="169.8673875596925"/>
    <n v="213.62"/>
    <n v="7"/>
    <n v="6.230000000000018"/>
    <n v="6.539999999999964"/>
    <n v="0"/>
    <n v="36.59"/>
    <n v="39.76000000000001"/>
    <n v="105.81"/>
    <n v="0.09460907702077472"/>
    <x v="82"/>
    <s v="21:12:33"/>
    <n v="-0.2607831334156313"/>
    <n v="2.484025811718112"/>
    <x v="2"/>
    <x v="0"/>
    <n v="0"/>
  </r>
  <r>
    <n v="954.2522286065051"/>
    <n v="524.7226161661976"/>
    <n v="-429.5296124403076"/>
    <n v="6.306999999999999"/>
    <m/>
    <n v="524.7226161661976"/>
    <n v="500.0006943633334"/>
    <n v="199.3922286065051"/>
    <m/>
    <n v="185.9"/>
    <n v="169.8673875596925"/>
    <n v="213.62"/>
    <n v="7"/>
    <n v="6.230000000000018"/>
    <n v="6.539999999999964"/>
    <n v="0"/>
    <n v="36.59"/>
    <n v="39.76000000000001"/>
    <n v="105.81"/>
    <n v="0.06559032702077469"/>
    <x v="82"/>
    <s v="21:32:01"/>
    <n v="-0.8185841418054314"/>
    <n v="-232.1500000000002"/>
    <x v="2"/>
    <x v="0"/>
    <n v="0"/>
  </r>
  <r>
    <n v="954.2522286065051"/>
    <n v="527.48560930996"/>
    <n v="-426.7666192965452"/>
    <n v="6.306999999999999"/>
    <m/>
    <n v="527.48560930996"/>
    <n v="500.0006943633334"/>
    <n v="199.3922286065051"/>
    <m/>
    <n v="187.39"/>
    <n v="170.0203807034549"/>
    <n v="214.34"/>
    <n v="7"/>
    <n v="6.230000000000018"/>
    <n v="6.539999999999964"/>
    <n v="0"/>
    <n v="36.73999999999999"/>
    <n v="39.76000000000001"/>
    <n v="105.81"/>
    <n v="0.06593570116374499"/>
    <x v="83"/>
    <s v="21:44:20"/>
    <n v="-0.8090583169744248"/>
    <n v="2.762993143762401"/>
    <x v="2"/>
    <x v="0"/>
    <n v="0"/>
  </r>
  <r>
    <n v="984.562303669437"/>
    <n v="807.3807092435578"/>
    <n v="-177.1815944258792"/>
    <n v="6.306999999999999"/>
    <m/>
    <n v="807.3807092435578"/>
    <n v="500.0006943633334"/>
    <n v="228.9723036694371"/>
    <m/>
    <n v="184.67"/>
    <n v="169.4654055741207"/>
    <n v="214.47"/>
    <n v="7"/>
    <n v="6.960000000000036"/>
    <n v="6.539999999999964"/>
    <n v="0"/>
    <n v="36.3"/>
    <n v="39.76000000000001"/>
    <n v="108.33"/>
    <n v="0.1009225886554447"/>
    <x v="84"/>
    <s v="10:21:07"/>
    <n v="-0.2194523505421404"/>
    <n v="249.585024870666"/>
    <x v="2"/>
    <x v="0"/>
    <n v="30.3100750629319"/>
  </r>
  <r>
    <n v="984.562303669437"/>
    <n v="809.7067130077667"/>
    <n v="-174.8555906616704"/>
    <n v="6.306999999999999"/>
    <m/>
    <n v="809.7067130077667"/>
    <n v="500.0006943633334"/>
    <n v="228.972303669437"/>
    <m/>
    <n v="184.4300000000001"/>
    <n v="169.3814093383296"/>
    <n v="216.8599999999999"/>
    <n v="7"/>
    <n v="6.960000000000036"/>
    <n v="6.539999999999964"/>
    <n v="0"/>
    <n v="36.19"/>
    <n v="39.76000000000001"/>
    <n v="108.33"/>
    <n v="0.1012133391259708"/>
    <x v="85"/>
    <s v="08:18:01"/>
    <n v="-0.2159492910860839"/>
    <n v="2.326003764208821"/>
    <x v="2"/>
    <x v="0"/>
    <n v="0"/>
  </r>
  <r>
    <n v="994.8097736759404"/>
    <n v="820.07418301427"/>
    <n v="-174.7355906616704"/>
    <n v="6.306999999999999"/>
    <m/>
    <n v="820.07418301427"/>
    <n v="500.0006943633334"/>
    <n v="239.2197736759402"/>
    <m/>
    <n v="184.4299999999999"/>
    <n v="169.3814093383297"/>
    <n v="216.86"/>
    <n v="7"/>
    <n v="6.960000000000036"/>
    <n v="6.539999999999964"/>
    <n v="0"/>
    <n v="36.19"/>
    <n v="39.76000000000001"/>
    <n v="108.33"/>
    <n v="0.1025092728767838"/>
    <x v="86"/>
    <s v="20:49:35"/>
    <n v="-0.2130729076477095"/>
    <n v="0.1200000000000045"/>
    <x v="2"/>
    <x v="0"/>
    <n v="10.24747000650336"/>
  </r>
  <r>
    <n v="994.8097736759404"/>
    <n v="850.07418301427"/>
    <n v="-144.7355906616704"/>
    <n v="6.306999999999999"/>
    <m/>
    <n v="850.07418301427"/>
    <n v="220.0003471816667"/>
    <n v="239.2197736759402"/>
    <m/>
    <n v="184.4299999999999"/>
    <n v="169.3814093383297"/>
    <n v="216.86"/>
    <n v="7"/>
    <n v="6.960000000000036"/>
    <n v="6.539999999999964"/>
    <n v="0"/>
    <n v="36.19"/>
    <n v="39.76000000000001"/>
    <n v="108.33"/>
    <n v="0.1062592728767838"/>
    <x v="86"/>
    <s v="22:47:07"/>
    <n v="-0.170262305988936"/>
    <n v="30"/>
    <x v="2"/>
    <x v="0"/>
    <n v="0"/>
  </r>
  <r>
    <n v="1054.809773675941"/>
    <n v="907.5"/>
    <n v="-147.31"/>
    <n v="6.306999999999999"/>
    <m/>
    <n v="850.0741830142701"/>
    <n v="220.0003471816667"/>
    <n v="239.2197736759404"/>
    <m/>
    <n v="184.4300000000001"/>
    <n v="226.8"/>
    <n v="216.8599999999999"/>
    <n v="7"/>
    <n v="6.960000000000036"/>
    <n v="6.539999999999964"/>
    <n v="0"/>
    <n v="36.19"/>
    <n v="39.76000000000001"/>
    <n v="108.33"/>
    <n v="0.1134375"/>
    <x v="86"/>
    <s v="23:03:14"/>
    <n v="-0.1623250688705234"/>
    <n v="-2.574409338329616"/>
    <x v="2"/>
    <x v="0"/>
    <n v="60.00000000000057"/>
  </r>
  <r>
    <n v="1060.229064931454"/>
    <n v="916.6153066069295"/>
    <n v="-143.6137583245242"/>
    <n v="6.306999999999999"/>
    <m/>
    <n v="916.6153066069295"/>
    <n v="220.0003471816667"/>
    <n v="244.6390649314536"/>
    <m/>
    <n v="184.0200000000001"/>
    <n v="227.0332416754758"/>
    <n v="217.0600000000001"/>
    <n v="7"/>
    <n v="6.960000000000036"/>
    <n v="6.539999999999964"/>
    <n v="0"/>
    <n v="36.36"/>
    <n v="39.76000000000001"/>
    <n v="111.7"/>
    <n v="0.1145769133258662"/>
    <x v="87"/>
    <s v="10:01:21"/>
    <n v="-0.1566783330906232"/>
    <n v="3.69624167547579"/>
    <x v="2"/>
    <x v="0"/>
    <n v="5.419291255513144"/>
  </r>
  <r>
    <n v="1060.229064931454"/>
    <n v="798.1595805967255"/>
    <n v="-262.0694843347281"/>
    <n v="6.306999999999999"/>
    <m/>
    <n v="798.1595805967255"/>
    <n v="359.9983375133333"/>
    <n v="244.6390649314536"/>
    <m/>
    <n v="184.78"/>
    <n v="228.5275156652718"/>
    <n v="216.25"/>
    <n v="7"/>
    <n v="6.960000000000036"/>
    <n v="6.539999999999964"/>
    <n v="0"/>
    <n v="36.73"/>
    <n v="39.76000000000001"/>
    <n v="111.7"/>
    <n v="0.09976994757459069"/>
    <x v="88"/>
    <s v="23:14:02"/>
    <n v="-0.3283422146468478"/>
    <n v="-118.4557260102039"/>
    <x v="2"/>
    <x v="0"/>
    <n v="0"/>
  </r>
  <r>
    <n v="1060.229064931454"/>
    <n v="518.1323901437963"/>
    <n v="-542.0966747876573"/>
    <n v="6.306999999999999"/>
    <m/>
    <n v="518.1323901437963"/>
    <n v="716.4035933333333"/>
    <n v="244.6390649314535"/>
    <m/>
    <n v="183.15"/>
    <n v="228.7203252123425"/>
    <n v="213.41"/>
    <n v="7"/>
    <n v="6.960000000000036"/>
    <n v="6.539999999999964"/>
    <n v="0"/>
    <n v="36.69"/>
    <n v="39.76000000000001"/>
    <n v="111.7"/>
    <n v="0.06476654876797454"/>
    <x v="89"/>
    <s v="10:12:44"/>
    <n v="-1.04625127689317"/>
    <n v="-280.0271904529292"/>
    <x v="5"/>
    <x v="0"/>
    <n v="0"/>
  </r>
  <r>
    <n v="1060.229064931454"/>
    <n v="518.1323901437963"/>
    <n v="-542.0966747876573"/>
    <n v="6.306999999999999"/>
    <m/>
    <n v="518.1323901437963"/>
    <n v="716.4035933333333"/>
    <n v="244.6390649314535"/>
    <m/>
    <n v="183.15"/>
    <n v="228.7203252123425"/>
    <n v="213.41"/>
    <n v="7"/>
    <n v="6.960000000000036"/>
    <n v="6.539999999999964"/>
    <n v="0"/>
    <n v="36.69"/>
    <n v="39.76000000000001"/>
    <n v="111.7"/>
    <n v="0.06476654876797454"/>
    <x v="90"/>
    <s v="06:33:09"/>
    <n v="-1.04625127689317"/>
    <n v="0"/>
    <x v="5"/>
    <x v="0"/>
    <n v="0"/>
  </r>
  <r>
    <n v="1060.229064931454"/>
    <n v="513.0544900577471"/>
    <n v="-547.1745748737065"/>
    <n v="6.306999999999999"/>
    <m/>
    <n v="513.0544900577471"/>
    <n v="716.4035933333333"/>
    <n v="244.6390649314535"/>
    <m/>
    <n v="180.77"/>
    <n v="226.3624251262931"/>
    <n v="212.88"/>
    <n v="7"/>
    <n v="6.960000000000036"/>
    <n v="6.539999999999964"/>
    <n v="0"/>
    <n v="36.67"/>
    <n v="39.76000000000001"/>
    <n v="111.7"/>
    <n v="0.06413181125721838"/>
    <x v="90"/>
    <s v="06:34:48"/>
    <n v="-1.066503822648778"/>
    <n v="-5.077900086049226"/>
    <x v="5"/>
    <x v="0"/>
    <n v="0"/>
  </r>
  <r>
    <n v="1060.229064931454"/>
    <n v="508.6346813016298"/>
    <n v="-551.5943836298238"/>
    <n v="6.306999999999999"/>
    <m/>
    <n v="508.6346813016298"/>
    <n v="716.4035933333333"/>
    <n v="244.6390649314535"/>
    <m/>
    <n v="179.04"/>
    <n v="224.5026163701759"/>
    <n v="212.8199999999999"/>
    <n v="7"/>
    <n v="6.960000000000036"/>
    <n v="6.539999999999964"/>
    <n v="0"/>
    <n v="36.24"/>
    <n v="39.76000000000001"/>
    <n v="111.7"/>
    <n v="0.06357933516270373"/>
    <x v="91"/>
    <s v="06:32:55"/>
    <n v="-1.084460820127832"/>
    <n v="-4.419808756117277"/>
    <x v="5"/>
    <x v="0"/>
    <n v="0"/>
  </r>
  <r>
    <n v="1057.699064931453"/>
    <n v="1054.077571035747"/>
    <n v="-3.621493895706215"/>
    <n v="6.306999999999999"/>
    <m/>
    <n v="1054.077571035747"/>
    <n v="716.4035933333333"/>
    <n v="244.6390649314535"/>
    <m/>
    <n v="173.6900000000001"/>
    <n v="223.2855061042935"/>
    <n v="212.9300000000001"/>
    <n v="15.19000000000005"/>
    <n v="6.960000000000036"/>
    <n v="0"/>
    <n v="0"/>
    <n v="36.39"/>
    <n v="42.02"/>
    <n v="108.06"/>
    <n v="0.1317596963794684"/>
    <x v="92"/>
    <s v="10:19:29"/>
    <n v="-0.003435699606194732"/>
    <n v="547.9728897341176"/>
    <x v="5"/>
    <x v="0"/>
    <n v="-2.53000000000111"/>
  </r>
  <r>
    <n v="1057.699064931453"/>
    <n v="1054.077571035747"/>
    <n v="-3.621493895706215"/>
    <n v="6.306999999999999"/>
    <m/>
    <n v="1054.077571035747"/>
    <n v="716.4035933333333"/>
    <n v="244.6390649314535"/>
    <m/>
    <n v="173.6900000000001"/>
    <n v="223.2855061042935"/>
    <n v="212.9300000000001"/>
    <n v="15.19000000000005"/>
    <n v="6.960000000000036"/>
    <n v="0"/>
    <n v="0"/>
    <n v="36.39"/>
    <n v="42.02"/>
    <n v="108.06"/>
    <n v="0.1317596963794684"/>
    <x v="93"/>
    <s v="10:25:25"/>
    <n v="-0.003435699606194732"/>
    <n v="0"/>
    <x v="5"/>
    <x v="0"/>
    <n v="0"/>
  </r>
  <r>
    <n v="1117.699064931453"/>
    <n v="1102.54879382035"/>
    <n v="-15.15027111110326"/>
    <n v="7.968"/>
    <m/>
    <n v="1102.54879382035"/>
    <n v="716.4035933333333"/>
    <n v="244.6390649314535"/>
    <m/>
    <n v="172.3099999999999"/>
    <n v="277.9077288888966"/>
    <n v="210.72"/>
    <n v="15.19000000000005"/>
    <n v="6.960000000000036"/>
    <n v="0"/>
    <n v="0"/>
    <e v="#REF!"/>
    <n v="42.02"/>
    <n v="108.06"/>
    <n v="0.1378185992275437"/>
    <x v="94"/>
    <s v="21:23:15"/>
    <n v="-0.01374113435706307"/>
    <n v="-11.52877721539705"/>
    <x v="5"/>
    <x v="0"/>
    <n v="60"/>
  </r>
  <r>
    <n v="1117.699064931453"/>
    <n v="1102.54879382035"/>
    <n v="-15.15027111110326"/>
    <n v="7.968"/>
    <m/>
    <n v="1102.54879382035"/>
    <n v="716.4035933333333"/>
    <n v="244.6390649314535"/>
    <m/>
    <n v="172.3099999999999"/>
    <n v="277.9077288888966"/>
    <n v="210.72"/>
    <n v="15.19000000000005"/>
    <n v="6.960000000000036"/>
    <n v="0"/>
    <n v="0"/>
    <e v="#REF!"/>
    <n v="42.02"/>
    <n v="108.06"/>
    <n v="0.1378185992275437"/>
    <x v="94"/>
    <s v="23:34:05"/>
    <n v="-0.01374113435706307"/>
    <n v="0"/>
    <x v="5"/>
    <x v="0"/>
    <n v="0"/>
  </r>
  <r>
    <n v="1129.699064931453"/>
    <n v="1114.54850990035"/>
    <n v="-15.15055503110326"/>
    <n v="7.968"/>
    <m/>
    <n v="1114.54850990035"/>
    <n v="716.4035933333333"/>
    <n v="244.6390649314535"/>
    <m/>
    <n v="172.3099999999999"/>
    <n v="277.9077288888966"/>
    <n v="210.72"/>
    <n v="15.19000000000005"/>
    <n v="6.960000000000036"/>
    <n v="11.99971608"/>
    <n v="0"/>
    <n v="36.31"/>
    <n v="42.02"/>
    <n v="108.06"/>
    <n v="0.1393185637375438"/>
    <x v="94"/>
    <s v="23:42:30"/>
    <n v="-0.0135934460425216"/>
    <n v="-0.0002839199999993269"/>
    <x v="5"/>
    <x v="0"/>
    <n v="12"/>
  </r>
  <r>
    <n v="1129.829064931454"/>
    <n v="1113.66626524035"/>
    <n v="-16.16279969110326"/>
    <n v="7.968"/>
    <m/>
    <n v="1113.66626524035"/>
    <n v="716.4035933333333"/>
    <n v="244.7690649314536"/>
    <m/>
    <n v="172.3099999999999"/>
    <n v="277.9077288888966"/>
    <n v="210.72"/>
    <n v="15.19000000000005"/>
    <n v="6.960000000000036"/>
    <n v="11.99747142"/>
    <n v="0"/>
    <n v="36.31"/>
    <n v="42.02"/>
    <n v="107.11"/>
    <n v="0.1392082831550437"/>
    <x v="94"/>
    <s v="23:48:00"/>
    <n v="-0.01451314473247066"/>
    <n v="-1.01224466"/>
    <x v="5"/>
    <x v="0"/>
    <n v="0.1300000000010186"/>
  </r>
  <r>
    <n v="1129.959064931453"/>
    <n v="593.2899784214703"/>
    <n v="-536.6690865099831"/>
    <n v="7.968"/>
    <m/>
    <n v="593.2899784214703"/>
    <n v="232.3632665866666"/>
    <n v="244.8990649314535"/>
    <m/>
    <n v="174.38"/>
    <n v="278.6826946700168"/>
    <n v="209.9299999999999"/>
    <n v="15.19000000000005"/>
    <n v="6.960000000000036"/>
    <n v="12.02621882"/>
    <n v="0"/>
    <n v="36.51"/>
    <n v="42.02"/>
    <n v="107.11"/>
    <n v="0.07416124730268379"/>
    <x v="95"/>
    <s v="23:48:28"/>
    <n v="-0.9045645570111687"/>
    <n v="-520.5062868188799"/>
    <x v="5"/>
    <x v="0"/>
    <n v="0.1299999999989723"/>
  </r>
  <r>
    <n v="1130.009064931453"/>
    <n v="593.3572567026508"/>
    <n v="-536.6518082288026"/>
    <n v="7.968"/>
    <m/>
    <n v="593.3572567026508"/>
    <n v="232.3632665866666"/>
    <n v="244.8990649314535"/>
    <m/>
    <n v="174.77"/>
    <n v="277.8927295511976"/>
    <n v="210.21"/>
    <n v="15.19000000000005"/>
    <n v="7.009999999999991"/>
    <n v="12.02346222"/>
    <n v="0"/>
    <n v="36.56"/>
    <n v="42.02"/>
    <n v="107.11"/>
    <n v="0.07416965708783135"/>
    <x v="96"/>
    <s v="10:30:50"/>
    <n v="-0.904432872719942"/>
    <n v="0.01727828118055186"/>
    <x v="5"/>
    <x v="0"/>
    <n v="0.04999999999995453"/>
  </r>
  <r>
    <n v="1130.139064931454"/>
    <n v="594.4096492060148"/>
    <n v="-535.7294157254387"/>
    <n v="7.968"/>
    <m/>
    <n v="594.4096492060148"/>
    <n v="232.3632665866666"/>
    <n v="245.0290649314536"/>
    <m/>
    <n v="177.48"/>
    <n v="276.8277765745615"/>
    <n v="210.12"/>
    <n v="15.19000000000005"/>
    <n v="7.009999999999991"/>
    <n v="11.8008077"/>
    <n v="0"/>
    <n v="36.29"/>
    <n v="42.02"/>
    <n v="106.27"/>
    <n v="0.07430120615075185"/>
    <x v="97"/>
    <s v="00:21:44"/>
    <n v="-0.901279810045213"/>
    <n v="0.9223925033638807"/>
    <x v="5"/>
    <x v="0"/>
    <n v="0.1300000000010186"/>
  </r>
  <r>
    <n v="1130.139064931454"/>
    <n v="594.4896197337139"/>
    <n v="-535.6494451977396"/>
    <n v="7.968"/>
    <m/>
    <n v="594.4896197337139"/>
    <n v="232.3632665866666"/>
    <n v="245.0290649314535"/>
    <m/>
    <n v="178.75"/>
    <n v="276.8427759122605"/>
    <n v="209.74"/>
    <n v="15.19000000000005"/>
    <n v="7.009999999999991"/>
    <n v="11.29577889"/>
    <n v="0"/>
    <n v="36.37"/>
    <n v="42.02"/>
    <n v="106.27"/>
    <n v="0.07431120246671423"/>
    <x v="97"/>
    <s v="23:56:07"/>
    <n v="-0.9010240505758028"/>
    <n v="0.07997052769906077"/>
    <x v="5"/>
    <x v="0"/>
    <n v="0"/>
  </r>
  <r>
    <n v="1130.139064931454"/>
    <n v="598.5162810130942"/>
    <n v="-531.6227839183593"/>
    <n v="7.968"/>
    <m/>
    <n v="598.5162810130942"/>
    <n v="232.3632665866666"/>
    <n v="245.0290649314535"/>
    <m/>
    <n v="179.11"/>
    <n v="277.1727613416408"/>
    <n v="212.6199999999999"/>
    <n v="15.19000000000005"/>
    <n v="7.009999999999991"/>
    <n v="11.46245474"/>
    <n v="0"/>
    <n v="36.16"/>
    <n v="42.02"/>
    <n v="106.27"/>
    <n v="0.07481453512663677"/>
    <x v="98"/>
    <s v="17:40:31"/>
    <n v="-0.8882344570785847"/>
    <n v="4.026661279380278"/>
    <x v="5"/>
    <x v="0"/>
    <n v="0"/>
  </r>
  <r>
    <n v="1131.619064931454"/>
    <n v="601.5550803930942"/>
    <n v="-530.0639845383594"/>
    <n v="7.968"/>
    <m/>
    <n v="601.5550803930942"/>
    <n v="232.3632665866666"/>
    <n v="245.0290649314535"/>
    <m/>
    <n v="179.11"/>
    <n v="277.1727613416408"/>
    <n v="212.6199999999999"/>
    <n v="15.19000000000005"/>
    <n v="8.490000000000009"/>
    <n v="11.54125412"/>
    <n v="0"/>
    <n v="36.16"/>
    <n v="42.02"/>
    <n v="106.27"/>
    <n v="0.07519438504913677"/>
    <x v="99"/>
    <s v="14:47:18"/>
    <n v="-0.8811561930322025"/>
    <n v="1.558799379999982"/>
    <x v="5"/>
    <x v="0"/>
    <n v="1.480000000000018"/>
  </r>
  <r>
    <n v="1131.619064931454"/>
    <n v="701.5404347646595"/>
    <n v="-430.0786301667941"/>
    <n v="7.968"/>
    <m/>
    <n v="701.5404347646595"/>
    <e v="#REF!"/>
    <n v="245.0290649314535"/>
    <m/>
    <n v="176.4200000000001"/>
    <n v="275.5328337532061"/>
    <n v="214.0899999999999"/>
    <n v="15.19000000000005"/>
    <n v="8.490000000000009"/>
    <n v="11.56653608"/>
    <n v="0"/>
    <n v="36.5"/>
    <n v="42.02"/>
    <n v="106.27"/>
    <n v="0.08769255434558244"/>
    <x v="100"/>
    <s v="23:53:42"/>
    <n v="-0.6130489546351942"/>
    <n v="99.98535437156528"/>
    <x v="5"/>
    <x v="0"/>
    <n v="0"/>
  </r>
  <r>
    <n v="1131.619064931454"/>
    <n v="550.7645297919796"/>
    <n v="-580.8545351394739"/>
    <n v="7.968"/>
    <m/>
    <n v="550.7645297919796"/>
    <e v="#REF!"/>
    <n v="245.0290649314535"/>
    <m/>
    <n v="182.9300000000001"/>
    <n v="271.3130200805264"/>
    <n v="214.99"/>
    <n v="15.19000000000005"/>
    <n v="8.490000000000009"/>
    <n v="11.61044478"/>
    <n v="0"/>
    <n v="36.64"/>
    <n v="42.02"/>
    <n v="106.27"/>
    <n v="0.06884556622399746"/>
    <x v="101"/>
    <s v="23:40:46"/>
    <n v="-1.05463315758344"/>
    <n v="-150.7759049726798"/>
    <x v="6"/>
    <x v="0"/>
    <n v="0"/>
  </r>
  <r>
    <n v="1131.619064931454"/>
    <n v="851.2459402726292"/>
    <n v="-280.3731246588243"/>
    <n v="7.968"/>
    <m/>
    <n v="851.2459402726292"/>
    <n v="203.421388"/>
    <n v="245.0290649314536"/>
    <m/>
    <n v="184.1600000000001"/>
    <n v="271.0480317811755"/>
    <n v="215.3900000000001"/>
    <n v="15.19000000000005"/>
    <n v="8.490000000000009"/>
    <n v="11.53684356"/>
    <n v="0"/>
    <n v="36.79000000000001"/>
    <n v="42.02"/>
    <n v="106.27"/>
    <n v="0.1064057425340787"/>
    <x v="102"/>
    <s v="21:06:13"/>
    <n v="-0.3293679433807684"/>
    <n v="300.4814104806496"/>
    <x v="6"/>
    <x v="0"/>
    <n v="0"/>
  </r>
  <r>
    <n v="1131.619064931454"/>
    <n v="854.7121401026291"/>
    <n v="-276.9069248288244"/>
    <n v="7.968"/>
    <m/>
    <n v="854.7121401026291"/>
    <n v="203.421388"/>
    <n v="245.0290649314536"/>
    <m/>
    <n v="184.1600000000001"/>
    <n v="271.0480317811755"/>
    <n v="215.3900000000001"/>
    <n v="15.19000000000005"/>
    <n v="8.490000000000009"/>
    <n v="11.53304339"/>
    <n v="0"/>
    <n v="36.79000000000001"/>
    <n v="42.02"/>
    <n v="106.27"/>
    <n v="0.1068390175128286"/>
    <x v="102"/>
    <s v="21:16:49"/>
    <n v="-0.3239768242856302"/>
    <n v="3.46619982999988"/>
    <x v="6"/>
    <x v="0"/>
    <n v="0"/>
  </r>
  <r>
    <n v="1137.649064931453"/>
    <n v="593.3832539564564"/>
    <n v="-544.2658109749971"/>
    <n v="7.968"/>
    <m/>
    <n v="593.3832539564564"/>
    <n v="489.4636328"/>
    <n v="245.0290649314535"/>
    <m/>
    <n v="182.23"/>
    <n v="277.8027335250031"/>
    <n v="215.75"/>
    <n v="21.22000000000003"/>
    <n v="8.490000000000009"/>
    <n v="13.3094555"/>
    <n v="0"/>
    <n v="37.66"/>
    <n v="42.02"/>
    <n v="106.27"/>
    <n v="0.07417290674455705"/>
    <x v="103"/>
    <s v="10:33:01"/>
    <n v="-0.9172247570959196"/>
    <n v="-267.3588861461727"/>
    <x v="6"/>
    <x v="0"/>
    <n v="6.029999999999063"/>
  </r>
  <r>
    <n v="1137.649064931453"/>
    <n v="591.9825391862798"/>
    <n v="-545.6665257451737"/>
    <n v="7.968"/>
    <m/>
    <n v="591.9825391862798"/>
    <e v="#REF!"/>
    <n v="245.0290649314535"/>
    <m/>
    <n v="179.0699999999999"/>
    <n v="277.4127507448264"/>
    <n v="217.24"/>
    <n v="21.22000000000003"/>
    <n v="8.490000000000009"/>
    <n v="13.13872351"/>
    <n v="0"/>
    <n v="37.96"/>
    <n v="42.02"/>
    <n v="106.27"/>
    <n v="0.07399781739828498"/>
    <x v="104"/>
    <s v="01:05:53"/>
    <n v="-0.9217611831849455"/>
    <n v="-1.400714770176592"/>
    <x v="6"/>
    <x v="0"/>
    <n v="0"/>
  </r>
  <r>
    <n v="1137.649064931453"/>
    <n v="183.2348702962931"/>
    <n v="-954.4141946351604"/>
    <n v="7.968"/>
    <m/>
    <n v="183.2348702962931"/>
    <n v="0"/>
    <n v="245.0290649314535"/>
    <m/>
    <n v="184.67"/>
    <n v="265.5482746248396"/>
    <n v="214.9399999999999"/>
    <n v="21.22"/>
    <n v="8.490000000000009"/>
    <n v="13.04553074"/>
    <n v="0"/>
    <n v="38.63"/>
    <n v="42.02"/>
    <n v="106.27"/>
    <n v="0.02290435878703664"/>
    <x v="105"/>
    <s v="21:34:52"/>
    <n v="-5.208693045662436"/>
    <n v="-408.7476688899867"/>
    <x v="7"/>
    <x v="0"/>
    <n v="0"/>
  </r>
  <r>
    <n v="1137.649064931453"/>
    <n v="196.8051776959969"/>
    <n v="-940.8438872354566"/>
    <n v="7.968"/>
    <m/>
    <n v="196.8051776959969"/>
    <n v="0"/>
    <n v="245.0290649314535"/>
    <m/>
    <n v="198.31"/>
    <n v="266.5932284845434"/>
    <n v="215.4699999999999"/>
    <n v="21.22"/>
    <n v="8.490000000000009"/>
    <n v="11.01088428"/>
    <n v="0"/>
    <n v="38.77"/>
    <n v="42.02"/>
    <n v="106.27"/>
    <n v="0.02460064721199961"/>
    <x v="106"/>
    <s v="17:03:40"/>
    <n v="-4.780585034651727"/>
    <n v="13.57030739970378"/>
    <x v="8"/>
    <x v="0"/>
    <n v="0"/>
  </r>
  <r>
    <n v="1137.649064931453"/>
    <n v="284.2003657759967"/>
    <n v="-853.4486991554568"/>
    <n v="7.968"/>
    <m/>
    <n v="284.2003657759967"/>
    <n v="0"/>
    <n v="245.0290649314535"/>
    <m/>
    <n v="198.31"/>
    <n v="266.5932284845434"/>
    <n v="215.4699999999999"/>
    <n v="21.22000000000003"/>
    <n v="8.490000000000009"/>
    <n v="10.97607236"/>
    <n v="0"/>
    <n v="38.77"/>
    <n v="42.02"/>
    <n v="106.27"/>
    <n v="0.03552504572199959"/>
    <x v="106"/>
    <s v="17:20:30"/>
    <n v="-3.002982409347547"/>
    <n v="87.3951880799998"/>
    <x v="8"/>
    <x v="0"/>
    <n v="0"/>
  </r>
  <r>
    <n v="1244.605066841197"/>
    <n v="393.8689423526151"/>
    <n v="-850.7361244885816"/>
    <n v="7.968"/>
    <m/>
    <n v="393.8689423526151"/>
    <e v="#REF!"/>
    <n v="351.9850668411966"/>
    <m/>
    <n v="202.3100000000001"/>
    <n v="264.7883081814185"/>
    <n v="214.9399999999999"/>
    <n v="21.22000000000003"/>
    <n v="8.490000000000009"/>
    <n v="10.64356733"/>
    <n v="0"/>
    <n v="39.11"/>
    <n v="42.02"/>
    <n v="106.27"/>
    <n v="0.04923361779407689"/>
    <x v="107"/>
    <s v="10:24:17"/>
    <n v="-2.159947213423473"/>
    <n v="2.712574666875184"/>
    <x v="8"/>
    <x v="0"/>
    <n v="106.9560019097439"/>
  </r>
  <r>
    <n v="1246.075066841197"/>
    <n v="407.699462175852"/>
    <n v="-838.3756046653446"/>
    <n v="7.968"/>
    <m/>
    <n v="407.699462175852"/>
    <n v="1292.54216448"/>
    <n v="353.4550668411966"/>
    <m/>
    <n v="201.33"/>
    <n v="271.9379924846555"/>
    <n v="213.9"/>
    <n v="21.22000000000003"/>
    <n v="8.490000000000009"/>
    <n v="9.58440285"/>
    <n v="0"/>
    <n v="40.33"/>
    <n v="42.02"/>
    <n v="106.27"/>
    <n v="0.05096243277198149"/>
    <x v="108"/>
    <s v="21:52:13"/>
    <n v="-2.056356906116619"/>
    <n v="12.36051982323704"/>
    <x v="9"/>
    <x v="0"/>
    <n v="1.470000000000027"/>
  </r>
  <r>
    <n v="1246.075066841197"/>
    <n v="996.4976787658521"/>
    <n v="-249.5773880753444"/>
    <n v="7.968"/>
    <m/>
    <n v="376.3570668411966"/>
    <e v="#REF!"/>
    <n v="353.4550668411965"/>
    <m/>
    <n v="201.33"/>
    <n v="271.9379924846554"/>
    <n v="213.9"/>
    <n v="21.22000000000003"/>
    <n v="8.490000000000009"/>
    <n v="9.584619439999999"/>
    <n v="0"/>
    <n v="40.33"/>
    <n v="42.02"/>
    <n v="106.27"/>
    <n v="0.1245622098457315"/>
    <x v="108"/>
    <s v="22:14:44"/>
    <n v="-0.250454560400424"/>
    <n v="588.7982165900002"/>
    <x v="9"/>
    <x v="0"/>
    <n v="0"/>
  </r>
  <r>
    <n v="1246.075066841197"/>
    <n v="996.4442204158521"/>
    <n v="-249.6308464253444"/>
    <n v="7.968"/>
    <m/>
    <n v="376.3570668411966"/>
    <e v="#REF!"/>
    <n v="353.4550668411968"/>
    <m/>
    <n v="201.33"/>
    <n v="271.9379924846554"/>
    <n v="213.9"/>
    <n v="21.22000000000003"/>
    <n v="8.490000000000009"/>
    <n v="9.531161089999999"/>
    <n v="0"/>
    <n v="40.33"/>
    <n v="42.02"/>
    <n v="106.27"/>
    <n v="0.1245555275519815"/>
    <x v="109"/>
    <s v="10:47:51"/>
    <n v="-0.2505216461802192"/>
    <n v="-0.05345834999999965"/>
    <x v="9"/>
    <x v="0"/>
    <n v="0"/>
  </r>
  <r>
    <n v="1246.075066841197"/>
    <n v="996.4442204158521"/>
    <n v="-249.6308464253444"/>
    <n v="7.968"/>
    <m/>
    <n v="376.3570668411966"/>
    <e v="#REF!"/>
    <n v="353.4550668411968"/>
    <m/>
    <n v="201.33"/>
    <n v="271.9379924846554"/>
    <n v="213.9"/>
    <n v="21.22000000000003"/>
    <n v="8.490000000000009"/>
    <n v="9.531161089999999"/>
    <n v="0"/>
    <n v="40.33"/>
    <n v="42.02"/>
    <n v="106.27"/>
    <n v="0.1245555275519815"/>
    <x v="109"/>
    <s v="10:49:31"/>
    <n v="-0.2505216461802192"/>
    <n v="0"/>
    <x v="9"/>
    <x v="0"/>
    <n v="0"/>
  </r>
  <r>
    <n v="1224.083276786147"/>
    <n v="382.0352767861473"/>
    <n v="-842.0479999999995"/>
    <m/>
    <m/>
    <m/>
    <m/>
    <n v="361.173276786147"/>
    <m/>
    <n v="201.33"/>
    <n v="271.9379924846555"/>
    <n v="213.9"/>
    <m/>
    <m/>
    <n v="9.68509751"/>
    <m/>
    <n v="40.33"/>
    <n v="43.67"/>
    <n v="106.27"/>
    <n v="0.04775440959826841"/>
    <x v="110"/>
    <m/>
    <n v="-2.204110591785362"/>
    <n v="-592.4171535746551"/>
    <x v="9"/>
    <x v="0"/>
    <n v="-21.99179005504993"/>
  </r>
  <r>
    <n v="1224.083276786147"/>
    <n v="382.0352767861473"/>
    <n v="-842.0479999999995"/>
    <m/>
    <m/>
    <m/>
    <m/>
    <n v="361.173276786147"/>
    <m/>
    <n v="201.33"/>
    <n v="271.9379924846555"/>
    <n v="213.9"/>
    <m/>
    <m/>
    <n v="9.68509751"/>
    <m/>
    <n v="40.33"/>
    <n v="43.67"/>
    <n v="106.27"/>
    <n v="0.04775440959826841"/>
    <x v="110"/>
    <s v="23:09:26"/>
    <n v="-2.204110591785362"/>
    <n v="0"/>
    <x v="9"/>
    <x v="0"/>
    <n v="0"/>
  </r>
  <r>
    <n v="1235.300779843976"/>
    <n v="393.2527798439764"/>
    <n v="-842.0479999999998"/>
    <m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15:54"/>
    <n v="-2.141238519239669"/>
    <n v="0"/>
    <x v="9"/>
    <x v="0"/>
    <n v="11.21750305782894"/>
  </r>
  <r>
    <n v="1235.300779843976"/>
    <n v="393.2527798439764"/>
    <n v="-842.0479999999998"/>
    <m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23:35"/>
    <n v="-2.141238519239669"/>
    <n v="0"/>
    <x v="9"/>
    <x v="0"/>
    <n v="0"/>
  </r>
  <r>
    <n v="1235.300779843976"/>
    <n v="393.2527798439764"/>
    <n v="-842.0479999999998"/>
    <s v="FII"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33:23"/>
    <n v="-2.141238519239669"/>
    <n v="0"/>
    <x v="9"/>
    <x v="0"/>
    <n v="0"/>
  </r>
  <r>
    <n v="1235.300779843976"/>
    <n v="393.2527798439764"/>
    <n v="-842.0479999999998"/>
    <n v="208.07"/>
    <m/>
    <m/>
    <m/>
    <n v="372.3907798439764"/>
    <m/>
    <n v="201.65"/>
    <n v="271.6430055099065"/>
    <n v="214.57"/>
    <m/>
    <m/>
    <n v="9.89832052"/>
    <m/>
    <n v="40.23"/>
    <n v="43.67"/>
    <n v="106.27"/>
    <n v="0.04915659748049705"/>
    <x v="111"/>
    <s v="21:50:13"/>
    <n v="-2.141238519239669"/>
    <n v="0"/>
    <x v="9"/>
    <x v="0"/>
    <n v="0"/>
  </r>
  <r>
    <n v="1246.608292505481"/>
    <n v="404.9702925054812"/>
    <n v="-841.6380000000001"/>
    <n v="361.173276786147"/>
    <m/>
    <n v="296.74"/>
    <n v="208.07"/>
    <n v="383.6982925054813"/>
    <m/>
    <n v="204.44"/>
    <n v="270.2530668831234"/>
    <n v="214.83"/>
    <s v="07/12/2025"/>
    <m/>
    <n v="9.767913650000001"/>
    <m/>
    <n v="40.36"/>
    <n v="43.67"/>
    <n v="106.27"/>
    <n v="0.05062128656318515"/>
    <x v="111"/>
    <s v="22:18:58"/>
    <n v="-2.078270963514215"/>
    <n v="0.4099999999996271"/>
    <x v="9"/>
    <x v="0"/>
    <n v="11.30751266150492"/>
  </r>
  <r>
    <n v="1252.296027911759"/>
    <n v="411.0780279117585"/>
    <n v="-841.2180000000005"/>
    <n v="361.173276786147"/>
    <m/>
    <n v="296.74"/>
    <n v="208.07"/>
    <n v="389.3860279117591"/>
    <m/>
    <n v="202.1"/>
    <n v="270.9180375211168"/>
    <n v="215.57"/>
    <m/>
    <m/>
    <n v="9.63890477"/>
    <m/>
    <n v="40.16"/>
    <n v="43.67"/>
    <n v="106.27"/>
    <n v="0.05138475348896981"/>
    <x v="112"/>
    <s v="19:30:25"/>
    <n v="-2.046370622806859"/>
    <n v="0.419999999999618"/>
    <x v="9"/>
    <x v="0"/>
    <n v="5.68773540627808"/>
  </r>
  <r>
    <n v="1263.73991098788"/>
    <n v="422.7619109878792"/>
    <n v="-840.9780000000005"/>
    <n v="361.173276786147"/>
    <m/>
    <n v="296.74"/>
    <n v="208.07"/>
    <n v="400.8299109878799"/>
    <m/>
    <n v="202.27"/>
    <n v="270.9180375211168"/>
    <n v="215.68"/>
    <m/>
    <m/>
    <n v="9.518067240000001"/>
    <m/>
    <n v="40.16"/>
    <n v="43.67"/>
    <n v="106.27"/>
    <n v="0.05284523887348491"/>
    <x v="113"/>
    <s v="08:51:54"/>
    <n v="-1.989247323711979"/>
    <n v="0.2400000000000091"/>
    <x v="9"/>
    <x v="0"/>
    <n v="11.44388307612098"/>
  </r>
  <r>
    <n v="1269.496241394561"/>
    <n v="428.5182413945608"/>
    <n v="-840.9780000000003"/>
    <m/>
    <m/>
    <m/>
    <m/>
    <n v="406.5862413945612"/>
    <m/>
    <n v="203.6"/>
    <n v="270.7030470140963"/>
    <n v="215.71"/>
    <n v="12"/>
    <n v="34.75"/>
    <n v="9.15925637"/>
    <n v="102"/>
    <n v="40.3"/>
    <n v="43.67"/>
    <n v="106.27"/>
    <n v="0.0535647801743201"/>
    <x v="114"/>
    <s v="23:13:30"/>
    <n v="-1.962525556119009"/>
    <n v="0"/>
    <x v="9"/>
    <x v="0"/>
    <n v="5.756330406680945"/>
  </r>
  <r>
    <n v="1723.958299364214"/>
    <n v="882.9802993642138"/>
    <n v="-840.9780000000003"/>
    <m/>
    <m/>
    <m/>
    <m/>
    <n v="861.0482993642141"/>
    <m/>
    <n v="199.69"/>
    <n v="275.4278383893124"/>
    <n v="215.78"/>
    <m/>
    <m/>
    <n v="9.491406979999999"/>
    <s v="18:55:09"/>
    <n v="40.38"/>
    <n v="43.67"/>
    <n v="106.27"/>
    <n v="0.1103725374205267"/>
    <x v="115"/>
    <s v="23:11:12"/>
    <n v="-0.9524312157423477"/>
    <n v="0"/>
    <x v="9"/>
    <x v="0"/>
    <n v="454.4620579696532"/>
  </r>
  <r>
    <n v="1731.557344197954"/>
    <n v="890.9993441979536"/>
    <n v="-840.5580000000004"/>
    <m/>
    <m/>
    <m/>
    <m/>
    <n v="868.6473441979542"/>
    <m/>
    <n v="199.82"/>
    <n v="276.4027953397538"/>
    <n v="215.79"/>
    <n v="9.68509751"/>
    <n v="40.33"/>
    <n v="9.545652929999999"/>
    <n v="106.27"/>
    <n v="40.73"/>
    <n v="43.67"/>
    <n v="106.27"/>
    <n v="0.1113749180247442"/>
    <x v="116"/>
    <s v="13:09:52"/>
    <n v="-0.9433878997482779"/>
    <n v="0.4199999999998454"/>
    <x v="9"/>
    <x v="0"/>
    <n v="7.599044833739981"/>
  </r>
  <r>
    <n v="1785.609458772553"/>
    <n v="947.9914587725521"/>
    <n v="-837.6180000000008"/>
    <m/>
    <m/>
    <m/>
    <m/>
    <n v="922.699458772553"/>
    <m/>
    <n v="199.82"/>
    <n v="276.4027953397538"/>
    <n v="215.79"/>
    <n v="9.68509751"/>
    <n v="40.33"/>
    <n v="9.545652929999999"/>
    <n v="106.27"/>
    <n v="40.73"/>
    <n v="43.67"/>
    <n v="106.27"/>
    <n v="0.118498932346569"/>
    <x v="117"/>
    <s v="19:29:32"/>
    <n v="-0.883571251880833"/>
    <n v="2.9399999999996"/>
    <x v="9"/>
    <x v="0"/>
    <n v="54.05211457459882"/>
  </r>
  <r>
    <n v="1805.2831413157"/>
    <n v="417.6651413156997"/>
    <n v="-1387.618"/>
    <m/>
    <m/>
    <m/>
    <m/>
    <n v="948.7631413157"/>
    <m/>
    <n v="202.06"/>
    <n v="273.8379085932079"/>
    <n v="219.26"/>
    <n v="9.68509751"/>
    <n v="40.33"/>
    <n v="9.44021298"/>
    <n v="106.27"/>
    <n v="41.54"/>
    <n v="43.67"/>
    <n v="106.27"/>
    <n v="0.05220814266446246"/>
    <x v="117"/>
    <s v="20:07:19"/>
    <n v="-3.322321790199733"/>
    <n v="-549.9999999999991"/>
    <x v="9"/>
    <x v="0"/>
    <n v="19.67368254314715"/>
  </r>
  <r>
    <n v="1813.209790004801"/>
    <n v="425.5917900048007"/>
    <n v="-1387.618"/>
    <m/>
    <m/>
    <m/>
    <m/>
    <n v="956.6897900048009"/>
    <m/>
    <n v="202.06"/>
    <n v="273.8379085932079"/>
    <n v="219.26"/>
    <m/>
    <m/>
    <n v="9.451239380000001"/>
    <m/>
    <n v="41.54"/>
    <n v="43.67"/>
    <n v="106.27"/>
    <n v="0.05319897375060009"/>
    <x v="118"/>
    <s v="01:03:38"/>
    <n v="-3.260443534365049"/>
    <n v="0"/>
    <x v="0"/>
    <x v="1"/>
    <n v="7.926648689101057"/>
  </r>
  <r>
    <n v="1831.202334399944"/>
    <n v="3442.146728224945"/>
    <n v="296.5923938250003"/>
    <m/>
    <m/>
    <n v="669.6543343999447"/>
    <m/>
    <n v="972.6623343999445"/>
    <n v="2.02"/>
    <n v="205.92"/>
    <n v="269.3781055173427"/>
    <m/>
    <m/>
    <n v="216.37"/>
    <m/>
    <n v="9.67875733"/>
    <n v="40.78"/>
    <n v="43.67"/>
    <m/>
    <n v="0.4302683410281181"/>
    <x v="119"/>
    <s v="22:11:22"/>
    <n v="0.08616494799393627"/>
    <n v="1684.210393825"/>
    <x v="0"/>
    <x v="1"/>
    <n v="17.99254439514289"/>
  </r>
  <r>
    <n v="1831.202334399944"/>
    <n v="3442.146728224945"/>
    <n v="296.5923938250003"/>
    <m/>
    <m/>
    <n v="669.6543343999447"/>
    <n v="361.173276786147"/>
    <n v="972.6623343999445"/>
    <n v="2.02"/>
    <n v="205.92"/>
    <n v="269.3781055173427"/>
    <m/>
    <n v="40.33"/>
    <n v="216.37"/>
    <n v="106.27"/>
    <n v="9.67924958"/>
    <n v="40.78"/>
    <n v="43.67"/>
    <n v="106.27"/>
    <n v="0.4302683410281181"/>
    <x v="119"/>
    <s v="22:17:19"/>
    <n v="0.08616494799393627"/>
    <n v="0"/>
    <x v="0"/>
    <x v="1"/>
    <n v="0"/>
  </r>
  <r>
    <n v="1839.332960807836"/>
    <n v="3450.277354632836"/>
    <n v="296.5923938250003"/>
    <m/>
    <m/>
    <n v="677.7849608078359"/>
    <n v="361.173276786147"/>
    <n v="972.6623343999445"/>
    <n v="10.15062640789141"/>
    <n v="205.4"/>
    <n v="268.5281430477271"/>
    <m/>
    <n v="40.33"/>
    <n v="217.12"/>
    <n v="106.27"/>
    <n v="9.58304424"/>
    <n v="41.13"/>
    <n v="43.67"/>
    <n v="106.27"/>
    <n v="0.4312846693291045"/>
    <x v="120"/>
    <s v="23:05:27"/>
    <n v="0.08596189909972105"/>
    <n v="0"/>
    <x v="0"/>
    <x v="1"/>
    <n v="8.130626407891896"/>
  </r>
  <r>
    <n v="1863.335072117836"/>
    <n v="3474.279465942836"/>
    <n v="296.5923938250003"/>
    <m/>
    <m/>
    <n v="701.787072117836"/>
    <n v="361.173276786147"/>
    <n v="972.6623343999445"/>
    <n v="10.15062640789141"/>
    <n v="205.4"/>
    <n v="268.5281430477271"/>
    <n v="9.68509751"/>
    <n v="40.33"/>
    <n v="217.12"/>
    <n v="106.27"/>
    <n v="33.36972124"/>
    <n v="41.13"/>
    <n v="43.67"/>
    <n v="106.27"/>
    <n v="0.4342849332428545"/>
    <x v="121"/>
    <s v="21:35:12"/>
    <n v="0.08536803004260114"/>
    <n v="0"/>
    <x v="0"/>
    <x v="1"/>
    <n v="24.00211131000015"/>
  </r>
  <r>
    <n v="1867.43093869129"/>
    <n v="3478.785332516291"/>
    <n v="296.5923938250003"/>
    <m/>
    <m/>
    <n v="706.2929386912901"/>
    <n v="361.173276786147"/>
    <n v="972.6623343999445"/>
    <n v="14.24649298134591"/>
    <n v="205.4"/>
    <n v="268.5281430477271"/>
    <n v="9.68509751"/>
    <n v="40.33"/>
    <n v="217.12"/>
    <n v="106.27"/>
    <n v="33.83372552"/>
    <n v="41.13"/>
    <n v="43.67"/>
    <n v="106.27"/>
    <n v="0.4348481665645364"/>
    <x v="122"/>
    <s v="23:41:10"/>
    <n v="0.08525745784102973"/>
    <n v="0"/>
    <x v="0"/>
    <x v="1"/>
    <n v="4.095866573454032"/>
  </r>
  <r>
    <n v="1867.43093869129"/>
    <n v="3415.255332516291"/>
    <n v="296.5923938250003"/>
    <m/>
    <m/>
    <n v="642.7629386912904"/>
    <n v="361.173276786147"/>
    <n v="972.6623343999445"/>
    <n v="14.24649298134591"/>
    <n v="205.15"/>
    <n v="268.7481333339805"/>
    <m/>
    <m/>
    <n v="216.94"/>
    <n v="40.33"/>
    <n v="33.667431"/>
    <n v="41.24"/>
    <n v="43.67"/>
    <n v="106.27"/>
    <n v="0.4269069165645364"/>
    <x v="123"/>
    <s v="23:09:14"/>
    <n v="0.0868434026004366"/>
    <n v="0"/>
    <x v="0"/>
    <x v="1"/>
    <n v="0"/>
  </r>
  <r>
    <n v="1871.547310196778"/>
    <n v="3419.371704021779"/>
    <n v="296.5923938250003"/>
    <m/>
    <m/>
    <n v="646.8793101967785"/>
    <n v="361.173276786147"/>
    <n v="972.6623343999445"/>
    <n v="18.36286448683378"/>
    <n v="206.51"/>
    <n v="268.6031397362226"/>
    <m/>
    <m/>
    <n v="216.86"/>
    <m/>
    <n v="35.05841394"/>
    <n v="41.13"/>
    <n v="43.67"/>
    <n v="106.27"/>
    <n v="0.4274214630027224"/>
    <x v="124"/>
    <s v="06:32:36"/>
    <n v="0.08673885716377537"/>
    <n v="0"/>
    <x v="0"/>
    <x v="1"/>
    <n v="4.116371505487905"/>
  </r>
  <r>
    <n v="1875.684289287115"/>
    <n v="3423.508683112116"/>
    <n v="296.5923938250003"/>
    <m/>
    <m/>
    <n v="651.0162892871158"/>
    <m/>
    <n v="972.6623343999445"/>
    <n v="22.49984357717099"/>
    <n v="214.09"/>
    <n v="268.4081483461343"/>
    <m/>
    <m/>
    <n v="217.5700000000001"/>
    <m/>
    <n v="34.99243168"/>
    <n v="41.27"/>
    <n v="43.67"/>
    <n v="106.27"/>
    <n v="0.4279385853890145"/>
    <x v="125"/>
    <s v="16:02:05"/>
    <n v="0.08663404164507188"/>
    <n v="0"/>
    <x v="0"/>
    <x v="1"/>
    <n v="4.136979090337036"/>
  </r>
  <r>
    <n v="1877.760538896058"/>
    <n v="3425.614932721059"/>
    <n v="296.5923938250003"/>
    <m/>
    <m/>
    <n v="653.1225388960584"/>
    <m/>
    <n v="972.6623343999445"/>
    <n v="24.57609318611391"/>
    <n v="214.93"/>
    <n v="268.4581461384646"/>
    <m/>
    <m/>
    <n v="217.23"/>
    <m/>
    <n v="35.06438736"/>
    <n v="41.22"/>
    <n v="43.67"/>
    <n v="106.27"/>
    <n v="0.4282018665901324"/>
    <x v="126"/>
    <s v="21:48:22"/>
    <n v="0.08658077444489912"/>
    <n v="0"/>
    <x v="0"/>
    <x v="1"/>
    <n v="2.076249608943044"/>
  </r>
  <r>
    <n v="1879.841979129023"/>
    <n v="4295.137729689023"/>
    <n v="967.4437505599999"/>
    <m/>
    <m/>
    <n v="555.2039791290235"/>
    <m/>
    <n v="972.6623343999445"/>
    <n v="26.6575334190792"/>
    <n v="214.93"/>
    <n v="268.4581461384646"/>
    <m/>
    <m/>
    <n v="217.23"/>
    <m/>
    <n v="35.07331316"/>
    <n v="41.22"/>
    <n v="43.67"/>
    <n v="106.27"/>
    <n v="0.5368922162111279"/>
    <x v="127"/>
    <s v="13:58:35"/>
    <n v="0.2252416130623231"/>
    <n v="670.8513567349996"/>
    <x v="0"/>
    <x v="1"/>
    <n v="2.081440232964951"/>
  </r>
  <r>
    <n v="1879.841979129023"/>
    <n v="4295.137729689023"/>
    <n v="967.4437505599999"/>
    <m/>
    <m/>
    <n v="555.2039791290235"/>
    <m/>
    <n v="972.6623343999445"/>
    <n v="26.6575334190792"/>
    <n v="214.93"/>
    <n v="268.4131481253673"/>
    <m/>
    <m/>
    <n v="217.23"/>
    <m/>
    <n v="35.09858004"/>
    <n v="41.22"/>
    <n v="43.67"/>
    <n v="106.27"/>
    <n v="0.5368922162111279"/>
    <x v="128"/>
    <s v="15:15:39"/>
    <n v="0.2252416130623231"/>
    <n v="0"/>
    <x v="0"/>
    <x v="1"/>
    <n v="0"/>
  </r>
  <r>
    <n v="1879.841979129023"/>
    <n v="4295.137729689023"/>
    <n v="967.4437505599999"/>
    <m/>
    <m/>
    <n v="555.2039791290235"/>
    <m/>
    <n v="972.6623343999445"/>
    <n v="26.6575334190792"/>
    <n v="214.93"/>
    <n v="268.5281430477271"/>
    <m/>
    <m/>
    <n v="217.23"/>
    <m/>
    <n v="34.33061794"/>
    <n v="41.22"/>
    <n v="43.67"/>
    <n v="106.27"/>
    <n v="0.5368922162111279"/>
    <x v="129"/>
    <s v="09:16:08"/>
    <n v="0.2252416130623231"/>
    <n v="0"/>
    <x v="0"/>
    <x v="1"/>
    <n v="0"/>
  </r>
  <r>
    <n v="1896.681927477932"/>
    <n v="4311.977678037932"/>
    <n v="967.4437505599999"/>
    <m/>
    <m/>
    <n v="572.0439274779328"/>
    <m/>
    <n v="972.6623343999445"/>
    <n v="43.49748176798781"/>
    <n v="232.11"/>
    <n v="264.0383412964636"/>
    <m/>
    <m/>
    <n v="220.94"/>
    <m/>
    <n v="32.03428424"/>
    <n v="40.96000000000001"/>
    <n v="43.67"/>
    <n v="106.27"/>
    <n v="0.5389972097547415"/>
    <x v="130"/>
    <s v="21:15:03"/>
    <n v="0.2243619570406064"/>
    <n v="0"/>
    <x v="0"/>
    <x v="1"/>
    <n v="16.83994834890905"/>
  </r>
  <r>
    <n v="1903.084137473623"/>
    <n v="12166.96746947362"/>
    <n v="9516.031332"/>
    <m/>
    <m/>
    <n v="355.6419637389664"/>
    <m/>
    <n v="972.6623343999445"/>
    <n v="49.89969176367902"/>
    <n v="244.33"/>
    <n v="261.9784322524541"/>
    <m/>
    <m/>
    <n v="221.84"/>
    <m/>
    <n v="30.42688498"/>
    <n v="40.54"/>
    <n v="43.67"/>
    <n v="106.27"/>
    <n v="1.520870933684203"/>
    <x v="131"/>
    <s v="12:56:56"/>
    <n v="0.7821202247704944"/>
    <n v="8548.587581440001"/>
    <x v="0"/>
    <x v="1"/>
    <n v="6.40220999569101"/>
  </r>
  <r>
    <n v="1905.228886703032"/>
    <n v="12169.11221870303"/>
    <n v="9516.031332000002"/>
    <m/>
    <m/>
    <n v="247.4434015021534"/>
    <m/>
    <n v="972.6623343999445"/>
    <n v="52.04444099308822"/>
    <n v="244.38"/>
    <n v="261.5434514591802"/>
    <m/>
    <m/>
    <n v="223.36"/>
    <m/>
    <n v="29.74873016"/>
    <n v="40.75"/>
    <n v="43.67"/>
    <n v="106.27"/>
    <n v="1.521139027337879"/>
    <x v="132"/>
    <s v="12:59:36"/>
    <n v="0.7819823797314123"/>
    <n v="0"/>
    <x v="0"/>
    <x v="1"/>
    <n v="2.144749229408944"/>
  </r>
  <r>
    <n v="1909.518422570735"/>
    <n v="13036.30853857074"/>
    <n v="9628.938116000001"/>
    <m/>
    <m/>
    <n v="139.24"/>
    <m/>
    <n v="972.6623343999445"/>
    <n v="56.33397686079025"/>
    <n v="239.56"/>
    <n v="262.8433940597688"/>
    <m/>
    <m/>
    <n v="223.6899999999999"/>
    <m/>
    <n v="27.71179394"/>
    <n v="40.62"/>
    <n v="43.67"/>
    <n v="106.27"/>
    <n v="1.629538567321342"/>
    <x v="133"/>
    <s v="20:33:54"/>
    <n v="0.7386245951076337"/>
    <n v="112.9067839999989"/>
    <x v="1"/>
    <x v="1"/>
    <n v="4.28953586770308"/>
  </r>
  <r>
    <n v="1911.67283926534"/>
    <n v="12540.67295526534"/>
    <n v="9628.938116000001"/>
    <m/>
    <n v="48.65894495028151"/>
    <n v="139.2448392653405"/>
    <m/>
    <n v="972.6623343999445"/>
    <n v="58.48839355539582"/>
    <n v="239.71"/>
    <n v="263.0333856706241"/>
    <m/>
    <m/>
    <n v="219.52"/>
    <m/>
    <n v="28.40931088"/>
    <n v="40.8"/>
    <n v="43.67"/>
    <n v="106.27"/>
    <n v="1.567584119408168"/>
    <x v="134"/>
    <s v="12:59:38"/>
    <n v="0.7678166993388649"/>
    <n v="0"/>
    <x v="1"/>
    <x v="1"/>
    <n v="2.154416694604834"/>
  </r>
  <r>
    <n v="1911.67283926534"/>
    <n v="12540.67295526534"/>
    <n v="9628.938116000001"/>
    <m/>
    <n v="48.65894495028151"/>
    <n v="139.2448392653405"/>
    <m/>
    <n v="972.6623343999445"/>
    <n v="58.48839355539582"/>
    <n v="240.39"/>
    <n v="263.0083867744588"/>
    <m/>
    <m/>
    <n v="218.57"/>
    <m/>
    <n v="28.35060658"/>
    <n v="40.75"/>
    <n v="43.67"/>
    <n v="106.27"/>
    <n v="1.567584119408168"/>
    <x v="134"/>
    <s v="19:03:52"/>
    <n v="0.7678166993388649"/>
    <n v="0"/>
    <x v="1"/>
    <x v="1"/>
    <n v="0"/>
  </r>
  <r>
    <n v="1913.831564793335"/>
    <n v="12542.88168079334"/>
    <n v="9628.938116000001"/>
    <m/>
    <n v="48.65894495028151"/>
    <n v="141.4535647933353"/>
    <m/>
    <n v="972.7123343999446"/>
    <n v="60.64711908339061"/>
    <n v="245.64"/>
    <n v="261.9234346808907"/>
    <m/>
    <m/>
    <n v="220.13"/>
    <m/>
    <n v="27.2892603"/>
    <n v="40.39"/>
    <n v="43.67"/>
    <n v="106.27"/>
    <n v="1.567860210099167"/>
    <x v="135"/>
    <s v="20:29:49"/>
    <n v="0.7676814914665582"/>
    <n v="0"/>
    <x v="1"/>
    <x v="1"/>
    <n v="2.158725527995102"/>
  </r>
  <r>
    <n v="1913.831564793335"/>
    <n v="12542.88168079334"/>
    <n v="9628.938116000001"/>
    <m/>
    <n v="48.00859618192464"/>
    <n v="141.4535647933353"/>
    <m/>
    <n v="972.7123343999446"/>
    <n v="60.64711908339061"/>
    <n v="245.64"/>
    <n v="261.9234346808907"/>
    <m/>
    <m/>
    <n v="220.13"/>
    <m/>
    <n v="27.27875532"/>
    <n v="40.39"/>
    <n v="43.67"/>
    <n v="106.27"/>
    <n v="1.567860210099167"/>
    <x v="135"/>
    <s v="21:59:47"/>
    <n v="0.7676814914665582"/>
    <n v="0"/>
    <x v="1"/>
    <x v="1"/>
    <n v="0"/>
  </r>
  <r>
    <n v="1915.994607772386"/>
    <n v="12545.04472377239"/>
    <n v="9628.938116000001"/>
    <m/>
    <n v="48.00859618192464"/>
    <n v="143.6166077723865"/>
    <m/>
    <n v="972.7123343999446"/>
    <n v="62.81016206244138"/>
    <n v="243.18"/>
    <n v="261.9384340185898"/>
    <m/>
    <m/>
    <n v="220.12"/>
    <m/>
    <n v="26.30000702"/>
    <n v="40.31"/>
    <n v="43.67"/>
    <n v="106.27"/>
    <n v="1.568130590471548"/>
    <x v="136"/>
    <s v="20:29:38"/>
    <n v="0.7675491262102497"/>
    <n v="0"/>
    <x v="1"/>
    <x v="1"/>
    <n v="2.163042979050942"/>
  </r>
  <r>
    <n v="1915.994607772386"/>
    <n v="12545.04472377239"/>
    <n v="9628.938116000001"/>
    <m/>
    <n v="48.00859618192464"/>
    <n v="143.6166077723865"/>
    <m/>
    <n v="972.7123343999446"/>
    <n v="62.81016206244138"/>
    <n v="243.18"/>
    <n v="261.9384340185898"/>
    <m/>
    <m/>
    <n v="220.12"/>
    <m/>
    <n v="26.30000702"/>
    <n v="40.31"/>
    <n v="43.67"/>
    <n v="106.27"/>
    <n v="1.568130590471548"/>
    <x v="136"/>
    <s v="20:32:54"/>
    <n v="0.7675491262102497"/>
    <n v="0"/>
    <x v="1"/>
    <x v="1"/>
    <n v="0"/>
  </r>
  <r>
    <n v="1915.994607772386"/>
    <n v="12545.04472377239"/>
    <n v="9628.938116000001"/>
    <m/>
    <n v="48.00859618192464"/>
    <n v="143.6166077723865"/>
    <m/>
    <n v="972.7123343999446"/>
    <n v="62.81016206244138"/>
    <n v="243.18"/>
    <n v="261.9384340185898"/>
    <m/>
    <m/>
    <n v="220.12"/>
    <m/>
    <n v="26.30000702"/>
    <n v="40.31"/>
    <n v="43.67"/>
    <n v="106.27"/>
    <n v="1.568130590471548"/>
    <x v="136"/>
    <s v="20:34:11"/>
    <n v="0.7675491262102497"/>
    <n v="0"/>
    <x v="1"/>
    <x v="1"/>
    <n v="0"/>
  </r>
  <r>
    <n v="1920.333680640533"/>
    <n v="11718.14998733333"/>
    <n v="9797.816306692797"/>
    <m/>
    <n v="48.01869236730233"/>
    <n v="409.9456806405342"/>
    <m/>
    <n v="972.7323343999445"/>
    <n v="67.14923493058915"/>
    <n v="237.61"/>
    <n v="261.2334651467322"/>
    <m/>
    <m/>
    <n v="220.88"/>
    <m/>
    <n v="24.45078724"/>
    <n v="40.3"/>
    <n v="43.67"/>
    <n v="106.27"/>
    <n v="1.464768748416666"/>
    <x v="137"/>
    <s v="12:22:28"/>
    <n v="0.8361231352460664"/>
    <n v="168.8781906927961"/>
    <x v="1"/>
    <x v="1"/>
    <n v="4.339072868147014"/>
  </r>
  <r>
    <n v="1920.333680640533"/>
    <n v="12178.09566797387"/>
    <n v="8945.659987333334"/>
    <m/>
    <n v="96.41081360966109"/>
    <n v="459.9456806405342"/>
    <m/>
    <n v="972.7323343999445"/>
    <n v="67.14923493058915"/>
    <n v="237.79"/>
    <n v="260.8184834703904"/>
    <m/>
    <m/>
    <n v="220.87"/>
    <m/>
    <n v="25.34089548"/>
    <n v="40.5"/>
    <n v="43.67"/>
    <n v="106.27"/>
    <n v="1.522261958496734"/>
    <x v="138"/>
    <s v="19:11:08"/>
    <n v="0.7345696922761707"/>
    <n v="-852.1563193594629"/>
    <x v="1"/>
    <x v="1"/>
    <n v="0"/>
  </r>
  <r>
    <n v="1924.690127156445"/>
    <n v="22105.64365451555"/>
    <n v="9926.119140025772"/>
    <m/>
    <n v="191.3085685436675"/>
    <n v="264.772127156446"/>
    <m/>
    <n v="972.6823343999445"/>
    <n v="71.50568144650097"/>
    <n v="237.79"/>
    <n v="260.8184834703904"/>
    <m/>
    <m/>
    <n v="220.87"/>
    <m/>
    <n v="25.45651892"/>
    <n v="40.5"/>
    <n v="43.67"/>
    <n v="106.27"/>
    <n v="2.763205456814444"/>
    <x v="138"/>
    <s v="20:11:27"/>
    <n v="0.4490309938565463"/>
    <n v="980.4591526924378"/>
    <x v="1"/>
    <x v="1"/>
    <n v="4.356446515912012"/>
  </r>
  <r>
    <n v="1926.874887260222"/>
    <n v="22107.82841461933"/>
    <n v="9926.119140025776"/>
    <m/>
    <n v="191.3294527367432"/>
    <n v="266.9568872602231"/>
    <m/>
    <n v="972.6823343999445"/>
    <n v="73.69044155027797"/>
    <n v="237.87"/>
    <n v="259.0635609595959"/>
    <m/>
    <m/>
    <n v="220.99"/>
    <m/>
    <n v="24.68148484"/>
    <n v="40.44"/>
    <n v="43.67"/>
    <n v="106.27"/>
    <n v="2.763478551827417"/>
    <x v="139"/>
    <s v="12:54:06"/>
    <n v="0.4489866193036803"/>
    <n v="0"/>
    <x v="1"/>
    <x v="1"/>
    <n v="2.18476010377708"/>
  </r>
  <r>
    <n v="1929.064016884207"/>
    <n v="22110.03754424331"/>
    <n v="9926.119140025772"/>
    <m/>
    <n v="191.350569878857"/>
    <n v="269.1660168842081"/>
    <m/>
    <n v="972.6823343999445"/>
    <n v="75.87957117426251"/>
    <n v="242.7"/>
    <n v="260.1035150400668"/>
    <m/>
    <m/>
    <n v="220.87"/>
    <m/>
    <n v="24.69913046"/>
    <n v="40.82"/>
    <n v="43.67"/>
    <n v="106.27"/>
    <n v="2.763754693030414"/>
    <x v="140"/>
    <s v="12:49:27"/>
    <n v="0.4489417586995545"/>
    <n v="0"/>
    <x v="1"/>
    <x v="1"/>
    <n v="2.189129623984854"/>
  </r>
  <r>
    <n v="1929.064016884207"/>
    <n v="22110.03754424331"/>
    <n v="9926.119140025772"/>
    <m/>
    <n v="191.350569878857"/>
    <n v="269.1660168842081"/>
    <m/>
    <n v="972.6823343999445"/>
    <n v="75.87957117426251"/>
    <n v="242.2"/>
    <n v="260.0085192346392"/>
    <m/>
    <m/>
    <n v="220.84"/>
    <m/>
    <n v="24.74382812"/>
    <n v="40.77"/>
    <n v="43.67"/>
    <n v="106.27"/>
    <n v="2.763754693030414"/>
    <x v="141"/>
    <s v="12:09:36"/>
    <n v="0.4489417586995545"/>
    <n v="0"/>
    <x v="1"/>
    <x v="1"/>
    <n v="0"/>
  </r>
  <r>
    <n v="1931.257524767439"/>
    <n v="22112.25105212655"/>
    <n v="9926.119140025774"/>
    <m/>
    <n v="191.3717288728939"/>
    <n v="271.3795247674416"/>
    <m/>
    <n v="972.6823343999445"/>
    <n v="78.07307905749502"/>
    <n v="246.38"/>
    <n v="259.2885510250824"/>
    <m/>
    <m/>
    <n v="220.58"/>
    <m/>
    <n v="23.68557154"/>
    <n v="40.52"/>
    <n v="43.67"/>
    <n v="106.27"/>
    <n v="2.764031381515819"/>
    <x v="141"/>
    <s v="13:00:54"/>
    <n v="0.4488968181767805"/>
    <n v="0"/>
    <x v="1"/>
    <x v="1"/>
    <n v="2.19350788323208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6" cacheId="4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7" fieldListSortAscending="0" mdxSubqueries="0" applyNumberFormats="0" applyBorderFormats="0" applyFontFormats="0" applyPatternFormats="0" applyAlignmentFormats="0" applyWidthHeightFormats="1" r:id="rId1">
  <location ref="D24:F40" firstHeaderRow="1" firstDataRow="2" firstDataCol="1"/>
  <pivotFields count="27"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1"/>
        <item t="data" sd="1" x="3"/>
        <item t="data" sd="1" x="4"/>
        <item t="data" sd="1" x="2"/>
        <item t="data" sd="1" x="5"/>
        <item t="data" sd="1" x="6"/>
        <item t="data" sd="1" x="7"/>
        <item t="data" sd="1" x="8"/>
        <item t="data" sd="1" x="9"/>
        <item t="default" sd="1"/>
      </items>
    </pivotField>
    <pivotField axis="axisRow" showDropDowns="1" compact="1" numFmtId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2">
    <field x="25"/>
    <field x="24"/>
  </rowFields>
  <rowItems count="15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0" i="0">
      <x v="1"/>
    </i>
    <i t="data" r="1" i="0">
      <x v="0"/>
    </i>
    <i t="data" r="1" i="0">
      <x v="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Máx. de Saldo em caixa" fld="5" subtotal="max" showDataAs="normal" baseField="25" baseItem="0" numFmtId="44"/>
    <dataField name="Mín. de Saldo em caixa" fld="5" subtotal="min" showDataAs="normal" baseField="25" baseItem="0" numFmtId="44"/>
  </dataFields>
  <formats count="4">
    <format action="formatting" dxfId="21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20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19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  <format action="formatting" dxfId="18">
      <pivotArea type="normal" dataOnly="0" labelOnly="1" outline="0" fieldPosition="0">
        <references count="1">
          <reference field="4294967294">
            <x v="1"/>
          </reference>
        </references>
      </pivotArea>
    </format>
  </format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1" cacheId="45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37:B144" firstHeaderRow="1" firstDataRow="1" firstDataCol="1"/>
  <pivotFields count="27"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0">
      <items count="192">
        <item t="data" h="1" sd="1" m="1" x="155"/>
        <item t="data" h="1" sd="1" x="133"/>
        <item t="data" h="1" sd="1" x="33"/>
        <item t="data" h="1" sd="1" x="55"/>
        <item t="data" h="1" sd="1" m="1" x="172"/>
        <item t="data" h="1" sd="1" m="1" x="156"/>
        <item t="data" h="1" sd="1" x="134"/>
        <item t="data" h="1" sd="1" x="56"/>
        <item t="data" h="1" sd="1" x="101"/>
        <item t="data" h="1" sd="1" m="1" x="157"/>
        <item t="data" h="1" sd="1" x="135"/>
        <item t="data" h="1" sd="1" x="57"/>
        <item t="data" h="1" sd="1" x="73"/>
        <item t="data" h="1" sd="1" m="1" x="187"/>
        <item t="data" h="1" sd="1" m="1" x="158"/>
        <item t="data" h="1" sd="1" m="1" x="163"/>
        <item t="data" h="1" sd="1" x="58"/>
        <item t="data" h="1" sd="1" x="102"/>
        <item t="data" h="1" sd="1" m="1" x="159"/>
        <item t="data" h="1" sd="1" x="34"/>
        <item t="data" h="1" sd="1" m="1" x="188"/>
        <item t="data" h="1" sd="1" m="1" x="160"/>
        <item t="data" h="1" sd="1" m="1" x="164"/>
        <item t="data" h="1" sd="1" x="35"/>
        <item t="data" h="1" sd="1" x="59"/>
        <item t="data" h="1" sd="1" m="1" x="189"/>
        <item t="data" h="1" sd="1" x="105"/>
        <item t="data" h="1" sd="1" x="108"/>
        <item t="data" h="1" sd="1" m="1" x="161"/>
        <item t="data" sd="1" x="36"/>
        <item t="data" sd="1" x="60"/>
        <item t="data" sd="1" x="74"/>
        <item t="data" sd="1" x="109"/>
        <item t="data" sd="1" m="1" x="166"/>
        <item t="data" sd="1" m="1" x="162"/>
        <item t="data" sd="1" m="1" x="165"/>
        <item t="data" sd="1" x="37"/>
        <item t="data" sd="1" m="1" x="174"/>
        <item t="data" sd="1" x="93"/>
        <item t="data" sd="1" m="1" x="142"/>
        <item t="data" sd="1" x="38"/>
        <item t="data" sd="1" x="61"/>
        <item t="data" sd="1" m="1" x="175"/>
        <item t="data" sd="1" x="94"/>
        <item t="data" sd="1" x="106"/>
        <item t="data" sd="1" x="110"/>
        <item t="data" sd="1" x="121"/>
        <item t="data" sd="1" m="1" x="143"/>
        <item t="data" sd="1" x="39"/>
        <item t="data" sd="1" x="62"/>
        <item t="data" sd="1" m="1" x="176"/>
        <item t="data" sd="1" x="95"/>
        <item t="data" sd="1" x="122"/>
        <item t="data" sd="1" m="1" x="144"/>
        <item t="data" sd="1" x="40"/>
        <item t="data" sd="1" x="63"/>
        <item t="data" sd="1" x="96"/>
        <item t="data" sd="1" x="111"/>
        <item t="data" sd="1" x="123"/>
        <item t="data" sd="1" m="1" x="145"/>
        <item t="data" sd="1" x="41"/>
        <item t="data" sd="1" x="64"/>
        <item t="data" sd="1" m="1" x="177"/>
        <item t="data" sd="1" x="97"/>
        <item t="data" sd="1" m="1" x="190"/>
        <item t="data" sd="1" m="1" x="146"/>
        <item t="data" sd="1" x="42"/>
        <item t="data" sd="1" m="1" x="178"/>
        <item t="data" sd="1" x="124"/>
        <item t="data" sd="1" m="1" x="147"/>
        <item t="data" sd="1" x="43"/>
        <item t="data" sd="1" x="98"/>
        <item t="data" sd="1" x="103"/>
        <item t="data" sd="1" m="1" x="167"/>
        <item t="data" sd="1" x="21"/>
        <item t="data" sd="1" x="65"/>
        <item t="data" sd="1" m="1" x="179"/>
        <item t="data" sd="1" x="99"/>
        <item t="data" sd="1" m="1" x="168"/>
        <item t="data" sd="1" x="125"/>
        <item t="data" sd="1" x="22"/>
        <item t="data" sd="1" m="1" x="173"/>
        <item t="data" sd="1" x="66"/>
        <item t="data" sd="1" x="107"/>
        <item t="data" sd="1" m="1" x="169"/>
        <item t="data" sd="1" x="126"/>
        <item t="data" sd="1" x="23"/>
        <item t="data" sd="1" m="1" x="180"/>
        <item t="data" sd="1" m="1" x="170"/>
        <item t="data" sd="1" x="128"/>
        <item t="data" sd="1" x="24"/>
        <item t="data" sd="1" x="45"/>
        <item t="data" sd="1" x="67"/>
        <item t="data" sd="1" x="104"/>
        <item t="data" sd="1" x="129"/>
        <item t="data" sd="1" x="25"/>
        <item t="data" sd="1" x="26"/>
        <item t="data" sd="1" x="47"/>
        <item t="data" sd="1" x="68"/>
        <item t="data" sd="1" m="1" x="181"/>
        <item t="data" sd="1" x="48"/>
        <item t="data" sd="1" x="27"/>
        <item t="data" sd="1" m="1" x="182"/>
        <item t="data" sd="1" x="28"/>
        <item t="data" sd="1" x="29"/>
        <item t="data" sd="1" x="49"/>
        <item t="data" sd="1" x="69"/>
        <item t="data" sd="1" m="1" x="183"/>
        <item t="data" sd="1" x="100"/>
        <item t="data" sd="1" m="1" x="148"/>
        <item t="data" sd="1" x="30"/>
        <item t="data" sd="1" x="50"/>
        <item t="data" sd="1" m="1" x="184"/>
        <item t="data" sd="1" m="1" x="149"/>
        <item t="data" sd="1" x="130"/>
        <item t="data" sd="1" x="31"/>
        <item t="data" sd="1" x="51"/>
        <item t="data" sd="1" m="1" x="150"/>
        <item t="data" sd="1" x="52"/>
        <item t="data" sd="1" x="70"/>
        <item t="data" sd="1" m="1" x="185"/>
        <item t="data" sd="1" m="1" x="151"/>
        <item t="data" sd="1" x="32"/>
        <item t="data" sd="1" x="53"/>
        <item t="data" sd="1" x="71"/>
        <item t="data" sd="1" m="1" x="186"/>
        <item t="data" sd="1" m="1" x="152"/>
        <item t="data" sd="1" x="131"/>
        <item t="data" sd="1" x="72"/>
        <item t="data" sd="1" m="1" x="153"/>
        <item t="data" sd="1" m="1" x="191"/>
        <item t="data" sd="1" m="1" x="154"/>
        <item t="data" sd="1" x="54"/>
        <item t="data" sd="1" m="1" x="171"/>
        <item t="data" sd="1" x="120"/>
        <item t="data" sd="1" x="44"/>
        <item t="data" sd="1" x="46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112"/>
        <item t="data" sd="1" x="127"/>
        <item t="data" sd="1" x="13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36"/>
        <item t="data" sd="1" x="137"/>
        <item t="data" sd="1" x="138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39"/>
        <item t="data" sd="1" x="15"/>
        <item t="data" sd="1" x="16"/>
        <item t="data" sd="1" x="17"/>
        <item t="data" sd="1" x="18"/>
        <item t="data" sd="1" x="19"/>
        <item t="data" sd="1" x="20"/>
        <item t="data" sd="1" x="140"/>
        <item t="data" h="1" sd="1" x="14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1"/>
        <item t="data" sd="0" x="3"/>
        <item t="data" sd="0" x="4"/>
        <item t="data" sd="1" x="2"/>
        <item t="data" sd="1" x="5"/>
        <item t="data" sd="1" x="6"/>
        <item t="data" sd="1" x="7"/>
        <item t="data" sd="1" x="8"/>
        <item t="data" sd="1" x="9"/>
        <item t="default" sd="1"/>
      </items>
    </pivotField>
    <pivotField axis="axisRow" showDropDowns="1" compact="1" numFmtId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3">
    <field x="25"/>
    <field x="24"/>
    <field x="20"/>
  </rowFields>
  <rowItems count="107">
    <i t="data" r="0" i="0">
      <x v="0"/>
    </i>
    <i t="data" r="1" i="0">
      <x v="0"/>
    </i>
    <i t="data" r="2" i="0">
      <x v="168"/>
    </i>
    <i t="data" r="2" i="0">
      <x v="169"/>
    </i>
    <i t="data" r="2" i="0">
      <x v="170"/>
    </i>
    <i t="data" r="2" i="0">
      <x v="171"/>
    </i>
    <i t="data" r="2" i="0">
      <x v="172"/>
    </i>
    <i t="data" r="2" i="0">
      <x v="173"/>
    </i>
    <i t="data" r="2" i="0">
      <x v="174"/>
    </i>
    <i t="data" r="1" i="0">
      <x v="1"/>
    </i>
    <i t="data" r="2" i="0">
      <x v="74"/>
    </i>
    <i t="data" r="2" i="0">
      <x v="80"/>
    </i>
    <i t="data" r="2" i="0">
      <x v="86"/>
    </i>
    <i t="data" r="2" i="0">
      <x v="90"/>
    </i>
    <i t="data" r="2" i="0">
      <x v="95"/>
    </i>
    <i t="data" r="2" i="0">
      <x v="96"/>
    </i>
    <i t="data" r="2" i="0">
      <x v="101"/>
    </i>
    <i t="data" r="2" i="0">
      <x v="103"/>
    </i>
    <i t="data" r="2" i="0">
      <x v="104"/>
    </i>
    <i t="data" r="2" i="0">
      <x v="110"/>
    </i>
    <i t="data" r="2" i="0">
      <x v="115"/>
    </i>
    <i t="data" r="2" i="0">
      <x v="122"/>
    </i>
    <i t="data" r="2" i="0">
      <x v="175"/>
    </i>
    <i t="data" r="2" i="0">
      <x v="176"/>
    </i>
    <i t="data" r="2" i="0">
      <x v="177"/>
    </i>
    <i t="data" r="2" i="0">
      <x v="178"/>
    </i>
    <i t="data" r="2" i="0">
      <x v="180"/>
    </i>
    <i t="data" r="2" i="0">
      <x v="181"/>
    </i>
    <i t="data" r="2" i="0">
      <x v="182"/>
    </i>
    <i t="data" r="2" i="0">
      <x v="184"/>
    </i>
    <i t="data" r="2" i="0">
      <x v="185"/>
    </i>
    <i t="data" r="2" i="0">
      <x v="186"/>
    </i>
    <i t="data" r="2" i="0">
      <x v="187"/>
    </i>
    <i t="data" r="2" i="0">
      <x v="188"/>
    </i>
    <i t="data" r="2" i="0">
      <x v="189"/>
    </i>
    <i t="data" r="1" i="0">
      <x v="2"/>
    </i>
    <i t="data" r="1" i="0">
      <x v="3"/>
    </i>
    <i t="data" r="1" i="0">
      <x v="4"/>
    </i>
    <i t="data" r="2" i="0">
      <x v="31"/>
    </i>
    <i t="data" r="2" i="0">
      <x v="137"/>
    </i>
    <i t="data" r="2" i="0">
      <x v="138"/>
    </i>
    <i t="data" r="2" i="0">
      <x v="139"/>
    </i>
    <i t="data" r="2" i="0">
      <x v="140"/>
    </i>
    <i t="data" r="2" i="0">
      <x v="141"/>
    </i>
    <i t="data" r="2" i="0">
      <x v="142"/>
    </i>
    <i t="data" r="2" i="0">
      <x v="143"/>
    </i>
    <i t="data" r="2" i="0">
      <x v="144"/>
    </i>
    <i t="data" r="2" i="0">
      <x v="145"/>
    </i>
    <i t="data" r="2" i="0">
      <x v="146"/>
    </i>
    <i t="data" r="2" i="0">
      <x v="147"/>
    </i>
    <i t="data" r="2" i="0">
      <x v="148"/>
    </i>
    <i t="data" r="2" i="0">
      <x v="149"/>
    </i>
    <i t="data" r="2" i="0">
      <x v="150"/>
    </i>
    <i t="data" r="2" i="0">
      <x v="179"/>
    </i>
    <i t="data" r="1" i="0">
      <x v="5"/>
    </i>
    <i t="data" r="2" i="0">
      <x v="38"/>
    </i>
    <i t="data" r="2" i="0">
      <x v="43"/>
    </i>
    <i t="data" r="2" i="0">
      <x v="51"/>
    </i>
    <i t="data" r="2" i="0">
      <x v="56"/>
    </i>
    <i t="data" r="2" i="0">
      <x v="63"/>
    </i>
    <i t="data" r="2" i="0">
      <x v="71"/>
    </i>
    <i t="data" r="2" i="0">
      <x v="77"/>
    </i>
    <i t="data" r="2" i="0">
      <x v="108"/>
    </i>
    <i t="data" r="2" i="0">
      <x v="151"/>
    </i>
    <i t="data" r="2" i="0">
      <x v="152"/>
    </i>
    <i t="data" r="2" i="0">
      <x v="153"/>
    </i>
    <i t="data" r="2" i="0">
      <x v="154"/>
    </i>
    <i t="data" r="1" i="0">
      <x v="6"/>
    </i>
    <i t="data" r="2" i="0">
      <x v="72"/>
    </i>
    <i t="data" r="2" i="0">
      <x v="93"/>
    </i>
    <i t="data" r="1" i="0">
      <x v="8"/>
    </i>
    <i t="data" r="2" i="0">
      <x v="44"/>
    </i>
    <i t="data" r="2" i="0">
      <x v="83"/>
    </i>
    <i t="data" r="1" i="0">
      <x v="9"/>
    </i>
    <i t="data" r="2" i="0">
      <x v="32"/>
    </i>
    <i t="data" r="2" i="0">
      <x v="45"/>
    </i>
    <i t="data" r="2" i="0">
      <x v="57"/>
    </i>
    <i t="data" r="2" i="0">
      <x v="155"/>
    </i>
    <i t="data" r="2" i="0">
      <x v="158"/>
    </i>
    <i t="data" r="2" i="0">
      <x v="159"/>
    </i>
    <i t="data" r="2" i="0">
      <x v="160"/>
    </i>
    <i t="data" r="2" i="0">
      <x v="161"/>
    </i>
    <i t="data" r="2" i="0">
      <x v="162"/>
    </i>
    <i t="data" r="0" i="0">
      <x v="1"/>
    </i>
    <i t="data" r="1" i="0">
      <x v="0"/>
    </i>
    <i t="data" r="2" i="0">
      <x v="46"/>
    </i>
    <i t="data" r="2" i="0">
      <x v="52"/>
    </i>
    <i t="data" r="2" i="0">
      <x v="58"/>
    </i>
    <i t="data" r="2" i="0">
      <x v="68"/>
    </i>
    <i t="data" r="2" i="0">
      <x v="79"/>
    </i>
    <i t="data" r="2" i="0">
      <x v="85"/>
    </i>
    <i t="data" r="2" i="0">
      <x v="89"/>
    </i>
    <i t="data" r="2" i="0">
      <x v="94"/>
    </i>
    <i t="data" r="2" i="0">
      <x v="114"/>
    </i>
    <i t="data" r="2" i="0">
      <x v="127"/>
    </i>
    <i t="data" r="2" i="0">
      <x v="134"/>
    </i>
    <i t="data" r="2" i="0">
      <x v="156"/>
    </i>
    <i t="data" r="2" i="0">
      <x v="157"/>
    </i>
    <i t="data" r="2" i="0">
      <x v="163"/>
    </i>
    <i t="data" r="2" i="0">
      <x v="164"/>
    </i>
    <i t="data" r="1" i="0">
      <x v="1"/>
    </i>
    <i t="data" r="2" i="0">
      <x v="165"/>
    </i>
    <i t="data" r="2" i="0">
      <x v="166"/>
    </i>
    <i t="data" r="2" i="0">
      <x v="167"/>
    </i>
    <i t="data" r="2" i="0">
      <x v="183"/>
    </i>
    <i t="data" r="2" i="0">
      <x v="190"/>
    </i>
    <i t="grand" r="0" i="0">
      <x v="0"/>
    </i>
  </rowItems>
  <colItems count="1">
    <i t="data" r="0" i="0"/>
  </colItems>
  <dataFields count="1">
    <dataField name="Produto de preço de mercado" fld="19" subtotal="product" showDataAs="normal" baseField="0" baseItem="0" numFmtId="44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3" cacheId="5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3" fieldListSortAscending="0" mdxSubqueries="0" applyNumberFormats="0" applyBorderFormats="0" applyFontFormats="0" applyPatternFormats="0" applyAlignmentFormats="0" applyWidthHeightFormats="1" r:id="rId1">
  <location ref="A19:B34" firstHeaderRow="1" firstDataRow="1" firstDataCol="1"/>
  <pivotFields count="3"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1"/>
        <item t="data" sd="1" x="3"/>
        <item t="data" sd="1" x="4"/>
        <item t="data" sd="1" x="2"/>
        <item t="data" sd="1" x="5"/>
        <item t="data" sd="1" x="6"/>
        <item t="data" sd="1" x="7"/>
        <item t="data" sd="1" x="8"/>
        <item t="data" sd="1" x="9"/>
        <item t="default" sd="1"/>
      </items>
    </pivotField>
    <pivotField axis="axisRow" showDropDowns="1" compact="1" numFmtId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2">
    <field x="1"/>
    <field x="0"/>
  </rowFields>
  <rowItems count="15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0" i="0">
      <x v="1"/>
    </i>
    <i t="data" r="1" i="0">
      <x v="0"/>
    </i>
    <i t="data" r="1" i="0">
      <x v="1"/>
    </i>
    <i t="grand" r="0" i="0">
      <x v="0"/>
    </i>
  </rowItems>
  <colItems count="1">
    <i t="data" r="0" i="0"/>
  </colItems>
  <dataFields count="1">
    <dataField name="Soma de Investido Mês" fld="2" subtotal="sum" showDataAs="normal" baseField="0" baseItem="0" numFmtId="44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1" displayName="Tabela11" ref="A4:AA203" headerRowCount="1" totalsRowShown="0" headerRowDxfId="53" dataDxfId="51" headerRowBorderDxfId="52" tableBorderDxfId="50" totalsRowBorderDxfId="49" dataCellStyle="Moeda">
  <autoFilter ref="A4:AA203">
    <filterColumn colId="20" hiddenButton="0" showButton="1">
      <filters>
        <filter val="01/02/2026"/>
        <filter val="01/03/2025"/>
        <filter val="01/04/2025"/>
        <filter val="02/02/2026"/>
        <filter val="02/04/2025"/>
        <filter val="02/07/2025"/>
        <filter val="03/02/2026"/>
        <filter val="03/04/2025"/>
        <filter val="03/05/2025"/>
        <filter val="04/04/2025"/>
        <filter val="04/07/2025"/>
        <filter val="05/03/2025"/>
        <filter val="06/03/2025"/>
        <filter val="06/04/2025"/>
        <filter val="06/10/2025"/>
        <filter val="06/12/2025"/>
        <filter val="07/03/2025"/>
        <filter val="07/04/2025"/>
        <filter val="07/05/2025"/>
        <filter val="07/12/2025"/>
        <filter val="08/03/2025"/>
        <filter val="08/06/2025"/>
        <filter val="09/02/2026"/>
        <filter val="09/03/2025"/>
        <filter val="09/04/2025"/>
        <filter val="09/06/2025"/>
        <filter val="09/11/2025"/>
        <filter val="09/12/2025"/>
        <filter val="10/01/2026"/>
        <filter val="10/03/2025"/>
        <filter val="10/04/2025"/>
        <filter val="10/06/2025"/>
        <filter val="11/01/2026"/>
        <filter val="11/03/2025"/>
        <filter val="11/04/2025"/>
        <filter val="11/06/2025"/>
        <filter val="11/12/2025"/>
        <filter val="12/01/2026"/>
        <filter val="12/03/2025"/>
        <filter val="12/04/2025"/>
        <filter val="12/06/2025"/>
        <filter val="13/03/2025"/>
        <filter val="14/01/2026"/>
        <filter val="14/03/2025"/>
        <filter val="14/06/2025"/>
        <filter val="14/07/2025"/>
        <filter val="15/02/2025"/>
        <filter val="15/04/2025"/>
        <filter val="15/06/2025"/>
        <filter val="16/01/2026"/>
        <filter val="16/02/2025"/>
        <filter val="16/04/2025"/>
        <filter val="16/11/2025"/>
        <filter val="17/01/2026"/>
        <filter val="17/02/2025"/>
        <filter val="18/01/2026"/>
        <filter val="18/02/2025"/>
        <filter val="18/03/2025"/>
        <filter val="18/04/2025"/>
        <filter val="18/07/2025"/>
        <filter val="19/01/2026"/>
        <filter val="19/02/2025"/>
        <filter val="20/02/2025"/>
        <filter val="20/03/2025"/>
        <filter val="20/04/2025"/>
        <filter val="21/03/2025"/>
        <filter val="22/02/2025"/>
        <filter val="23/02/2025"/>
        <filter val="24/02/2025"/>
        <filter val="24/03/2025"/>
        <filter val="24/04/2025"/>
        <filter val="24/06/2025"/>
        <filter val="25/02/2025"/>
        <filter val="25/03/2025"/>
        <filter val="26/01/2026"/>
        <filter val="26/02/2025"/>
        <filter val="26/03/2025"/>
        <filter val="27/03/2025"/>
        <filter val="27/04/2025"/>
        <filter val="28/02/2025"/>
        <filter val="28/03/2025"/>
        <filter val="28/04/2025"/>
        <filter val="29/01/2026"/>
        <filter val="29/04/2025"/>
        <filter val="31/03/2025"/>
      </filters>
    </filterColumn>
  </autoFilter>
  <tableColumns count="27">
    <tableColumn id="1" name="Capital investido" dataDxfId="48" dataCellStyle="Moeda"/>
    <tableColumn id="2" name="Capital total" dataDxfId="47" dataCellStyle="Moeda"/>
    <tableColumn id="3" name="Lucro" dataDxfId="46" dataCellStyle="Moeda"/>
    <tableColumn id="4" name="Pagamento De funcionários" dataDxfId="45" dataCellStyle="Moeda"/>
    <tableColumn id="5" name="Caixinha 2026" dataDxfId="44" dataCellStyle="Moeda"/>
    <tableColumn id="6" name="Saldo em caixa" dataDxfId="43" dataCellStyle="Moeda"/>
    <tableColumn id="19" name="Saldo projetado" dataDxfId="42" dataCellStyle="Moeda"/>
    <tableColumn id="7" name="CDB" dataDxfId="41" dataCellStyle="Moeda"/>
    <tableColumn id="27" name="CDB 2026" dataDxfId="40" dataCellStyle="Moeda"/>
    <tableColumn id="8" name="Ação/BDR" dataDxfId="39" dataCellStyle="Moeda"/>
    <tableColumn id="9" name="Dolar" dataDxfId="38" dataCellStyle="Moeda"/>
    <tableColumn id="10" name="FII" dataDxfId="37" dataCellStyle="Moeda"/>
    <tableColumn id="11" name="Caixa 2" dataDxfId="36" dataCellStyle="Moeda"/>
    <tableColumn id="12" name="Empréstimo" dataDxfId="35" dataCellStyle="Moeda"/>
    <tableColumn id="13" name="Crypto" dataDxfId="34" dataCellStyle="Moeda"/>
    <tableColumn id="14" name="Day trade" dataDxfId="33" dataCellStyle="Moeda"/>
    <tableColumn id="21" name="ETF" dataDxfId="32" dataCellStyle="Moeda"/>
    <tableColumn id="15" name="Tesouro direto" dataDxfId="31" dataCellStyle="Moeda"/>
    <tableColumn id="23" name="Fundos de investimento" dataDxfId="30" dataCellStyle="Moeda"/>
    <tableColumn id="20" name="preço de mercado" dataDxfId="29" dataCellStyle="Moeda"/>
    <tableColumn id="22" name="Data" dataDxfId="28" dataCellStyle="Moeda"/>
    <tableColumn id="16" name="Hora" dataDxfId="27"/>
    <tableColumn id="17" name="% lucro" dataDxfId="26" dataCellStyle="Porcentagem">
      <calculatedColumnFormula>IFERROR(Tabela11[[#This Row],[Lucro]]*1/Tabela11[[#This Row],[Capital total]],"")</calculatedColumnFormula>
    </tableColumn>
    <tableColumn id="18" name="Variação no Período" dataDxfId="25" dataCellStyle="Moeda"/>
    <tableColumn id="24" name="Mês" dataDxfId="24" dataCellStyle="Moeda">
      <calculatedColumnFormula>PROPER(TEXT(DATE(2024,MONTH(Tabela11[[#This Row],[Data]]),1),"mmmm"))</calculatedColumnFormula>
    </tableColumn>
    <tableColumn id="26" name="Ano" dataDxfId="23" dataCellStyle="Moeda">
      <calculatedColumnFormula>YEAR(Tabela11[[#This Row],[Data]])</calculatedColumnFormula>
    </tableColumn>
    <tableColumn id="25" name="Investido Mês" dataDxfId="22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3" displayName="Tabela3" ref="D19:F21" headerRowCount="1" totalsRowShown="0">
  <autoFilter ref="D19:F21"/>
  <tableColumns count="3">
    <tableColumn id="1" name="Ano" dataDxfId="17"/>
    <tableColumn id="2" name="Média Mês">
      <calculatedColumnFormula>GETPIVOTDATA("Investido Mês",$A$19,"Mês","Janeiro","Ano",2026)</calculatedColumnFormula>
    </tableColumn>
    <tableColumn id="3" name="Média diária" dataDxfId="16">
      <calculatedColumnFormula>E20/11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12" displayName="Tabela12" ref="A4:B16" headerRowCount="1" totalsRowShown="0" headerRowDxfId="15" headerRowBorderDxfId="14" tableBorderDxfId="13" totalsRowBorderDxfId="12">
  <autoFilter ref="A4:B16"/>
  <tableColumns count="2">
    <tableColumn id="1" name="Mês" dataDxfId="11"/>
    <tableColumn id="2" name="Valor" dataDxfId="10" dataCellStyle="Moeda">
      <calculatedColumnFormula array="1">SUMPRODUCT((TEXT(Tabela11[Data],"mm/aaaa")="01/2026") * (Tabela11[Variação no Período]))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Relationship Type="http://schemas.openxmlformats.org/officeDocument/2006/relationships/pivotTable" Target="/xl/pivotTables/pivotTable1.xml" Id="rId3"/><Relationship Type="http://schemas.openxmlformats.org/officeDocument/2006/relationships/pivotTable" Target="/xl/pivotTables/pivotTable2.xml" Id="rId4"/><Relationship Type="http://schemas.openxmlformats.org/officeDocument/2006/relationships/pivotTable" Target="/xl/pivotTables/pivotTable3.xml" Id="rId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5"/>
  <sheetViews>
    <sheetView tabSelected="1" topLeftCell="A136" zoomScale="80" zoomScaleNormal="80" workbookViewId="0">
      <selection activeCell="Y181" sqref="Y181"/>
    </sheetView>
  </sheetViews>
  <sheetFormatPr baseColWidth="8" defaultRowHeight="15"/>
  <cols>
    <col width="14.7109375" bestFit="1" customWidth="1" style="71" min="1" max="1"/>
    <col width="14.42578125" bestFit="1" customWidth="1" style="71" min="2" max="2"/>
    <col width="17" bestFit="1" customWidth="1" style="71" min="3" max="3"/>
    <col hidden="1" width="20.5703125" customWidth="1" style="71" min="4" max="4"/>
    <col width="24.85546875" bestFit="1" customWidth="1" style="71" min="5" max="5"/>
    <col width="21" bestFit="1" customWidth="1" style="72" min="6" max="6"/>
    <col hidden="1" width="21" customWidth="1" style="71" min="7" max="7"/>
    <col width="13.42578125" bestFit="1" customWidth="1" style="71" min="8" max="8"/>
    <col width="15.140625" bestFit="1" customWidth="1" style="71" min="9" max="9"/>
    <col width="15.42578125" bestFit="1" customWidth="1" style="71" min="10" max="10"/>
    <col width="15.7109375" bestFit="1" customWidth="1" style="71" min="11" max="11"/>
    <col hidden="1" width="11.85546875" customWidth="1" style="71" min="12" max="12"/>
    <col hidden="1" width="15.7109375" customWidth="1" style="71" min="13" max="13"/>
    <col hidden="1" width="16.28515625" customWidth="1" style="71" min="14" max="14"/>
    <col hidden="1" width="11.5703125" customWidth="1" style="57" min="15" max="15"/>
    <col hidden="1" width="14.7109375" customWidth="1" style="57" min="16" max="16"/>
    <col width="14.7109375" customWidth="1" style="57" min="17" max="17"/>
    <col width="19.28515625" bestFit="1" customWidth="1" style="57" min="18" max="18"/>
    <col width="17" bestFit="1" customWidth="1" style="57" min="19" max="19"/>
    <col width="15" bestFit="1" customWidth="1" style="57" min="20" max="20"/>
    <col width="15.42578125" bestFit="1" customWidth="1" style="57" min="21" max="21"/>
    <col width="12.140625" bestFit="1" customWidth="1" style="57" min="22" max="22"/>
    <col width="15.140625" bestFit="1" customWidth="1" style="57" min="23" max="23"/>
    <col width="17.28515625" bestFit="1" customWidth="1" style="57" min="24" max="24"/>
    <col width="12.5703125" customWidth="1" style="57" min="25" max="25"/>
    <col width="14.7109375" bestFit="1" customWidth="1" style="57" min="26" max="26"/>
    <col width="24" bestFit="1" customWidth="1" style="57" min="27" max="27"/>
    <col width="27.85546875" bestFit="1" customWidth="1" style="57" min="28" max="28"/>
  </cols>
  <sheetData>
    <row r="1" ht="15" customHeight="1" s="57">
      <c r="A1" s="73" t="inlineStr">
        <is>
          <t>Dados Financeiros</t>
        </is>
      </c>
    </row>
    <row r="2">
      <c r="A2" s="58" t="n"/>
    </row>
    <row r="3" ht="15" customHeight="1" s="57"/>
    <row r="4" ht="30" customHeight="1" s="57">
      <c r="A4" s="74" t="inlineStr">
        <is>
          <t>Capital investido</t>
        </is>
      </c>
      <c r="B4" s="75" t="inlineStr">
        <is>
          <t>Capital total</t>
        </is>
      </c>
      <c r="C4" s="75" t="inlineStr">
        <is>
          <t>Lucro</t>
        </is>
      </c>
      <c r="D4" s="75" t="inlineStr">
        <is>
          <t>Pagamento De funcionários</t>
        </is>
      </c>
      <c r="E4" s="75" t="inlineStr">
        <is>
          <t>Caixinha 2026</t>
        </is>
      </c>
      <c r="F4" s="75" t="inlineStr">
        <is>
          <t>Saldo em caixa</t>
        </is>
      </c>
      <c r="G4" s="75" t="inlineStr">
        <is>
          <t>Saldo projetado</t>
        </is>
      </c>
      <c r="H4" s="75" t="inlineStr">
        <is>
          <t>CDB</t>
        </is>
      </c>
      <c r="I4" s="75" t="inlineStr">
        <is>
          <t>CDB 2026</t>
        </is>
      </c>
      <c r="J4" s="75" t="inlineStr">
        <is>
          <t>Ação/BDR</t>
        </is>
      </c>
      <c r="K4" s="75" t="inlineStr">
        <is>
          <t>Dolar</t>
        </is>
      </c>
      <c r="L4" s="75" t="inlineStr">
        <is>
          <t>FII</t>
        </is>
      </c>
      <c r="M4" s="75" t="inlineStr">
        <is>
          <t>Caixa 2</t>
        </is>
      </c>
      <c r="N4" s="75" t="inlineStr">
        <is>
          <t>Empréstimo</t>
        </is>
      </c>
      <c r="O4" s="76" t="inlineStr">
        <is>
          <t>Crypto</t>
        </is>
      </c>
      <c r="P4" s="75" t="inlineStr">
        <is>
          <t>Day trade</t>
        </is>
      </c>
      <c r="Q4" s="75" t="inlineStr">
        <is>
          <t>ETF</t>
        </is>
      </c>
      <c r="R4" s="75" t="inlineStr">
        <is>
          <t>Tesouro direto</t>
        </is>
      </c>
      <c r="S4" s="75" t="inlineStr">
        <is>
          <t>Fundos de investimento</t>
        </is>
      </c>
      <c r="T4" s="1" t="inlineStr">
        <is>
          <t>preço de mercado</t>
        </is>
      </c>
      <c r="U4" s="15" t="inlineStr">
        <is>
          <t>Data</t>
        </is>
      </c>
      <c r="V4" s="1" t="inlineStr">
        <is>
          <t>Hora</t>
        </is>
      </c>
      <c r="W4" s="1" t="inlineStr">
        <is>
          <t>% lucro</t>
        </is>
      </c>
      <c r="X4" s="2" t="inlineStr">
        <is>
          <t>Variação no Período</t>
        </is>
      </c>
      <c r="Y4" s="23" t="inlineStr">
        <is>
          <t>Mês</t>
        </is>
      </c>
      <c r="Z4" s="23" t="inlineStr">
        <is>
          <t>Ano</t>
        </is>
      </c>
      <c r="AA4" s="23" t="inlineStr">
        <is>
          <t>Investido Mês</t>
        </is>
      </c>
    </row>
    <row r="5" hidden="1" s="57">
      <c r="A5" s="77" t="n">
        <v>82.70250101356964</v>
      </c>
      <c r="B5" s="78" t="n">
        <v>82.24852274910684</v>
      </c>
      <c r="C5" s="78" t="n">
        <v>-0.4539782644628048</v>
      </c>
      <c r="D5" s="78" t="n">
        <v>1.04</v>
      </c>
      <c r="E5" s="78" t="n"/>
      <c r="F5" s="78" t="n">
        <v>82.24852274910684</v>
      </c>
      <c r="G5" s="78" t="inlineStr">
        <is>
          <t>-</t>
        </is>
      </c>
      <c r="H5" s="78" t="n">
        <v>20.41250101356965</v>
      </c>
      <c r="I5" s="78" t="n"/>
      <c r="J5" s="78" t="n">
        <v>1.769999999999996</v>
      </c>
      <c r="K5" s="78" t="n">
        <v>19.2460217355372</v>
      </c>
      <c r="L5" s="78" t="n">
        <v>27.58</v>
      </c>
      <c r="M5" s="78" t="n">
        <v>1.189999999999998</v>
      </c>
      <c r="N5" s="78" t="n">
        <v>2.159999999999997</v>
      </c>
      <c r="O5" s="78" t="n">
        <v>0</v>
      </c>
      <c r="P5" s="78" t="n">
        <v>9.159999999999997</v>
      </c>
      <c r="Q5" s="79" t="inlineStr">
        <is>
          <t>-</t>
        </is>
      </c>
      <c r="R5" s="79" t="inlineStr">
        <is>
          <t>-</t>
        </is>
      </c>
      <c r="S5" s="79" t="inlineStr">
        <is>
          <t>-</t>
        </is>
      </c>
      <c r="T5" s="80" t="n">
        <v>0.01028106534363835</v>
      </c>
      <c r="U5" s="16" t="n">
        <v>45682</v>
      </c>
      <c r="V5" s="4" t="inlineStr">
        <is>
          <t>11:39:45</t>
        </is>
      </c>
      <c r="W5" s="81">
        <f>IFERROR(Tabela11[[#This Row],[Lucro]]*1/Tabela11[[#This Row],[Capital total]],"")</f>
        <v/>
      </c>
      <c r="X5" s="82" t="n">
        <v>0</v>
      </c>
      <c r="Y5" s="65">
        <f>PROPER(TEXT(DATE(2024,MONTH(Tabela11[[#This Row],[Data]]),1),"mmmm"))</f>
        <v/>
      </c>
      <c r="Z5" s="65">
        <f>YEAR(Tabela11[[#This Row],[Data]])</f>
        <v/>
      </c>
      <c r="AA5" s="78" t="n">
        <v>0</v>
      </c>
      <c r="AB5" s="19" t="inlineStr">
        <is>
          <t>Índice</t>
        </is>
      </c>
    </row>
    <row r="6" hidden="1" s="57">
      <c r="A6" s="77" t="n">
        <v>89.96930976732349</v>
      </c>
      <c r="B6" s="78" t="n">
        <v>87.74533150286069</v>
      </c>
      <c r="C6" s="78" t="n">
        <v>-2.223978264462804</v>
      </c>
      <c r="D6" s="78" t="n">
        <v>1.04</v>
      </c>
      <c r="E6" s="78" t="n"/>
      <c r="F6" s="78" t="n">
        <v>87.74533150286069</v>
      </c>
      <c r="G6" s="78" t="inlineStr">
        <is>
          <t>-</t>
        </is>
      </c>
      <c r="H6" s="78" t="n">
        <v>22.67930976732349</v>
      </c>
      <c r="I6" s="78" t="n"/>
      <c r="J6" s="78" t="n">
        <v>1.769999999999996</v>
      </c>
      <c r="K6" s="78" t="n">
        <v>19.2460217355372</v>
      </c>
      <c r="L6" s="78" t="n">
        <v>27.68000000000001</v>
      </c>
      <c r="M6" s="78" t="n">
        <v>1.189999999999998</v>
      </c>
      <c r="N6" s="78" t="n">
        <v>2.159999999999997</v>
      </c>
      <c r="O6" s="78" t="n">
        <v>5</v>
      </c>
      <c r="P6" s="78" t="n">
        <v>9.159999999999997</v>
      </c>
      <c r="Q6" s="79" t="inlineStr">
        <is>
          <t>-</t>
        </is>
      </c>
      <c r="R6" s="79" t="inlineStr">
        <is>
          <t>-</t>
        </is>
      </c>
      <c r="S6" s="79" t="inlineStr">
        <is>
          <t>-</t>
        </is>
      </c>
      <c r="T6" s="80" t="n">
        <v>0.01096816643785759</v>
      </c>
      <c r="U6" s="16" t="n">
        <v>45683</v>
      </c>
      <c r="V6" s="4" t="inlineStr">
        <is>
          <t>16:32:49</t>
        </is>
      </c>
      <c r="W6" s="81">
        <f>IFERROR(Tabela11[[#This Row],[Lucro]]*1/Tabela11[[#This Row],[Capital total]],"")</f>
        <v/>
      </c>
      <c r="X6" s="82">
        <f>Tabela11[[#This Row],[Lucro]]-C5</f>
        <v/>
      </c>
      <c r="Y6" s="65">
        <f>PROPER(TEXT(DATE(2024,MONTH(Tabela11[[#This Row],[Data]]),1),"mmmm"))</f>
        <v/>
      </c>
      <c r="Z6" s="65">
        <f>YEAR(Tabela11[[#This Row],[Data]])</f>
        <v/>
      </c>
      <c r="AA6" s="78">
        <f>Tabela11[[#This Row],[Capital investido]]-A5</f>
        <v/>
      </c>
      <c r="AB6" s="20">
        <f>COUNTA(Tabela11[Capital investido])</f>
        <v/>
      </c>
    </row>
    <row r="7" hidden="1" ht="15.75" customHeight="1" s="57">
      <c r="A7" s="77" t="n">
        <v>91.11054061635153</v>
      </c>
      <c r="B7" s="78" t="n">
        <v>88.88656235188873</v>
      </c>
      <c r="C7" s="78" t="n">
        <v>-2.223978264462804</v>
      </c>
      <c r="D7" s="78" t="n">
        <v>1.04</v>
      </c>
      <c r="E7" s="78" t="n"/>
      <c r="F7" s="78" t="n">
        <v>88.88656235188873</v>
      </c>
      <c r="G7" s="78" t="inlineStr">
        <is>
          <t>-</t>
        </is>
      </c>
      <c r="H7" s="78" t="n">
        <v>23.82054061635152</v>
      </c>
      <c r="I7" s="78" t="n"/>
      <c r="J7" s="78" t="n">
        <v>1.769999999999996</v>
      </c>
      <c r="K7" s="78" t="n">
        <v>19.2460217355372</v>
      </c>
      <c r="L7" s="78" t="n">
        <v>27.48</v>
      </c>
      <c r="M7" s="78" t="n">
        <v>1.189999999999998</v>
      </c>
      <c r="N7" s="78" t="n">
        <v>2.159999999999997</v>
      </c>
      <c r="O7" s="78" t="n">
        <v>5</v>
      </c>
      <c r="P7" s="78" t="n">
        <v>9.159999999999997</v>
      </c>
      <c r="Q7" s="79" t="inlineStr">
        <is>
          <t>-</t>
        </is>
      </c>
      <c r="R7" s="79" t="inlineStr">
        <is>
          <t>-</t>
        </is>
      </c>
      <c r="S7" s="79" t="inlineStr">
        <is>
          <t>-</t>
        </is>
      </c>
      <c r="T7" s="80" t="n">
        <v>0.01111082029398609</v>
      </c>
      <c r="U7" s="16" t="n">
        <v>45684</v>
      </c>
      <c r="V7" s="4" t="inlineStr">
        <is>
          <t>18:02:53</t>
        </is>
      </c>
      <c r="W7" s="81">
        <f>IFERROR(Tabela11[[#This Row],[Lucro]]*1/Tabela11[[#This Row],[Capital total]],"")</f>
        <v/>
      </c>
      <c r="X7" s="82">
        <f>Tabela11[[#This Row],[Lucro]]-C6</f>
        <v/>
      </c>
      <c r="Y7" s="65">
        <f>PROPER(TEXT(DATE(2024,MONTH(Tabela11[[#This Row],[Data]]),1),"mmmm"))</f>
        <v/>
      </c>
      <c r="Z7" s="65">
        <f>YEAR(Tabela11[[#This Row],[Data]])</f>
        <v/>
      </c>
      <c r="AA7" s="78">
        <f>Tabela11[[#This Row],[Capital investido]]-A6</f>
        <v/>
      </c>
    </row>
    <row r="8" hidden="1" s="57">
      <c r="A8" s="77" t="n">
        <v>102.2570211272851</v>
      </c>
      <c r="B8" s="78" t="n">
        <v>99.46338398294519</v>
      </c>
      <c r="C8" s="78" t="n">
        <v>-2.793637144339907</v>
      </c>
      <c r="D8" s="78" t="n">
        <v>1.04</v>
      </c>
      <c r="E8" s="78" t="n"/>
      <c r="F8" s="78" t="n">
        <v>99.46338398294519</v>
      </c>
      <c r="G8" s="78" t="inlineStr">
        <is>
          <t>-</t>
        </is>
      </c>
      <c r="H8" s="78" t="n">
        <v>24.96702112728509</v>
      </c>
      <c r="I8" s="78" t="n"/>
      <c r="J8" s="78" t="n">
        <v>1.609999999999999</v>
      </c>
      <c r="K8" s="78" t="n">
        <v>29.07636285566009</v>
      </c>
      <c r="L8" s="78" t="n">
        <v>27.3</v>
      </c>
      <c r="M8" s="78" t="n">
        <v>1.189999999999998</v>
      </c>
      <c r="N8" s="78" t="n">
        <v>2.159999999999997</v>
      </c>
      <c r="O8" s="78" t="n">
        <v>5</v>
      </c>
      <c r="P8" s="78" t="n">
        <v>9.099999999999994</v>
      </c>
      <c r="Q8" s="79" t="inlineStr">
        <is>
          <t>-</t>
        </is>
      </c>
      <c r="R8" s="79" t="inlineStr">
        <is>
          <t>-</t>
        </is>
      </c>
      <c r="S8" s="79" t="inlineStr">
        <is>
          <t>-</t>
        </is>
      </c>
      <c r="T8" s="80" t="n">
        <v>0.01243292299786815</v>
      </c>
      <c r="U8" s="16" t="n">
        <v>45685</v>
      </c>
      <c r="V8" s="4" t="inlineStr">
        <is>
          <t>18:03:11</t>
        </is>
      </c>
      <c r="W8" s="81">
        <f>IFERROR(Tabela11[[#This Row],[Lucro]]*1/Tabela11[[#This Row],[Capital total]],"")</f>
        <v/>
      </c>
      <c r="X8" s="82">
        <f>Tabela11[[#This Row],[Lucro]]-C7</f>
        <v/>
      </c>
      <c r="Y8" s="65">
        <f>PROPER(TEXT(DATE(2024,MONTH(Tabela11[[#This Row],[Data]]),1),"mmmm"))</f>
        <v/>
      </c>
      <c r="Z8" s="65">
        <f>YEAR(Tabela11[[#This Row],[Data]])</f>
        <v/>
      </c>
      <c r="AA8" s="78">
        <f>Tabela11[[#This Row],[Capital investido]]-A7</f>
        <v/>
      </c>
    </row>
    <row r="9" hidden="1" s="57">
      <c r="A9" s="77" t="n">
        <v>102.2570211272851</v>
      </c>
      <c r="B9" s="78" t="n">
        <v>99.09595683353041</v>
      </c>
      <c r="C9" s="78" t="n">
        <v>-3.161064293754688</v>
      </c>
      <c r="D9" s="78" t="n">
        <v>1.04</v>
      </c>
      <c r="E9" s="78" t="n"/>
      <c r="F9" s="78" t="n">
        <v>99.09595683353041</v>
      </c>
      <c r="G9" s="78" t="inlineStr">
        <is>
          <t>-</t>
        </is>
      </c>
      <c r="H9" s="78" t="n">
        <v>24.96702112728509</v>
      </c>
      <c r="I9" s="78" t="n"/>
      <c r="J9" s="78" t="n">
        <v>1.549999999999997</v>
      </c>
      <c r="K9" s="78" t="n">
        <v>28.88893570624531</v>
      </c>
      <c r="L9" s="78" t="n">
        <v>27.20999999999999</v>
      </c>
      <c r="M9" s="78" t="n">
        <v>1.189999999999998</v>
      </c>
      <c r="N9" s="78" t="n">
        <v>2.159999999999997</v>
      </c>
      <c r="O9" s="78" t="n">
        <v>5</v>
      </c>
      <c r="P9" s="78" t="n">
        <v>9.069999999999993</v>
      </c>
      <c r="Q9" s="79" t="inlineStr">
        <is>
          <t>-</t>
        </is>
      </c>
      <c r="R9" s="79" t="inlineStr">
        <is>
          <t>-</t>
        </is>
      </c>
      <c r="S9" s="79" t="inlineStr">
        <is>
          <t>-</t>
        </is>
      </c>
      <c r="T9" s="80" t="n">
        <v>0.0123869946041913</v>
      </c>
      <c r="U9" s="16" t="n">
        <v>45686</v>
      </c>
      <c r="V9" s="4" t="inlineStr">
        <is>
          <t>18:00:40</t>
        </is>
      </c>
      <c r="W9" s="81">
        <f>IFERROR(Tabela11[[#This Row],[Lucro]]*1/Tabela11[[#This Row],[Capital total]],"")</f>
        <v/>
      </c>
      <c r="X9" s="82">
        <f>Tabela11[[#This Row],[Lucro]]-C8</f>
        <v/>
      </c>
      <c r="Y9" s="65">
        <f>PROPER(TEXT(DATE(2024,MONTH(Tabela11[[#This Row],[Data]]),1),"mmmm"))</f>
        <v/>
      </c>
      <c r="Z9" s="65">
        <f>YEAR(Tabela11[[#This Row],[Data]])</f>
        <v/>
      </c>
      <c r="AA9" s="78">
        <f>Tabela11[[#This Row],[Capital investido]]-A8</f>
        <v/>
      </c>
    </row>
    <row r="10" hidden="1" s="57">
      <c r="A10" s="77" t="n">
        <v>104.5537669220797</v>
      </c>
      <c r="B10" s="78" t="n">
        <v>81.86049745094564</v>
      </c>
      <c r="C10" s="78" t="n">
        <v>-22.69326947113408</v>
      </c>
      <c r="D10" s="78" t="n">
        <v>1.04</v>
      </c>
      <c r="E10" s="78" t="n"/>
      <c r="F10" s="78" t="n">
        <v>81.86049745094564</v>
      </c>
      <c r="G10" s="78" t="inlineStr">
        <is>
          <t>-</t>
        </is>
      </c>
      <c r="H10" s="78" t="n">
        <v>27.26376692207972</v>
      </c>
      <c r="I10" s="78" t="n"/>
      <c r="J10" s="78" t="n">
        <v>1.530000000000001</v>
      </c>
      <c r="K10" s="78" t="n">
        <v>28.97673052886591</v>
      </c>
      <c r="L10" s="78" t="n">
        <v>27.50999999999999</v>
      </c>
      <c r="M10" s="78" t="n">
        <v>1.189999999999998</v>
      </c>
      <c r="N10" s="78" t="n">
        <v>2.159999999999997</v>
      </c>
      <c r="O10" s="78" t="n">
        <v>5</v>
      </c>
      <c r="P10" s="78" t="n">
        <v>9.170000000000002</v>
      </c>
      <c r="Q10" s="79" t="inlineStr">
        <is>
          <t>-</t>
        </is>
      </c>
      <c r="R10" s="79" t="inlineStr">
        <is>
          <t>-</t>
        </is>
      </c>
      <c r="S10" s="79" t="inlineStr">
        <is>
          <t>-</t>
        </is>
      </c>
      <c r="T10" s="80" t="n">
        <v>0.01023256218136821</v>
      </c>
      <c r="U10" s="16" t="n">
        <v>45687</v>
      </c>
      <c r="V10" s="4" t="inlineStr">
        <is>
          <t>18:02:42</t>
        </is>
      </c>
      <c r="W10" s="83">
        <f>IFERROR(Tabela11[[#This Row],[Lucro]]*1/Tabela11[[#This Row],[Capital total]],"")</f>
        <v/>
      </c>
      <c r="X10" s="82">
        <f>Tabela11[[#This Row],[Lucro]]-C9</f>
        <v/>
      </c>
      <c r="Y10" s="65">
        <f>PROPER(TEXT(DATE(2024,MONTH(Tabela11[[#This Row],[Data]]),1),"mmmm"))</f>
        <v/>
      </c>
      <c r="Z10" s="65">
        <f>YEAR(Tabela11[[#This Row],[Data]])</f>
        <v/>
      </c>
      <c r="AA10" s="78">
        <f>Tabela11[[#This Row],[Capital investido]]-A9</f>
        <v/>
      </c>
    </row>
    <row r="11" hidden="1" s="57">
      <c r="A11" s="77" t="n">
        <v>96.53403498194959</v>
      </c>
      <c r="B11" s="78" t="n">
        <v>69.06293212183465</v>
      </c>
      <c r="C11" s="78" t="n">
        <v>-27.47110286011495</v>
      </c>
      <c r="D11" s="78" t="n">
        <v>1.04</v>
      </c>
      <c r="E11" s="78" t="n"/>
      <c r="F11" s="78" t="n">
        <v>69.06293212183465</v>
      </c>
      <c r="G11" s="78" t="inlineStr">
        <is>
          <t>-</t>
        </is>
      </c>
      <c r="H11" s="78" t="n">
        <v>28.41403498194958</v>
      </c>
      <c r="I11" s="78" t="n"/>
      <c r="J11" s="78" t="n">
        <v>1.579999999999998</v>
      </c>
      <c r="K11" s="78" t="n">
        <v>28.81889713988505</v>
      </c>
      <c r="L11" s="78" t="n">
        <v>27.66</v>
      </c>
      <c r="M11" s="78" t="n">
        <v>1.189999999999998</v>
      </c>
      <c r="N11" s="78" t="n">
        <v>2.159999999999997</v>
      </c>
      <c r="O11" s="78" t="n">
        <v>5.010000000000005</v>
      </c>
      <c r="P11" s="78" t="n">
        <v>0</v>
      </c>
      <c r="Q11" s="79" t="inlineStr">
        <is>
          <t>-</t>
        </is>
      </c>
      <c r="R11" s="79" t="inlineStr">
        <is>
          <t>-</t>
        </is>
      </c>
      <c r="S11" s="79" t="inlineStr">
        <is>
          <t>-</t>
        </is>
      </c>
      <c r="T11" s="80" t="n">
        <v>0.008632866515229331</v>
      </c>
      <c r="U11" s="16" t="n">
        <v>45688</v>
      </c>
      <c r="V11" s="4" t="inlineStr">
        <is>
          <t>18:00:47</t>
        </is>
      </c>
      <c r="W11" s="81">
        <f>IFERROR(Tabela11[[#This Row],[Lucro]]*1/Tabela11[[#This Row],[Capital total]],"")</f>
        <v/>
      </c>
      <c r="X11" s="82">
        <f>Tabela11[[#This Row],[Lucro]]-C10</f>
        <v/>
      </c>
      <c r="Y11" s="65">
        <f>PROPER(TEXT(DATE(2024,MONTH(Tabela11[[#This Row],[Data]]),1),"mmmm"))</f>
        <v/>
      </c>
      <c r="Z11" s="65">
        <f>YEAR(Tabela11[[#This Row],[Data]])</f>
        <v/>
      </c>
      <c r="AA11" s="78">
        <f>Tabela11[[#This Row],[Capital investido]]-A10</f>
        <v/>
      </c>
    </row>
    <row r="12" hidden="1" s="57">
      <c r="A12" s="77" t="n">
        <v>97.68556833668532</v>
      </c>
      <c r="B12" s="78" t="n">
        <v>70.15509411909963</v>
      </c>
      <c r="C12" s="78" t="n">
        <v>-27.53047421758568</v>
      </c>
      <c r="D12" s="78" t="n">
        <v>1.04</v>
      </c>
      <c r="E12" s="78" t="n"/>
      <c r="F12" s="78" t="n">
        <v>70.15509411909963</v>
      </c>
      <c r="G12" s="78" t="inlineStr">
        <is>
          <t>-</t>
        </is>
      </c>
      <c r="H12" s="78" t="n">
        <v>29.56556833668532</v>
      </c>
      <c r="I12" s="78" t="n"/>
      <c r="J12" s="78" t="n">
        <v>1.560000000000002</v>
      </c>
      <c r="K12" s="78" t="n">
        <v>28.80952578241431</v>
      </c>
      <c r="L12" s="78" t="n">
        <v>27.63</v>
      </c>
      <c r="M12" s="78" t="n">
        <v>1.189999999999998</v>
      </c>
      <c r="N12" s="78" t="n">
        <v>2.159999999999997</v>
      </c>
      <c r="O12" s="78" t="n">
        <v>5.010000000000005</v>
      </c>
      <c r="P12" s="78" t="n">
        <v>0</v>
      </c>
      <c r="Q12" s="79" t="inlineStr">
        <is>
          <t>-</t>
        </is>
      </c>
      <c r="R12" s="79" t="inlineStr">
        <is>
          <t>-</t>
        </is>
      </c>
      <c r="S12" s="79" t="inlineStr">
        <is>
          <t>-</t>
        </is>
      </c>
      <c r="T12" s="80" t="n">
        <v>0.008769386764887454</v>
      </c>
      <c r="U12" s="16" t="n">
        <v>45689</v>
      </c>
      <c r="V12" s="4" t="inlineStr">
        <is>
          <t>11:33:35</t>
        </is>
      </c>
      <c r="W12" s="81">
        <f>IFERROR(Tabela11[[#This Row],[Lucro]]*1/Tabela11[[#This Row],[Capital total]],"")</f>
        <v/>
      </c>
      <c r="X12" s="82">
        <f>Tabela11[[#This Row],[Lucro]]-C11</f>
        <v/>
      </c>
      <c r="Y12" s="65">
        <f>PROPER(TEXT(DATE(2024,MONTH(Tabela11[[#This Row],[Data]]),1),"mmmm"))</f>
        <v/>
      </c>
      <c r="Z12" s="65">
        <f>YEAR(Tabela11[[#This Row],[Data]])</f>
        <v/>
      </c>
      <c r="AA12" s="78">
        <f>Tabela11[[#This Row],[Capital investido]]-A11</f>
        <v/>
      </c>
    </row>
    <row r="13" hidden="1" s="57">
      <c r="A13" s="77" t="n">
        <v>99.08556833668533</v>
      </c>
      <c r="B13" s="78" t="n">
        <v>71.56742485261377</v>
      </c>
      <c r="C13" s="78" t="n">
        <v>-27.51814348407156</v>
      </c>
      <c r="D13" s="78" t="n">
        <v>1.04</v>
      </c>
      <c r="E13" s="78" t="n"/>
      <c r="F13" s="78" t="n">
        <v>71.56742485261377</v>
      </c>
      <c r="G13" s="78" t="n">
        <v>39.47218916666667</v>
      </c>
      <c r="H13" s="78" t="n">
        <v>29.56556833668532</v>
      </c>
      <c r="I13" s="78" t="n"/>
      <c r="J13" s="78" t="n">
        <v>1.560000000000002</v>
      </c>
      <c r="K13" s="78" t="n">
        <v>28.82185651592845</v>
      </c>
      <c r="L13" s="78" t="n">
        <v>27.63000000000001</v>
      </c>
      <c r="M13" s="78" t="n">
        <v>1.189999999999998</v>
      </c>
      <c r="N13" s="78" t="n">
        <v>2.159999999999997</v>
      </c>
      <c r="O13" s="78" t="n">
        <v>6.409999999999997</v>
      </c>
      <c r="P13" s="78" t="n">
        <v>0</v>
      </c>
      <c r="Q13" s="79" t="inlineStr">
        <is>
          <t>-</t>
        </is>
      </c>
      <c r="R13" s="79" t="inlineStr">
        <is>
          <t>-</t>
        </is>
      </c>
      <c r="S13" s="79" t="inlineStr">
        <is>
          <t>-</t>
        </is>
      </c>
      <c r="T13" s="80" t="n">
        <v>0.008945928106576722</v>
      </c>
      <c r="U13" s="16" t="n">
        <v>45690</v>
      </c>
      <c r="V13" s="4" t="inlineStr">
        <is>
          <t>23:40:46</t>
        </is>
      </c>
      <c r="W13" s="81">
        <f>IFERROR(Tabela11[[#This Row],[Lucro]]*1/Tabela11[[#This Row],[Capital total]],"")</f>
        <v/>
      </c>
      <c r="X13" s="82">
        <f>Tabela11[[#This Row],[Lucro]]-C12</f>
        <v/>
      </c>
      <c r="Y13" s="65">
        <f>PROPER(TEXT(DATE(2024,MONTH(Tabela11[[#This Row],[Data]]),1),"mmmm"))</f>
        <v/>
      </c>
      <c r="Z13" s="65">
        <f>YEAR(Tabela11[[#This Row],[Data]])</f>
        <v/>
      </c>
      <c r="AA13" s="78">
        <f>Tabela11[[#This Row],[Capital investido]]-A12</f>
        <v/>
      </c>
    </row>
    <row r="14" hidden="1" s="57">
      <c r="A14" s="77" t="n">
        <v>99.08556833668533</v>
      </c>
      <c r="B14" s="78" t="n">
        <v>71.56742485261377</v>
      </c>
      <c r="C14" s="78" t="n">
        <v>-27.51814348407156</v>
      </c>
      <c r="D14" s="78" t="n">
        <v>1.04</v>
      </c>
      <c r="E14" s="78" t="n"/>
      <c r="F14" s="78" t="n">
        <v>71.56742485261377</v>
      </c>
      <c r="G14" s="78" t="inlineStr">
        <is>
          <t>-</t>
        </is>
      </c>
      <c r="H14" s="78" t="n">
        <v>29.56556833668532</v>
      </c>
      <c r="I14" s="78" t="n"/>
      <c r="J14" s="78" t="n">
        <v>1.560000000000002</v>
      </c>
      <c r="K14" s="78" t="n">
        <v>28.82185651592845</v>
      </c>
      <c r="L14" s="78" t="n">
        <v>27.63000000000001</v>
      </c>
      <c r="M14" s="78" t="n">
        <v>1.189999999999998</v>
      </c>
      <c r="N14" s="78" t="n">
        <v>2.159999999999997</v>
      </c>
      <c r="O14" s="78" t="n">
        <v>6.409999999999997</v>
      </c>
      <c r="P14" s="78" t="n">
        <v>0</v>
      </c>
      <c r="Q14" s="79" t="inlineStr">
        <is>
          <t>-</t>
        </is>
      </c>
      <c r="R14" s="79" t="inlineStr">
        <is>
          <t>-</t>
        </is>
      </c>
      <c r="S14" s="79" t="inlineStr">
        <is>
          <t>-</t>
        </is>
      </c>
      <c r="T14" s="80" t="n">
        <v>0.008945928106576722</v>
      </c>
      <c r="U14" s="16" t="n">
        <v>45691</v>
      </c>
      <c r="V14" s="4" t="inlineStr">
        <is>
          <t>18:04:05</t>
        </is>
      </c>
      <c r="W14" s="81">
        <f>IFERROR(Tabela11[[#This Row],[Lucro]]*1/Tabela11[[#This Row],[Capital total]],"")</f>
        <v/>
      </c>
      <c r="X14" s="82">
        <f>Tabela11[[#This Row],[Lucro]]-C13</f>
        <v/>
      </c>
      <c r="Y14" s="65">
        <f>PROPER(TEXT(DATE(2024,MONTH(Tabela11[[#This Row],[Data]]),1),"mmmm"))</f>
        <v/>
      </c>
      <c r="Z14" s="65">
        <f>YEAR(Tabela11[[#This Row],[Data]])</f>
        <v/>
      </c>
      <c r="AA14" s="78">
        <f>Tabela11[[#This Row],[Capital investido]]-A13</f>
        <v/>
      </c>
    </row>
    <row r="15" hidden="1" s="57">
      <c r="A15" s="77" t="n">
        <v>99.08556833668533</v>
      </c>
      <c r="B15" s="78" t="n">
        <v>70.43831532632203</v>
      </c>
      <c r="C15" s="78" t="n">
        <v>-28.64725301036329</v>
      </c>
      <c r="D15" s="78" t="n">
        <v>1.04</v>
      </c>
      <c r="E15" s="78" t="n"/>
      <c r="F15" s="78" t="n">
        <v>70.43831532632203</v>
      </c>
      <c r="G15" s="78" t="inlineStr">
        <is>
          <t>-</t>
        </is>
      </c>
      <c r="H15" s="78" t="n">
        <v>29.56556833668532</v>
      </c>
      <c r="I15" s="78" t="n"/>
      <c r="J15" s="78" t="n">
        <v>1.519999999999996</v>
      </c>
      <c r="K15" s="78" t="n">
        <v>28.39274698963671</v>
      </c>
      <c r="L15" s="78" t="n">
        <v>26.97</v>
      </c>
      <c r="M15" s="78" t="n">
        <v>1.189999999999998</v>
      </c>
      <c r="N15" s="78" t="n">
        <v>2.159999999999997</v>
      </c>
      <c r="O15" s="78" t="n">
        <v>6.409999999999997</v>
      </c>
      <c r="P15" s="78" t="n">
        <v>0</v>
      </c>
      <c r="Q15" s="79" t="inlineStr">
        <is>
          <t>-</t>
        </is>
      </c>
      <c r="R15" s="79" t="inlineStr">
        <is>
          <t>-</t>
        </is>
      </c>
      <c r="S15" s="79" t="inlineStr">
        <is>
          <t>-</t>
        </is>
      </c>
      <c r="T15" s="80" t="n">
        <v>0.008804789415790253</v>
      </c>
      <c r="U15" s="16" t="n">
        <v>45692</v>
      </c>
      <c r="V15" s="4" t="inlineStr">
        <is>
          <t>18:49:41</t>
        </is>
      </c>
      <c r="W15" s="81">
        <f>IFERROR(Tabela11[[#This Row],[Lucro]]*1/Tabela11[[#This Row],[Capital total]],"")</f>
        <v/>
      </c>
      <c r="X15" s="82">
        <f>Tabela11[[#This Row],[Lucro]]-C14</f>
        <v/>
      </c>
      <c r="Y15" s="65">
        <f>PROPER(TEXT(DATE(2024,MONTH(Tabela11[[#This Row],[Data]]),1),"mmmm"))</f>
        <v/>
      </c>
      <c r="Z15" s="65">
        <f>YEAR(Tabela11[[#This Row],[Data]])</f>
        <v/>
      </c>
      <c r="AA15" s="78">
        <f>Tabela11[[#This Row],[Capital investido]]-A14</f>
        <v/>
      </c>
    </row>
    <row r="16" hidden="1" s="57">
      <c r="A16" s="77" t="n">
        <v>108.0655683366853</v>
      </c>
      <c r="B16" s="78" t="n">
        <v>79.4659845928079</v>
      </c>
      <c r="C16" s="78" t="n">
        <v>-28.59958374387743</v>
      </c>
      <c r="D16" s="78" t="n">
        <v>1.04</v>
      </c>
      <c r="E16" s="78" t="n"/>
      <c r="F16" s="78" t="n">
        <v>79.4659845928079</v>
      </c>
      <c r="G16" s="78" t="n">
        <v>54.85096416666666</v>
      </c>
      <c r="H16" s="78" t="n">
        <v>29.56556833668532</v>
      </c>
      <c r="I16" s="78" t="n"/>
      <c r="J16" s="78" t="n">
        <v>1.530000000000001</v>
      </c>
      <c r="K16" s="78" t="n">
        <v>28.38041625612257</v>
      </c>
      <c r="L16" s="78" t="n">
        <v>27</v>
      </c>
      <c r="M16" s="78" t="n">
        <v>1.189999999999998</v>
      </c>
      <c r="N16" s="78" t="n">
        <v>2.159999999999997</v>
      </c>
      <c r="O16" s="78" t="n">
        <v>6.409999999999997</v>
      </c>
      <c r="P16" s="78" t="n">
        <v>9</v>
      </c>
      <c r="Q16" s="79" t="inlineStr">
        <is>
          <t>-</t>
        </is>
      </c>
      <c r="R16" s="79" t="inlineStr">
        <is>
          <t>-</t>
        </is>
      </c>
      <c r="S16" s="79" t="inlineStr">
        <is>
          <t>-</t>
        </is>
      </c>
      <c r="T16" s="80" t="n">
        <v>0.009933248074100988</v>
      </c>
      <c r="U16" s="16" t="n">
        <v>45692</v>
      </c>
      <c r="V16" s="4" t="inlineStr">
        <is>
          <t>18:54:49</t>
        </is>
      </c>
      <c r="W16" s="81">
        <f>IFERROR(Tabela11[[#This Row],[Lucro]]*1/Tabela11[[#This Row],[Capital total]],"")</f>
        <v/>
      </c>
      <c r="X16" s="82">
        <f>Tabela11[[#This Row],[Lucro]]-C15</f>
        <v/>
      </c>
      <c r="Y16" s="65">
        <f>PROPER(TEXT(DATE(2024,MONTH(Tabela11[[#This Row],[Data]]),1),"mmmm"))</f>
        <v/>
      </c>
      <c r="Z16" s="65">
        <f>YEAR(Tabela11[[#This Row],[Data]])</f>
        <v/>
      </c>
      <c r="AA16" s="78">
        <f>Tabela11[[#This Row],[Capital investido]]-A15</f>
        <v/>
      </c>
    </row>
    <row r="17" hidden="1" s="57">
      <c r="A17" s="77" t="n">
        <v>108.0655683366853</v>
      </c>
      <c r="B17" s="78" t="n">
        <v>79.53520082298203</v>
      </c>
      <c r="C17" s="78" t="n">
        <v>-28.53036751370329</v>
      </c>
      <c r="D17" s="78" t="n">
        <v>1.04</v>
      </c>
      <c r="E17" s="78" t="n"/>
      <c r="F17" s="78" t="n">
        <v>79.53520082298203</v>
      </c>
      <c r="G17" s="78" t="inlineStr">
        <is>
          <t>-</t>
        </is>
      </c>
      <c r="H17" s="78" t="n">
        <v>29.56556833668532</v>
      </c>
      <c r="I17" s="78" t="n"/>
      <c r="J17" s="78" t="n">
        <v>1.480000000000004</v>
      </c>
      <c r="K17" s="78" t="n">
        <v>28.61963248629671</v>
      </c>
      <c r="L17" s="78" t="n">
        <v>26.91000000000001</v>
      </c>
      <c r="M17" s="78" t="n">
        <v>1.189999999999998</v>
      </c>
      <c r="N17" s="78" t="n">
        <v>2.159999999999997</v>
      </c>
      <c r="O17" s="78" t="n">
        <v>6.409999999999997</v>
      </c>
      <c r="P17" s="78" t="n">
        <v>8.969999999999999</v>
      </c>
      <c r="Q17" s="79" t="inlineStr">
        <is>
          <t>-</t>
        </is>
      </c>
      <c r="R17" s="79" t="inlineStr">
        <is>
          <t>-</t>
        </is>
      </c>
      <c r="S17" s="79" t="inlineStr">
        <is>
          <t>-</t>
        </is>
      </c>
      <c r="T17" s="80" t="n">
        <v>0.009941900102872754</v>
      </c>
      <c r="U17" s="16" t="n">
        <v>45778</v>
      </c>
      <c r="V17" s="4" t="inlineStr">
        <is>
          <t>20:32:20</t>
        </is>
      </c>
      <c r="W17" s="81">
        <f>IFERROR(Tabela11[[#This Row],[Lucro]]*1/Tabela11[[#This Row],[Capital total]],"")</f>
        <v/>
      </c>
      <c r="X17" s="82">
        <f>Tabela11[[#This Row],[Lucro]]-C16</f>
        <v/>
      </c>
      <c r="Y17" s="65">
        <f>PROPER(TEXT(DATE(2024,MONTH(Tabela11[[#This Row],[Data]]),1),"mmmm"))</f>
        <v/>
      </c>
      <c r="Z17" s="65">
        <f>YEAR(Tabela11[[#This Row],[Data]])</f>
        <v/>
      </c>
      <c r="AA17" s="78">
        <f>Tabela11[[#This Row],[Capital investido]]-A16</f>
        <v/>
      </c>
    </row>
    <row r="18" hidden="1" s="57">
      <c r="A18" s="77" t="n">
        <v>108.0655683366853</v>
      </c>
      <c r="B18" s="78" t="n">
        <v>79.51210603374994</v>
      </c>
      <c r="C18" s="78" t="n">
        <v>-28.55346230293538</v>
      </c>
      <c r="D18" s="78" t="n">
        <v>1.04</v>
      </c>
      <c r="E18" s="78" t="n"/>
      <c r="F18" s="78" t="n">
        <v>79.51210603374994</v>
      </c>
      <c r="G18" s="78" t="n">
        <v>54.85096416666666</v>
      </c>
      <c r="H18" s="78" t="n">
        <v>29.56556833668532</v>
      </c>
      <c r="I18" s="78" t="n"/>
      <c r="J18" s="78" t="n">
        <v>1.450000000000003</v>
      </c>
      <c r="K18" s="78" t="n">
        <v>28.62653769706461</v>
      </c>
      <c r="L18" s="78" t="n">
        <v>26.91</v>
      </c>
      <c r="M18" s="78" t="n">
        <v>1.189999999999998</v>
      </c>
      <c r="N18" s="78" t="n">
        <v>2.159999999999997</v>
      </c>
      <c r="O18" s="78" t="n">
        <v>6.409999999999997</v>
      </c>
      <c r="P18" s="78" t="n">
        <v>8.969999999999999</v>
      </c>
      <c r="Q18" s="79" t="inlineStr">
        <is>
          <t>-</t>
        </is>
      </c>
      <c r="R18" s="79" t="inlineStr">
        <is>
          <t>-</t>
        </is>
      </c>
      <c r="S18" s="79" t="inlineStr">
        <is>
          <t>-</t>
        </is>
      </c>
      <c r="T18" s="80" t="n">
        <v>0.009939013254218743</v>
      </c>
      <c r="U18" s="16" t="n">
        <v>45694</v>
      </c>
      <c r="V18" s="4" t="inlineStr">
        <is>
          <t>18:04:04</t>
        </is>
      </c>
      <c r="W18" s="81">
        <f>IFERROR(Tabela11[[#This Row],[Lucro]]*1/Tabela11[[#This Row],[Capital total]],"")</f>
        <v/>
      </c>
      <c r="X18" s="82">
        <f>Tabela11[[#This Row],[Lucro]]-C17</f>
        <v/>
      </c>
      <c r="Y18" s="65">
        <f>PROPER(TEXT(DATE(2024,MONTH(Tabela11[[#This Row],[Data]]),1),"mmmm"))</f>
        <v/>
      </c>
      <c r="Z18" s="65">
        <f>YEAR(Tabela11[[#This Row],[Data]])</f>
        <v/>
      </c>
      <c r="AA18" s="78">
        <f>Tabela11[[#This Row],[Capital investido]]-A17</f>
        <v/>
      </c>
    </row>
    <row r="19" hidden="1" s="57">
      <c r="A19" s="77" t="n">
        <v>108.0655683366853</v>
      </c>
      <c r="B19" s="78" t="n">
        <v>79.51210603374994</v>
      </c>
      <c r="C19" s="78" t="n">
        <v>-28.55346230293538</v>
      </c>
      <c r="D19" s="78" t="n">
        <v>1.04</v>
      </c>
      <c r="E19" s="78" t="n"/>
      <c r="F19" s="78" t="n">
        <v>79.51210603374994</v>
      </c>
      <c r="G19" s="78" t="n">
        <v>54.85096416666666</v>
      </c>
      <c r="H19" s="78" t="n">
        <v>29.56556833668532</v>
      </c>
      <c r="I19" s="78" t="n"/>
      <c r="J19" s="78" t="n">
        <v>1.450000000000003</v>
      </c>
      <c r="K19" s="78" t="n">
        <v>28.62653769706461</v>
      </c>
      <c r="L19" s="78" t="n">
        <v>26.91</v>
      </c>
      <c r="M19" s="78" t="n">
        <v>1.189999999999998</v>
      </c>
      <c r="N19" s="78" t="n">
        <v>2.159999999999997</v>
      </c>
      <c r="O19" s="78" t="n">
        <v>6.409999999999997</v>
      </c>
      <c r="P19" s="78" t="n">
        <v>8.969999999999999</v>
      </c>
      <c r="Q19" s="79" t="inlineStr">
        <is>
          <t>-</t>
        </is>
      </c>
      <c r="R19" s="79" t="inlineStr">
        <is>
          <t>-</t>
        </is>
      </c>
      <c r="S19" s="79" t="inlineStr">
        <is>
          <t>-</t>
        </is>
      </c>
      <c r="T19" s="80" t="n">
        <v>0.009939013254218743</v>
      </c>
      <c r="U19" s="16" t="n">
        <v>45695</v>
      </c>
      <c r="V19" s="4" t="inlineStr">
        <is>
          <t>18:01:22</t>
        </is>
      </c>
      <c r="W19" s="81">
        <f>IFERROR(Tabela11[[#This Row],[Lucro]]*1/Tabela11[[#This Row],[Capital total]],"")</f>
        <v/>
      </c>
      <c r="X19" s="82">
        <f>Tabela11[[#This Row],[Lucro]]-C18</f>
        <v/>
      </c>
      <c r="Y19" s="65">
        <f>PROPER(TEXT(DATE(2024,MONTH(Tabela11[[#This Row],[Data]]),1),"mmmm"))</f>
        <v/>
      </c>
      <c r="Z19" s="65">
        <f>YEAR(Tabela11[[#This Row],[Data]])</f>
        <v/>
      </c>
      <c r="AA19" s="78">
        <f>Tabela11[[#This Row],[Capital investido]]-A18</f>
        <v/>
      </c>
    </row>
    <row r="20" hidden="1" s="57">
      <c r="A20" s="77" t="n">
        <v>108.0655683366853</v>
      </c>
      <c r="B20" s="78" t="n">
        <v>135.5414773912207</v>
      </c>
      <c r="C20" s="78" t="n">
        <v>27.47590905453536</v>
      </c>
      <c r="D20" s="78" t="n">
        <v>1.04</v>
      </c>
      <c r="E20" s="78" t="n"/>
      <c r="F20" s="78" t="n">
        <v>135.5414773912207</v>
      </c>
      <c r="G20" s="78" t="n">
        <v>0</v>
      </c>
      <c r="H20" s="78" t="n">
        <v>29.56556833668532</v>
      </c>
      <c r="I20" s="78" t="n"/>
      <c r="J20" s="78" t="n">
        <v>1.469999999999999</v>
      </c>
      <c r="K20" s="78" t="n">
        <v>28.63590905453535</v>
      </c>
      <c r="L20" s="78" t="n">
        <v>26.97</v>
      </c>
      <c r="M20" s="78" t="n">
        <v>1.189999999999998</v>
      </c>
      <c r="N20" s="78" t="n">
        <v>2.159999999999997</v>
      </c>
      <c r="O20" s="78" t="n">
        <v>6.409999999999997</v>
      </c>
      <c r="P20" s="78" t="n">
        <v>8.990000000000009</v>
      </c>
      <c r="Q20" s="79" t="inlineStr">
        <is>
          <t>-</t>
        </is>
      </c>
      <c r="R20" s="79" t="inlineStr">
        <is>
          <t>-</t>
        </is>
      </c>
      <c r="S20" s="79" t="inlineStr">
        <is>
          <t>-</t>
        </is>
      </c>
      <c r="T20" s="80" t="n">
        <v>0.01694268467390259</v>
      </c>
      <c r="U20" s="16" t="n">
        <v>45696</v>
      </c>
      <c r="V20" s="4" t="inlineStr">
        <is>
          <t>20:05:54</t>
        </is>
      </c>
      <c r="W20" s="81">
        <f>IFERROR(Tabela11[[#This Row],[Lucro]]*1/Tabela11[[#This Row],[Capital total]],"")</f>
        <v/>
      </c>
      <c r="X20" s="82">
        <f>Tabela11[[#This Row],[Lucro]]-C19</f>
        <v/>
      </c>
      <c r="Y20" s="65">
        <f>PROPER(TEXT(DATE(2024,MONTH(Tabela11[[#This Row],[Data]]),1),"mmmm"))</f>
        <v/>
      </c>
      <c r="Z20" s="65">
        <f>YEAR(Tabela11[[#This Row],[Data]])</f>
        <v/>
      </c>
      <c r="AA20" s="78">
        <f>Tabela11[[#This Row],[Capital investido]]-A19</f>
        <v/>
      </c>
    </row>
    <row r="21" hidden="1" s="57">
      <c r="A21" s="77" t="n">
        <v>108.0655683366853</v>
      </c>
      <c r="B21" s="78" t="n">
        <v>51.12147739122069</v>
      </c>
      <c r="C21" s="78" t="n">
        <v>-56.94409094546464</v>
      </c>
      <c r="D21" s="78" t="n">
        <v>2.18</v>
      </c>
      <c r="E21" s="78" t="n"/>
      <c r="F21" s="78" t="n">
        <v>51.12147739122069</v>
      </c>
      <c r="G21" s="78" t="n">
        <v>56.19473002</v>
      </c>
      <c r="H21" s="78" t="n">
        <v>29.56556833668532</v>
      </c>
      <c r="I21" s="78" t="n"/>
      <c r="J21" s="78" t="n">
        <v>1.469999999999999</v>
      </c>
      <c r="K21" s="78" t="n">
        <v>28.63590905453535</v>
      </c>
      <c r="L21" s="78" t="n">
        <v>26.97</v>
      </c>
      <c r="M21" s="78" t="n">
        <v>1.189999999999998</v>
      </c>
      <c r="N21" s="78" t="n">
        <v>2.159999999999997</v>
      </c>
      <c r="O21" s="78" t="n">
        <v>6.409999999999997</v>
      </c>
      <c r="P21" s="78" t="n">
        <v>8.990000000000002</v>
      </c>
      <c r="Q21" s="79" t="inlineStr">
        <is>
          <t>-</t>
        </is>
      </c>
      <c r="R21" s="79" t="inlineStr">
        <is>
          <t>-</t>
        </is>
      </c>
      <c r="S21" s="79" t="inlineStr">
        <is>
          <t>-</t>
        </is>
      </c>
      <c r="T21" s="80" t="n">
        <v>0.006390184673902586</v>
      </c>
      <c r="U21" s="16" t="n">
        <v>45697</v>
      </c>
      <c r="V21" s="4" t="inlineStr">
        <is>
          <t>13:07:22</t>
        </is>
      </c>
      <c r="W21" s="81">
        <f>IFERROR(Tabela11[[#This Row],[Lucro]]*1/Tabela11[[#This Row],[Capital total]],"")</f>
        <v/>
      </c>
      <c r="X21" s="82">
        <f>Tabela11[[#This Row],[Lucro]]-C20</f>
        <v/>
      </c>
      <c r="Y21" s="65">
        <f>PROPER(TEXT(DATE(2024,MONTH(Tabela11[[#This Row],[Data]]),1),"mmmm"))</f>
        <v/>
      </c>
      <c r="Z21" s="65">
        <f>YEAR(Tabela11[[#This Row],[Data]])</f>
        <v/>
      </c>
      <c r="AA21" s="78">
        <f>Tabela11[[#This Row],[Capital investido]]-A20</f>
        <v/>
      </c>
    </row>
    <row r="22" hidden="1" s="57">
      <c r="A22" s="77" t="n">
        <v>112.6843825637491</v>
      </c>
      <c r="B22" s="78" t="n">
        <v>55.75410203982025</v>
      </c>
      <c r="C22" s="78" t="n">
        <v>-56.93028052392881</v>
      </c>
      <c r="D22" s="78" t="n">
        <v>2.18</v>
      </c>
      <c r="E22" s="78" t="n"/>
      <c r="F22" s="78" t="n">
        <v>55.75410203982025</v>
      </c>
      <c r="G22" s="78" t="inlineStr">
        <is>
          <t>-</t>
        </is>
      </c>
      <c r="H22" s="78" t="n">
        <v>34.18438256374905</v>
      </c>
      <c r="I22" s="78" t="n"/>
      <c r="J22" s="78" t="n">
        <v>1.469999999999999</v>
      </c>
      <c r="K22" s="78" t="n">
        <v>28.64971947607118</v>
      </c>
      <c r="L22" s="78" t="n">
        <v>26.97000000000001</v>
      </c>
      <c r="M22" s="78" t="n">
        <v>1.189999999999998</v>
      </c>
      <c r="N22" s="78" t="n">
        <v>2.160000000000004</v>
      </c>
      <c r="O22" s="78" t="n">
        <v>6.410000000000004</v>
      </c>
      <c r="P22" s="78" t="n">
        <v>8.990000000000002</v>
      </c>
      <c r="Q22" s="79" t="inlineStr">
        <is>
          <t>-</t>
        </is>
      </c>
      <c r="R22" s="79" t="inlineStr">
        <is>
          <t>-</t>
        </is>
      </c>
      <c r="S22" s="79" t="inlineStr">
        <is>
          <t>-</t>
        </is>
      </c>
      <c r="T22" s="80" t="n">
        <v>0.006969262754977531</v>
      </c>
      <c r="U22" s="16" t="n">
        <v>45697</v>
      </c>
      <c r="V22" s="4" t="inlineStr">
        <is>
          <t>20:14:40</t>
        </is>
      </c>
      <c r="W22" s="81">
        <f>IFERROR(Tabela11[[#This Row],[Lucro]]*1/Tabela11[[#This Row],[Capital total]],"")</f>
        <v/>
      </c>
      <c r="X22" s="82">
        <f>Tabela11[[#This Row],[Lucro]]-C21</f>
        <v/>
      </c>
      <c r="Y22" s="65">
        <f>PROPER(TEXT(DATE(2024,MONTH(Tabela11[[#This Row],[Data]]),1),"mmmm"))</f>
        <v/>
      </c>
      <c r="Z22" s="65">
        <f>YEAR(Tabela11[[#This Row],[Data]])</f>
        <v/>
      </c>
      <c r="AA22" s="78">
        <f>Tabela11[[#This Row],[Capital investido]]-A21</f>
        <v/>
      </c>
    </row>
    <row r="23" hidden="1" s="57">
      <c r="A23" s="77" t="n">
        <v>112.6843825637491</v>
      </c>
      <c r="B23" s="78" t="n">
        <v>55.75410203982025</v>
      </c>
      <c r="C23" s="78" t="n">
        <v>-56.93028052392881</v>
      </c>
      <c r="D23" s="78" t="n">
        <v>2.18</v>
      </c>
      <c r="E23" s="78" t="n"/>
      <c r="F23" s="78" t="n">
        <v>55.75410203982025</v>
      </c>
      <c r="G23" s="78" t="inlineStr">
        <is>
          <t>-</t>
        </is>
      </c>
      <c r="H23" s="78" t="n">
        <v>34.18438256374905</v>
      </c>
      <c r="I23" s="78" t="n"/>
      <c r="J23" s="78" t="n">
        <v>1.469999999999999</v>
      </c>
      <c r="K23" s="78" t="n">
        <v>28.64971947607118</v>
      </c>
      <c r="L23" s="78" t="n">
        <v>26.97000000000001</v>
      </c>
      <c r="M23" s="78" t="n">
        <v>1.189999999999998</v>
      </c>
      <c r="N23" s="78" t="n">
        <v>2.160000000000004</v>
      </c>
      <c r="O23" s="78" t="n">
        <v>6.410000000000004</v>
      </c>
      <c r="P23" s="78" t="n">
        <v>8.990000000000002</v>
      </c>
      <c r="Q23" s="79" t="inlineStr">
        <is>
          <t>-</t>
        </is>
      </c>
      <c r="R23" s="79" t="inlineStr">
        <is>
          <t>-</t>
        </is>
      </c>
      <c r="S23" s="79" t="inlineStr">
        <is>
          <t>-</t>
        </is>
      </c>
      <c r="T23" s="80" t="n">
        <v>0.006969262754977531</v>
      </c>
      <c r="U23" s="16" t="n">
        <v>45698</v>
      </c>
      <c r="V23" s="4" t="inlineStr">
        <is>
          <t>18:01:43</t>
        </is>
      </c>
      <c r="W23" s="81">
        <f>IFERROR(Tabela11[[#This Row],[Lucro]]*1/Tabela11[[#This Row],[Capital total]],"")</f>
        <v/>
      </c>
      <c r="X23" s="82">
        <f>Tabela11[[#This Row],[Lucro]]-C22</f>
        <v/>
      </c>
      <c r="Y23" s="65">
        <f>PROPER(TEXT(DATE(2024,MONTH(Tabela11[[#This Row],[Data]]),1),"mmmm"))</f>
        <v/>
      </c>
      <c r="Z23" s="65">
        <f>YEAR(Tabela11[[#This Row],[Data]])</f>
        <v/>
      </c>
      <c r="AA23" s="78">
        <f>Tabela11[[#This Row],[Capital investido]]-A22</f>
        <v/>
      </c>
    </row>
    <row r="24" hidden="1" s="57">
      <c r="A24" s="77" t="n">
        <v>112.6843825637491</v>
      </c>
      <c r="B24" s="78" t="n">
        <v>55.62953741962042</v>
      </c>
      <c r="C24" s="78" t="n">
        <v>-57.05484514412863</v>
      </c>
      <c r="D24" s="78" t="n">
        <v>2.18</v>
      </c>
      <c r="E24" s="78" t="n"/>
      <c r="F24" s="78" t="n">
        <v>55.62953741962042</v>
      </c>
      <c r="G24" s="78" t="inlineStr">
        <is>
          <t>-</t>
        </is>
      </c>
      <c r="H24" s="78" t="n">
        <v>34.18438256374904</v>
      </c>
      <c r="I24" s="78" t="n"/>
      <c r="J24" s="78" t="n">
        <v>1.450000000000003</v>
      </c>
      <c r="K24" s="78" t="n">
        <v>28.54515485587135</v>
      </c>
      <c r="L24" s="78" t="n">
        <v>26.97</v>
      </c>
      <c r="M24" s="78" t="n">
        <v>1.189999999999998</v>
      </c>
      <c r="N24" s="78" t="n">
        <v>2.159999999999997</v>
      </c>
      <c r="O24" s="78" t="n">
        <v>6.409999999999997</v>
      </c>
      <c r="P24" s="78" t="n">
        <v>8.989999999999995</v>
      </c>
      <c r="Q24" s="79" t="inlineStr">
        <is>
          <t>-</t>
        </is>
      </c>
      <c r="R24" s="79" t="inlineStr">
        <is>
          <t>-</t>
        </is>
      </c>
      <c r="S24" s="79" t="inlineStr">
        <is>
          <t>-</t>
        </is>
      </c>
      <c r="T24" s="80" t="n">
        <v>0.006953692177452553</v>
      </c>
      <c r="U24" s="16" t="n">
        <v>45699</v>
      </c>
      <c r="V24" s="4" t="inlineStr">
        <is>
          <t>18:00:01</t>
        </is>
      </c>
      <c r="W24" s="81">
        <f>IFERROR(Tabela11[[#This Row],[Lucro]]*1/Tabela11[[#This Row],[Capital total]],"")</f>
        <v/>
      </c>
      <c r="X24" s="82">
        <f>Tabela11[[#This Row],[Lucro]]-C23</f>
        <v/>
      </c>
      <c r="Y24" s="65">
        <f>PROPER(TEXT(DATE(2024,MONTH(Tabela11[[#This Row],[Data]]),1),"mmmm"))</f>
        <v/>
      </c>
      <c r="Z24" s="65">
        <f>YEAR(Tabela11[[#This Row],[Data]])</f>
        <v/>
      </c>
      <c r="AA24" s="78">
        <f>Tabela11[[#This Row],[Capital investido]]-A23</f>
        <v/>
      </c>
    </row>
    <row r="25" hidden="1" s="57">
      <c r="A25" s="77" t="n">
        <v>112.6843825637491</v>
      </c>
      <c r="B25" s="78" t="n">
        <v>55.38102696469607</v>
      </c>
      <c r="C25" s="78" t="n">
        <v>-57.30335559905298</v>
      </c>
      <c r="D25" s="78" t="n">
        <v>2.18</v>
      </c>
      <c r="E25" s="78" t="n"/>
      <c r="F25" s="78" t="n">
        <v>55.38102696469607</v>
      </c>
      <c r="G25" s="78" t="n">
        <v>56.19473002</v>
      </c>
      <c r="H25" s="78" t="n">
        <v>34.18438256374905</v>
      </c>
      <c r="I25" s="78" t="n"/>
      <c r="J25" s="78" t="n">
        <v>1.43</v>
      </c>
      <c r="K25" s="78" t="n">
        <v>28.436644400947</v>
      </c>
      <c r="L25" s="78" t="n">
        <v>26.88</v>
      </c>
      <c r="M25" s="78" t="n">
        <v>1.189999999999998</v>
      </c>
      <c r="N25" s="78" t="n">
        <v>2.160000000000004</v>
      </c>
      <c r="O25" s="78" t="n">
        <v>6.410000000000004</v>
      </c>
      <c r="P25" s="78" t="n">
        <v>8.960000000000001</v>
      </c>
      <c r="Q25" s="79" t="inlineStr">
        <is>
          <t>-</t>
        </is>
      </c>
      <c r="R25" s="79" t="inlineStr">
        <is>
          <t>-</t>
        </is>
      </c>
      <c r="S25" s="79" t="inlineStr">
        <is>
          <t>-</t>
        </is>
      </c>
      <c r="T25" s="80" t="n">
        <v>0.006922628370587008</v>
      </c>
      <c r="U25" s="16" t="n">
        <v>45700</v>
      </c>
      <c r="V25" s="4" t="inlineStr">
        <is>
          <t>18:03:50</t>
        </is>
      </c>
      <c r="W25" s="81">
        <f>IFERROR(Tabela11[[#This Row],[Lucro]]*1/Tabela11[[#This Row],[Capital total]],"")</f>
        <v/>
      </c>
      <c r="X25" s="82">
        <f>Tabela11[[#This Row],[Lucro]]-C24</f>
        <v/>
      </c>
      <c r="Y25" s="65">
        <f>PROPER(TEXT(DATE(2024,MONTH(Tabela11[[#This Row],[Data]]),1),"mmmm"))</f>
        <v/>
      </c>
      <c r="Z25" s="65">
        <f>YEAR(Tabela11[[#This Row],[Data]])</f>
        <v/>
      </c>
      <c r="AA25" s="78">
        <f>Tabela11[[#This Row],[Capital investido]]-A24</f>
        <v/>
      </c>
    </row>
    <row r="26" hidden="1" s="57">
      <c r="A26" s="77" t="n">
        <v>112.6843825637491</v>
      </c>
      <c r="B26" s="78" t="n">
        <v>55.38102696469607</v>
      </c>
      <c r="C26" s="78" t="n">
        <v>-57.30335559905298</v>
      </c>
      <c r="D26" s="78" t="n">
        <v>2.18</v>
      </c>
      <c r="E26" s="78" t="n"/>
      <c r="F26" s="78" t="n">
        <v>55.38102696469607</v>
      </c>
      <c r="G26" s="78" t="inlineStr">
        <is>
          <t>-</t>
        </is>
      </c>
      <c r="H26" s="78" t="n">
        <v>34.18438256374905</v>
      </c>
      <c r="I26" s="78" t="n"/>
      <c r="J26" s="78" t="n">
        <v>1.43</v>
      </c>
      <c r="K26" s="78" t="n">
        <v>28.436644400947</v>
      </c>
      <c r="L26" s="78" t="n">
        <v>26.88</v>
      </c>
      <c r="M26" s="78" t="n">
        <v>1.189999999999998</v>
      </c>
      <c r="N26" s="78" t="n">
        <v>2.160000000000004</v>
      </c>
      <c r="O26" s="78" t="n">
        <v>6.410000000000004</v>
      </c>
      <c r="P26" s="78" t="n">
        <v>8.960000000000001</v>
      </c>
      <c r="Q26" s="79" t="inlineStr">
        <is>
          <t>-</t>
        </is>
      </c>
      <c r="R26" s="79" t="inlineStr">
        <is>
          <t>-</t>
        </is>
      </c>
      <c r="S26" s="79" t="inlineStr">
        <is>
          <t>-</t>
        </is>
      </c>
      <c r="T26" s="80" t="n">
        <v>0.006922628370587008</v>
      </c>
      <c r="U26" s="16" t="n">
        <v>45701</v>
      </c>
      <c r="V26" s="4" t="inlineStr">
        <is>
          <t>18:01:30</t>
        </is>
      </c>
      <c r="W26" s="81">
        <f>IFERROR(Tabela11[[#This Row],[Lucro]]*1/Tabela11[[#This Row],[Capital total]],"")</f>
        <v/>
      </c>
      <c r="X26" s="82">
        <f>Tabela11[[#This Row],[Lucro]]-C25</f>
        <v/>
      </c>
      <c r="Y26" s="65">
        <f>PROPER(TEXT(DATE(2024,MONTH(Tabela11[[#This Row],[Data]]),1),"mmmm"))</f>
        <v/>
      </c>
      <c r="Z26" s="65">
        <f>YEAR(Tabela11[[#This Row],[Data]])</f>
        <v/>
      </c>
      <c r="AA26" s="78">
        <f>Tabela11[[#This Row],[Capital investido]]-A25</f>
        <v/>
      </c>
    </row>
    <row r="27" hidden="1" s="57">
      <c r="A27" s="77" t="n">
        <v>112.6843825637491</v>
      </c>
      <c r="B27" s="78" t="n">
        <v>55.22842540480455</v>
      </c>
      <c r="C27" s="78" t="n">
        <v>-57.45595715894451</v>
      </c>
      <c r="D27" s="78" t="n">
        <v>2.18</v>
      </c>
      <c r="E27" s="78" t="n"/>
      <c r="F27" s="78" t="n">
        <v>55.22842540480455</v>
      </c>
      <c r="G27" s="78" t="inlineStr">
        <is>
          <t>-</t>
        </is>
      </c>
      <c r="H27" s="78" t="n">
        <v>34.18438256374903</v>
      </c>
      <c r="I27" s="78" t="n"/>
      <c r="J27" s="78" t="n">
        <v>1.43</v>
      </c>
      <c r="K27" s="78" t="n">
        <v>28.44404284105548</v>
      </c>
      <c r="L27" s="78" t="n">
        <v>26.76</v>
      </c>
      <c r="M27" s="78" t="n">
        <v>1.189999999999998</v>
      </c>
      <c r="N27" s="78" t="n">
        <v>2.160000000000004</v>
      </c>
      <c r="O27" s="78" t="n">
        <v>6.410000000000004</v>
      </c>
      <c r="P27" s="78" t="n">
        <v>8.919999999999995</v>
      </c>
      <c r="Q27" s="79" t="inlineStr">
        <is>
          <t>-</t>
        </is>
      </c>
      <c r="R27" s="79" t="inlineStr">
        <is>
          <t>-</t>
        </is>
      </c>
      <c r="S27" s="79" t="inlineStr">
        <is>
          <t>-</t>
        </is>
      </c>
      <c r="T27" s="80" t="n">
        <v>0.006903553175600569</v>
      </c>
      <c r="U27" s="16" t="n">
        <v>45702</v>
      </c>
      <c r="V27" s="4" t="inlineStr">
        <is>
          <t>18:01:35</t>
        </is>
      </c>
      <c r="W27" s="81">
        <f>IFERROR(Tabela11[[#This Row],[Lucro]]*1/Tabela11[[#This Row],[Capital total]],"")</f>
        <v/>
      </c>
      <c r="X27" s="82">
        <f>Tabela11[[#This Row],[Lucro]]-C26</f>
        <v/>
      </c>
      <c r="Y27" s="65">
        <f>PROPER(TEXT(DATE(2024,MONTH(Tabela11[[#This Row],[Data]]),1),"mmmm"))</f>
        <v/>
      </c>
      <c r="Z27" s="65">
        <f>YEAR(Tabela11[[#This Row],[Data]])</f>
        <v/>
      </c>
      <c r="AA27" s="78">
        <f>Tabela11[[#This Row],[Capital investido]]-A26</f>
        <v/>
      </c>
    </row>
    <row r="28">
      <c r="A28" s="77" t="n">
        <v>112.6843825637491</v>
      </c>
      <c r="B28" s="78" t="n">
        <v>55.24917060827016</v>
      </c>
      <c r="C28" s="78" t="n">
        <v>-57.4352119554789</v>
      </c>
      <c r="D28" s="78" t="n">
        <v>2.18</v>
      </c>
      <c r="E28" s="78" t="n"/>
      <c r="F28" s="78" t="n">
        <v>55.24917060827016</v>
      </c>
      <c r="G28" s="78" t="inlineStr">
        <is>
          <t>-</t>
        </is>
      </c>
      <c r="H28" s="78" t="n">
        <v>34.18438256374905</v>
      </c>
      <c r="I28" s="78" t="n"/>
      <c r="J28" s="78" t="n">
        <v>1.439999999999998</v>
      </c>
      <c r="K28" s="78" t="n">
        <v>28.13478804452109</v>
      </c>
      <c r="L28" s="78" t="n">
        <v>27.00000000000001</v>
      </c>
      <c r="M28" s="78" t="n">
        <v>1.189999999999998</v>
      </c>
      <c r="N28" s="78" t="n">
        <v>2.160000000000004</v>
      </c>
      <c r="O28" s="78" t="n">
        <v>6.410000000000004</v>
      </c>
      <c r="P28" s="78" t="n">
        <v>9.000000000000007</v>
      </c>
      <c r="Q28" s="79" t="inlineStr">
        <is>
          <t>-</t>
        </is>
      </c>
      <c r="R28" s="79" t="inlineStr">
        <is>
          <t>-</t>
        </is>
      </c>
      <c r="S28" s="79" t="inlineStr">
        <is>
          <t>-</t>
        </is>
      </c>
      <c r="T28" s="80" t="n">
        <v>0.00690614632603377</v>
      </c>
      <c r="U28" s="16" t="inlineStr">
        <is>
          <t>15/02/2025</t>
        </is>
      </c>
      <c r="V28" s="4" t="inlineStr">
        <is>
          <t>22:28:00</t>
        </is>
      </c>
      <c r="W28" s="81">
        <f>IFERROR(Tabela11[[#This Row],[Lucro]]*1/Tabela11[[#This Row],[Capital total]],"")</f>
        <v/>
      </c>
      <c r="X28" s="82">
        <f>Tabela11[[#This Row],[Lucro]]-C27</f>
        <v/>
      </c>
      <c r="Y28" s="65">
        <f>PROPER(TEXT(DATE(2024,MONTH(Tabela11[[#This Row],[Data]]),1),"mmmm"))</f>
        <v/>
      </c>
      <c r="Z28" s="65">
        <f>YEAR(Tabela11[[#This Row],[Data]])</f>
        <v/>
      </c>
      <c r="AA28" s="78">
        <f>Tabela11[[#This Row],[Capital investido]]-A27</f>
        <v/>
      </c>
    </row>
    <row r="29">
      <c r="A29" s="77" t="n">
        <v>112.6843825637491</v>
      </c>
      <c r="B29" s="78" t="n">
        <v>55.24917060827016</v>
      </c>
      <c r="C29" s="78" t="n">
        <v>-57.4352119554789</v>
      </c>
      <c r="D29" s="78" t="n">
        <v>2.18</v>
      </c>
      <c r="E29" s="78" t="n"/>
      <c r="F29" s="78" t="n">
        <v>55.24917060827016</v>
      </c>
      <c r="G29" s="78" t="inlineStr">
        <is>
          <t>-</t>
        </is>
      </c>
      <c r="H29" s="78" t="n">
        <v>34.18438256374905</v>
      </c>
      <c r="I29" s="78" t="n"/>
      <c r="J29" s="78" t="n">
        <v>1.439999999999998</v>
      </c>
      <c r="K29" s="78" t="n">
        <v>28.13478804452109</v>
      </c>
      <c r="L29" s="78" t="n">
        <v>27.00000000000001</v>
      </c>
      <c r="M29" s="78" t="n">
        <v>1.189999999999998</v>
      </c>
      <c r="N29" s="78" t="n">
        <v>2.160000000000004</v>
      </c>
      <c r="O29" s="78" t="n">
        <v>6.410000000000004</v>
      </c>
      <c r="P29" s="78" t="n">
        <v>9.000000000000007</v>
      </c>
      <c r="Q29" s="79" t="inlineStr">
        <is>
          <t>-</t>
        </is>
      </c>
      <c r="R29" s="79" t="inlineStr">
        <is>
          <t>-</t>
        </is>
      </c>
      <c r="S29" s="79" t="inlineStr">
        <is>
          <t>-</t>
        </is>
      </c>
      <c r="T29" s="80" t="n">
        <v>0.00690614632603377</v>
      </c>
      <c r="U29" s="16" t="inlineStr">
        <is>
          <t>16/02/2025</t>
        </is>
      </c>
      <c r="V29" s="4" t="inlineStr">
        <is>
          <t>18:16:40</t>
        </is>
      </c>
      <c r="W29" s="81">
        <f>IFERROR(Tabela11[[#This Row],[Lucro]]*1/Tabela11[[#This Row],[Capital total]],"")</f>
        <v/>
      </c>
      <c r="X29" s="82">
        <f>Tabela11[[#This Row],[Lucro]]-C28</f>
        <v/>
      </c>
      <c r="Y29" s="65">
        <f>PROPER(TEXT(DATE(2024,MONTH(Tabela11[[#This Row],[Data]]),1),"mmmm"))</f>
        <v/>
      </c>
      <c r="Z29" s="65">
        <f>YEAR(Tabela11[[#This Row],[Data]])</f>
        <v/>
      </c>
      <c r="AA29" s="78">
        <f>Tabela11[[#This Row],[Capital investido]]-A28</f>
        <v/>
      </c>
    </row>
    <row r="30">
      <c r="A30" s="77" t="n">
        <v>112.6843825637491</v>
      </c>
      <c r="B30" s="78" t="n">
        <v>55.24917060827016</v>
      </c>
      <c r="C30" s="78" t="n">
        <v>-57.4352119554789</v>
      </c>
      <c r="D30" s="78" t="n">
        <v>2.18</v>
      </c>
      <c r="E30" s="78" t="n"/>
      <c r="F30" s="78" t="n">
        <v>55.24917060827016</v>
      </c>
      <c r="G30" s="78" t="inlineStr">
        <is>
          <t>-</t>
        </is>
      </c>
      <c r="H30" s="78" t="n">
        <v>34.18438256374905</v>
      </c>
      <c r="I30" s="78" t="n"/>
      <c r="J30" s="78" t="n">
        <v>1.439999999999998</v>
      </c>
      <c r="K30" s="78" t="n">
        <v>28.13478804452109</v>
      </c>
      <c r="L30" s="78" t="n">
        <v>27.00000000000001</v>
      </c>
      <c r="M30" s="78" t="n">
        <v>1.189999999999998</v>
      </c>
      <c r="N30" s="78" t="n">
        <v>2.160000000000004</v>
      </c>
      <c r="O30" s="78" t="n">
        <v>6.410000000000004</v>
      </c>
      <c r="P30" s="78" t="n">
        <v>9.000000000000007</v>
      </c>
      <c r="Q30" s="79" t="inlineStr">
        <is>
          <t>-</t>
        </is>
      </c>
      <c r="R30" s="79" t="inlineStr">
        <is>
          <t>-</t>
        </is>
      </c>
      <c r="S30" s="79" t="inlineStr">
        <is>
          <t>-</t>
        </is>
      </c>
      <c r="T30" s="80" t="n">
        <v>0.00690614632603377</v>
      </c>
      <c r="U30" s="16" t="inlineStr">
        <is>
          <t>16/02/2025</t>
        </is>
      </c>
      <c r="V30" s="4" t="inlineStr">
        <is>
          <t>18:18:11</t>
        </is>
      </c>
      <c r="W30" s="81">
        <f>IFERROR(Tabela11[[#This Row],[Lucro]]*1/Tabela11[[#This Row],[Capital total]],"")</f>
        <v/>
      </c>
      <c r="X30" s="82">
        <f>Tabela11[[#This Row],[Lucro]]-C29</f>
        <v/>
      </c>
      <c r="Y30" s="65">
        <f>PROPER(TEXT(DATE(2024,MONTH(Tabela11[[#This Row],[Data]]),1),"mmmm"))</f>
        <v/>
      </c>
      <c r="Z30" s="65">
        <f>YEAR(Tabela11[[#This Row],[Data]])</f>
        <v/>
      </c>
      <c r="AA30" s="78">
        <f>Tabela11[[#This Row],[Capital investido]]-A29</f>
        <v/>
      </c>
    </row>
    <row r="31">
      <c r="A31" s="77" t="n">
        <v>112.6843825637491</v>
      </c>
      <c r="B31" s="78" t="n">
        <v>55.24917060827016</v>
      </c>
      <c r="C31" s="78" t="n">
        <v>-57.4352119554789</v>
      </c>
      <c r="D31" s="78" t="n">
        <v>2.18</v>
      </c>
      <c r="E31" s="78" t="n"/>
      <c r="F31" s="78" t="n">
        <v>55.24917060827016</v>
      </c>
      <c r="G31" s="78" t="inlineStr">
        <is>
          <t>-</t>
        </is>
      </c>
      <c r="H31" s="78" t="n">
        <v>34.18438256374905</v>
      </c>
      <c r="I31" s="78" t="n"/>
      <c r="J31" s="78" t="n">
        <v>1.439999999999998</v>
      </c>
      <c r="K31" s="78" t="n">
        <v>28.13478804452109</v>
      </c>
      <c r="L31" s="78" t="n">
        <v>27.00000000000001</v>
      </c>
      <c r="M31" s="78" t="n">
        <v>1.189999999999998</v>
      </c>
      <c r="N31" s="78" t="n">
        <v>2.160000000000004</v>
      </c>
      <c r="O31" s="78" t="n">
        <v>6.410000000000004</v>
      </c>
      <c r="P31" s="78" t="n">
        <v>9.000000000000007</v>
      </c>
      <c r="Q31" s="79" t="inlineStr">
        <is>
          <t>-</t>
        </is>
      </c>
      <c r="R31" s="79" t="inlineStr">
        <is>
          <t>-</t>
        </is>
      </c>
      <c r="S31" s="79" t="inlineStr">
        <is>
          <t>-</t>
        </is>
      </c>
      <c r="T31" s="80" t="n">
        <v>0.00690614632603377</v>
      </c>
      <c r="U31" s="16" t="inlineStr">
        <is>
          <t>17/02/2025</t>
        </is>
      </c>
      <c r="V31" s="4" t="inlineStr">
        <is>
          <t>18:01:56</t>
        </is>
      </c>
      <c r="W31" s="81">
        <f>IFERROR(Tabela11[[#This Row],[Lucro]]*1/Tabela11[[#This Row],[Capital total]],"")</f>
        <v/>
      </c>
      <c r="X31" s="82">
        <f>Tabela11[[#This Row],[Lucro]]-C30</f>
        <v/>
      </c>
      <c r="Y31" s="65">
        <f>PROPER(TEXT(DATE(2024,MONTH(Tabela11[[#This Row],[Data]]),1),"mmmm"))</f>
        <v/>
      </c>
      <c r="Z31" s="65">
        <f>YEAR(Tabela11[[#This Row],[Data]])</f>
        <v/>
      </c>
      <c r="AA31" s="78">
        <f>Tabela11[[#This Row],[Capital investido]]-A30</f>
        <v/>
      </c>
    </row>
    <row r="32">
      <c r="A32" s="77" t="n">
        <v>112.6843825637491</v>
      </c>
      <c r="B32" s="78" t="n">
        <v>55.24917060827016</v>
      </c>
      <c r="C32" s="78" t="n">
        <v>-57.4352119554789</v>
      </c>
      <c r="D32" s="78" t="n">
        <v>2.18</v>
      </c>
      <c r="E32" s="78" t="n"/>
      <c r="F32" s="78" t="n">
        <v>55.24917060827016</v>
      </c>
      <c r="G32" s="78" t="inlineStr">
        <is>
          <t>-</t>
        </is>
      </c>
      <c r="H32" s="78" t="n">
        <v>34.18438256374905</v>
      </c>
      <c r="I32" s="78" t="n"/>
      <c r="J32" s="78" t="n">
        <v>1.439999999999998</v>
      </c>
      <c r="K32" s="78" t="n">
        <v>28.13478804452109</v>
      </c>
      <c r="L32" s="78" t="n">
        <v>27.00000000000001</v>
      </c>
      <c r="M32" s="78" t="n">
        <v>1.189999999999998</v>
      </c>
      <c r="N32" s="78" t="n">
        <v>2.160000000000004</v>
      </c>
      <c r="O32" s="78" t="n">
        <v>6.410000000000004</v>
      </c>
      <c r="P32" s="78" t="n">
        <v>9.000000000000007</v>
      </c>
      <c r="Q32" s="79" t="inlineStr">
        <is>
          <t>-</t>
        </is>
      </c>
      <c r="R32" s="79" t="inlineStr">
        <is>
          <t>-</t>
        </is>
      </c>
      <c r="S32" s="79" t="inlineStr">
        <is>
          <t>-</t>
        </is>
      </c>
      <c r="T32" s="80" t="n">
        <v>0.00690614632603377</v>
      </c>
      <c r="U32" s="16" t="inlineStr">
        <is>
          <t>17/02/2025</t>
        </is>
      </c>
      <c r="V32" s="4" t="inlineStr">
        <is>
          <t>20:00:43</t>
        </is>
      </c>
      <c r="W32" s="81">
        <f>IFERROR(Tabela11[[#This Row],[Lucro]]*1/Tabela11[[#This Row],[Capital total]],"")</f>
        <v/>
      </c>
      <c r="X32" s="82">
        <f>Tabela11[[#This Row],[Lucro]]-C31</f>
        <v/>
      </c>
      <c r="Y32" s="65">
        <f>PROPER(TEXT(DATE(2024,MONTH(Tabela11[[#This Row],[Data]]),1),"mmmm"))</f>
        <v/>
      </c>
      <c r="Z32" s="65">
        <f>YEAR(Tabela11[[#This Row],[Data]])</f>
        <v/>
      </c>
      <c r="AA32" s="78">
        <f>Tabela11[[#This Row],[Capital investido]]-A31</f>
        <v/>
      </c>
    </row>
    <row r="33">
      <c r="A33" s="77" t="n">
        <v>112.6843825637491</v>
      </c>
      <c r="B33" s="78" t="n">
        <v>55.24917060827016</v>
      </c>
      <c r="C33" s="78" t="n">
        <v>-57.4352119554789</v>
      </c>
      <c r="D33" s="78" t="n">
        <v>2.18</v>
      </c>
      <c r="E33" s="78" t="n"/>
      <c r="F33" s="78" t="n">
        <v>55.24917060827016</v>
      </c>
      <c r="G33" s="78" t="inlineStr">
        <is>
          <t>-</t>
        </is>
      </c>
      <c r="H33" s="78" t="n">
        <v>34.18438256374905</v>
      </c>
      <c r="I33" s="78" t="n"/>
      <c r="J33" s="78" t="n">
        <v>1.439999999999998</v>
      </c>
      <c r="K33" s="78" t="n">
        <v>28.13478804452109</v>
      </c>
      <c r="L33" s="78" t="n">
        <v>27.00000000000001</v>
      </c>
      <c r="M33" s="78" t="n">
        <v>1.189999999999998</v>
      </c>
      <c r="N33" s="78" t="n">
        <v>2.160000000000004</v>
      </c>
      <c r="O33" s="78" t="n">
        <v>6.410000000000004</v>
      </c>
      <c r="P33" s="78" t="n">
        <v>9.000000000000007</v>
      </c>
      <c r="Q33" s="79" t="inlineStr">
        <is>
          <t>-</t>
        </is>
      </c>
      <c r="R33" s="79" t="inlineStr">
        <is>
          <t>-</t>
        </is>
      </c>
      <c r="S33" s="79" t="inlineStr">
        <is>
          <t>-</t>
        </is>
      </c>
      <c r="T33" s="80" t="n">
        <v>0.00690614632603377</v>
      </c>
      <c r="U33" s="16" t="inlineStr">
        <is>
          <t>17/02/2025</t>
        </is>
      </c>
      <c r="V33" s="4" t="inlineStr">
        <is>
          <t>20:22:19</t>
        </is>
      </c>
      <c r="W33" s="81">
        <f>IFERROR(Tabela11[[#This Row],[Lucro]]*1/Tabela11[[#This Row],[Capital total]],"")</f>
        <v/>
      </c>
      <c r="X33" s="82">
        <f>Tabela11[[#This Row],[Lucro]]-C32</f>
        <v/>
      </c>
      <c r="Y33" s="65">
        <f>PROPER(TEXT(DATE(2024,MONTH(Tabela11[[#This Row],[Data]]),1),"mmmm"))</f>
        <v/>
      </c>
      <c r="Z33" s="65">
        <f>YEAR(Tabela11[[#This Row],[Data]])</f>
        <v/>
      </c>
      <c r="AA33" s="78">
        <f>Tabela11[[#This Row],[Capital investido]]-A32</f>
        <v/>
      </c>
    </row>
    <row r="34">
      <c r="A34" s="77" t="n">
        <v>112.6843825637491</v>
      </c>
      <c r="B34" s="78" t="n">
        <v>55.24917060827016</v>
      </c>
      <c r="C34" s="78" t="n">
        <v>-57.4352119554789</v>
      </c>
      <c r="D34" s="78" t="n">
        <v>2.18</v>
      </c>
      <c r="E34" s="78" t="n"/>
      <c r="F34" s="78" t="n">
        <v>55.24917060827016</v>
      </c>
      <c r="G34" s="78" t="inlineStr">
        <is>
          <t>-</t>
        </is>
      </c>
      <c r="H34" s="78" t="n">
        <v>34.18438256374905</v>
      </c>
      <c r="I34" s="78" t="n"/>
      <c r="J34" s="78" t="n">
        <v>1.439999999999998</v>
      </c>
      <c r="K34" s="78" t="n">
        <v>28.13478804452109</v>
      </c>
      <c r="L34" s="78" t="n">
        <v>27.00000000000001</v>
      </c>
      <c r="M34" s="78" t="n">
        <v>1.189999999999998</v>
      </c>
      <c r="N34" s="78" t="n">
        <v>2.160000000000004</v>
      </c>
      <c r="O34" s="78" t="n">
        <v>6.410000000000004</v>
      </c>
      <c r="P34" s="78" t="n">
        <v>9.000000000000007</v>
      </c>
      <c r="Q34" s="79" t="inlineStr">
        <is>
          <t>-</t>
        </is>
      </c>
      <c r="R34" s="79" t="inlineStr">
        <is>
          <t>-</t>
        </is>
      </c>
      <c r="S34" s="79" t="inlineStr">
        <is>
          <t>-</t>
        </is>
      </c>
      <c r="T34" s="80" t="n">
        <v>0.00690614632603377</v>
      </c>
      <c r="U34" s="16" t="inlineStr">
        <is>
          <t>17/02/2025</t>
        </is>
      </c>
      <c r="V34" s="4" t="inlineStr">
        <is>
          <t>20:24:40</t>
        </is>
      </c>
      <c r="W34" s="81">
        <f>IFERROR(Tabela11[[#This Row],[Lucro]]*1/Tabela11[[#This Row],[Capital total]],"")</f>
        <v/>
      </c>
      <c r="X34" s="82">
        <f>Tabela11[[#This Row],[Lucro]]-C33</f>
        <v/>
      </c>
      <c r="Y34" s="65">
        <f>PROPER(TEXT(DATE(2024,MONTH(Tabela11[[#This Row],[Data]]),1),"mmmm"))</f>
        <v/>
      </c>
      <c r="Z34" s="65">
        <f>YEAR(Tabela11[[#This Row],[Data]])</f>
        <v/>
      </c>
      <c r="AA34" s="78">
        <f>Tabela11[[#This Row],[Capital investido]]-A33</f>
        <v/>
      </c>
    </row>
    <row r="35">
      <c r="A35" s="77" t="n">
        <v>103.704382563749</v>
      </c>
      <c r="B35" s="78" t="n">
        <v>46.46257479023989</v>
      </c>
      <c r="C35" s="78" t="n">
        <v>-57.24180777350916</v>
      </c>
      <c r="D35" s="78" t="n">
        <v>2.18</v>
      </c>
      <c r="E35" s="78" t="n"/>
      <c r="F35" s="78" t="n">
        <v>46.46257479023989</v>
      </c>
      <c r="G35" s="78" t="inlineStr">
        <is>
          <t>-</t>
        </is>
      </c>
      <c r="H35" s="78" t="n">
        <v>34.18438256374905</v>
      </c>
      <c r="I35" s="78" t="n"/>
      <c r="J35" s="78" t="n">
        <v>1.439999999999998</v>
      </c>
      <c r="K35" s="78" t="n">
        <v>28.17819222649083</v>
      </c>
      <c r="L35" s="78" t="n">
        <v>27.09</v>
      </c>
      <c r="M35" s="78" t="n">
        <v>1.189999999999998</v>
      </c>
      <c r="N35" s="78" t="n">
        <v>2.160000000000004</v>
      </c>
      <c r="O35" s="78" t="n">
        <v>6.410000000000004</v>
      </c>
      <c r="P35" s="78" t="n">
        <v>0</v>
      </c>
      <c r="Q35" s="79" t="inlineStr">
        <is>
          <t>-</t>
        </is>
      </c>
      <c r="R35" s="79" t="inlineStr">
        <is>
          <t>-</t>
        </is>
      </c>
      <c r="S35" s="79" t="inlineStr">
        <is>
          <t>-</t>
        </is>
      </c>
      <c r="T35" s="80" t="n">
        <v>0.005807821848779987</v>
      </c>
      <c r="U35" s="16" t="inlineStr">
        <is>
          <t>17/02/2025</t>
        </is>
      </c>
      <c r="V35" s="4" t="inlineStr">
        <is>
          <t>20:25:30</t>
        </is>
      </c>
      <c r="W35" s="81">
        <f>IFERROR(Tabela11[[#This Row],[Lucro]]*1/Tabela11[[#This Row],[Capital total]],"")</f>
        <v/>
      </c>
      <c r="X35" s="82">
        <f>Tabela11[[#This Row],[Lucro]]-C34</f>
        <v/>
      </c>
      <c r="Y35" s="65">
        <f>PROPER(TEXT(DATE(2024,MONTH(Tabela11[[#This Row],[Data]]),1),"mmmm"))</f>
        <v/>
      </c>
      <c r="Z35" s="65">
        <f>YEAR(Tabela11[[#This Row],[Data]])</f>
        <v/>
      </c>
      <c r="AA35" s="78">
        <f>Tabela11[[#This Row],[Capital investido]]-A34</f>
        <v/>
      </c>
    </row>
    <row r="36">
      <c r="A36" s="77" t="n">
        <v>103.704382563749</v>
      </c>
      <c r="B36" s="78" t="n">
        <v>46.73257479023989</v>
      </c>
      <c r="C36" s="78" t="n">
        <v>-56.97180777350916</v>
      </c>
      <c r="D36" s="78" t="n">
        <v>2.18</v>
      </c>
      <c r="E36" s="78" t="n"/>
      <c r="F36" s="78" t="n">
        <v>46.73257479023989</v>
      </c>
      <c r="G36" s="78" t="inlineStr">
        <is>
          <t>-</t>
        </is>
      </c>
      <c r="H36" s="78" t="n">
        <v>34.18438256374904</v>
      </c>
      <c r="I36" s="78" t="n"/>
      <c r="J36" s="78" t="n">
        <v>1.439999999999998</v>
      </c>
      <c r="K36" s="78" t="n">
        <v>28.17819222649084</v>
      </c>
      <c r="L36" s="78" t="n">
        <v>27.08999999999999</v>
      </c>
      <c r="M36" s="78" t="n">
        <v>1.189999999999998</v>
      </c>
      <c r="N36" s="78" t="n">
        <v>2.159999999999997</v>
      </c>
      <c r="O36" s="78" t="n">
        <v>6.409999999999997</v>
      </c>
      <c r="P36" s="78" t="n">
        <v>0</v>
      </c>
      <c r="Q36" s="79" t="inlineStr">
        <is>
          <t>-</t>
        </is>
      </c>
      <c r="R36" s="79" t="inlineStr">
        <is>
          <t>-</t>
        </is>
      </c>
      <c r="S36" s="79" t="inlineStr">
        <is>
          <t>-</t>
        </is>
      </c>
      <c r="T36" s="80" t="n">
        <v>0.005841571848779986</v>
      </c>
      <c r="U36" s="16" t="inlineStr">
        <is>
          <t>18/02/2025</t>
        </is>
      </c>
      <c r="V36" s="4" t="inlineStr">
        <is>
          <t>18:44:39</t>
        </is>
      </c>
      <c r="W36" s="81">
        <f>IFERROR(Tabela11[[#This Row],[Lucro]]*1/Tabela11[[#This Row],[Capital total]],"")</f>
        <v/>
      </c>
      <c r="X36" s="82">
        <f>Tabela11[[#This Row],[Lucro]]-C35</f>
        <v/>
      </c>
      <c r="Y36" s="65">
        <f>PROPER(TEXT(DATE(2024,MONTH(Tabela11[[#This Row],[Data]]),1),"mmmm"))</f>
        <v/>
      </c>
      <c r="Z36" s="65">
        <f>YEAR(Tabela11[[#This Row],[Data]])</f>
        <v/>
      </c>
      <c r="AA36" s="78">
        <f>Tabela11[[#This Row],[Capital investido]]-A35</f>
        <v/>
      </c>
    </row>
    <row r="37">
      <c r="A37" s="77" t="n">
        <v>103.704382563749</v>
      </c>
      <c r="B37" s="78" t="n">
        <v>34.62518620718537</v>
      </c>
      <c r="C37" s="78" t="n">
        <v>-69.07919635656368</v>
      </c>
      <c r="D37" s="78" t="n">
        <v>2.18</v>
      </c>
      <c r="E37" s="78" t="n"/>
      <c r="F37" s="78" t="n">
        <v>34.62518620718537</v>
      </c>
      <c r="G37" s="78" t="inlineStr">
        <is>
          <t>-</t>
        </is>
      </c>
      <c r="H37" s="78" t="n">
        <v>34.18438256374905</v>
      </c>
      <c r="I37" s="78" t="n"/>
      <c r="J37" s="78" t="n">
        <v>1.420000000000002</v>
      </c>
      <c r="K37" s="78" t="n">
        <v>28.06080364343631</v>
      </c>
      <c r="L37" s="78" t="n">
        <v>27.12</v>
      </c>
      <c r="M37" s="78" t="n">
        <v>1.189999999999998</v>
      </c>
      <c r="N37" s="78" t="n">
        <v>2.159999999999997</v>
      </c>
      <c r="O37" s="78" t="n">
        <v>6.409999999999997</v>
      </c>
      <c r="P37" s="78" t="n">
        <v>0</v>
      </c>
      <c r="Q37" s="79" t="inlineStr">
        <is>
          <t>-</t>
        </is>
      </c>
      <c r="R37" s="79" t="inlineStr">
        <is>
          <t>-</t>
        </is>
      </c>
      <c r="S37" s="79" t="inlineStr">
        <is>
          <t>-</t>
        </is>
      </c>
      <c r="T37" s="80" t="n">
        <v>0.004328148275898172</v>
      </c>
      <c r="U37" s="16" t="inlineStr">
        <is>
          <t>18/02/2025</t>
        </is>
      </c>
      <c r="V37" s="4" t="inlineStr">
        <is>
          <t>20:18:59</t>
        </is>
      </c>
      <c r="W37" s="81">
        <f>IFERROR(Tabela11[[#This Row],[Lucro]]*1/Tabela11[[#This Row],[Capital total]],"")</f>
        <v/>
      </c>
      <c r="X37" s="82">
        <f>Tabela11[[#This Row],[Lucro]]-C36</f>
        <v/>
      </c>
      <c r="Y37" s="65">
        <f>PROPER(TEXT(DATE(2024,MONTH(Tabela11[[#This Row],[Data]]),1),"mmmm"))</f>
        <v/>
      </c>
      <c r="Z37" s="65">
        <f>YEAR(Tabela11[[#This Row],[Data]])</f>
        <v/>
      </c>
      <c r="AA37" s="78">
        <f>Tabela11[[#This Row],[Capital investido]]-A36</f>
        <v/>
      </c>
    </row>
    <row r="38">
      <c r="A38" s="77" t="n">
        <v>103.704382563749</v>
      </c>
      <c r="B38" s="78" t="n">
        <v>46.60518620718537</v>
      </c>
      <c r="C38" s="78" t="n">
        <v>-57.09919635656368</v>
      </c>
      <c r="D38" s="78" t="n">
        <v>2.18</v>
      </c>
      <c r="E38" s="78" t="n"/>
      <c r="F38" s="78" t="n">
        <v>46.60518620718537</v>
      </c>
      <c r="G38" s="78" t="inlineStr">
        <is>
          <t>-</t>
        </is>
      </c>
      <c r="H38" s="78" t="n">
        <v>34.18438256374904</v>
      </c>
      <c r="I38" s="78" t="n"/>
      <c r="J38" s="78" t="n">
        <v>1.420000000000002</v>
      </c>
      <c r="K38" s="78" t="n">
        <v>28.06080364343632</v>
      </c>
      <c r="L38" s="78" t="n">
        <v>27.12</v>
      </c>
      <c r="M38" s="78" t="n">
        <v>1.189999999999998</v>
      </c>
      <c r="N38" s="78" t="n">
        <v>2.160000000000004</v>
      </c>
      <c r="O38" s="78" t="n">
        <v>6.409999999999997</v>
      </c>
      <c r="P38" s="78" t="n">
        <v>0</v>
      </c>
      <c r="Q38" s="79" t="inlineStr">
        <is>
          <t>-</t>
        </is>
      </c>
      <c r="R38" s="79" t="inlineStr">
        <is>
          <t>-</t>
        </is>
      </c>
      <c r="S38" s="79" t="inlineStr">
        <is>
          <t>-</t>
        </is>
      </c>
      <c r="T38" s="80" t="n">
        <v>0.005825648275898171</v>
      </c>
      <c r="U38" s="16" t="inlineStr">
        <is>
          <t>18/02/2025</t>
        </is>
      </c>
      <c r="V38" s="4" t="inlineStr">
        <is>
          <t>20:29:58</t>
        </is>
      </c>
      <c r="W38" s="81">
        <f>IFERROR(Tabela11[[#This Row],[Lucro]]*1/Tabela11[[#This Row],[Capital total]],"")</f>
        <v/>
      </c>
      <c r="X38" s="82">
        <f>Tabela11[[#This Row],[Lucro]]-C37</f>
        <v/>
      </c>
      <c r="Y38" s="65">
        <f>PROPER(TEXT(DATE(2024,MONTH(Tabela11[[#This Row],[Data]]),1),"mmmm"))</f>
        <v/>
      </c>
      <c r="Z38" s="65">
        <f>YEAR(Tabela11[[#This Row],[Data]])</f>
        <v/>
      </c>
      <c r="AA38" s="78">
        <f>Tabela11[[#This Row],[Capital investido]]-A37</f>
        <v/>
      </c>
    </row>
    <row r="39">
      <c r="A39" s="77" t="n">
        <v>103.704382563749</v>
      </c>
      <c r="B39" s="78" t="n">
        <v>46.60518620718537</v>
      </c>
      <c r="C39" s="78" t="n">
        <v>-57.09919635656368</v>
      </c>
      <c r="D39" s="78" t="n">
        <v>2.18</v>
      </c>
      <c r="E39" s="78" t="n"/>
      <c r="F39" s="78" t="n">
        <v>46.60518620718537</v>
      </c>
      <c r="G39" s="78" t="inlineStr">
        <is>
          <t>-</t>
        </is>
      </c>
      <c r="H39" s="78" t="n">
        <v>34.18438256374904</v>
      </c>
      <c r="I39" s="78" t="n"/>
      <c r="J39" s="78" t="n">
        <v>1.420000000000002</v>
      </c>
      <c r="K39" s="78" t="n">
        <v>28.06080364343632</v>
      </c>
      <c r="L39" s="78" t="n">
        <v>27.12</v>
      </c>
      <c r="M39" s="78" t="n">
        <v>1.189999999999998</v>
      </c>
      <c r="N39" s="78" t="n">
        <v>2.160000000000004</v>
      </c>
      <c r="O39" s="78" t="n">
        <v>6.409999999999997</v>
      </c>
      <c r="P39" s="78" t="n">
        <v>0</v>
      </c>
      <c r="Q39" s="79" t="inlineStr">
        <is>
          <t>-</t>
        </is>
      </c>
      <c r="R39" s="79" t="inlineStr">
        <is>
          <t>-</t>
        </is>
      </c>
      <c r="S39" s="79" t="inlineStr">
        <is>
          <t>-</t>
        </is>
      </c>
      <c r="T39" s="80" t="n">
        <v>0.005825648275898171</v>
      </c>
      <c r="U39" s="16" t="inlineStr">
        <is>
          <t>19/02/2025</t>
        </is>
      </c>
      <c r="V39" s="4" t="inlineStr">
        <is>
          <t>19:29:29</t>
        </is>
      </c>
      <c r="W39" s="81">
        <f>IFERROR(Tabela11[[#This Row],[Lucro]]*1/Tabela11[[#This Row],[Capital total]],"")</f>
        <v/>
      </c>
      <c r="X39" s="82">
        <f>Tabela11[[#This Row],[Lucro]]-C38</f>
        <v/>
      </c>
      <c r="Y39" s="65">
        <f>PROPER(TEXT(DATE(2024,MONTH(Tabela11[[#This Row],[Data]]),1),"mmmm"))</f>
        <v/>
      </c>
      <c r="Z39" s="65">
        <f>YEAR(Tabela11[[#This Row],[Data]])</f>
        <v/>
      </c>
      <c r="AA39" s="78">
        <f>Tabela11[[#This Row],[Capital investido]]-A38</f>
        <v/>
      </c>
    </row>
    <row r="40">
      <c r="A40" s="77" t="n">
        <v>103.704382563749</v>
      </c>
      <c r="B40" s="78" t="n">
        <v>46.92400605484737</v>
      </c>
      <c r="C40" s="78" t="n">
        <v>-56.78037650890168</v>
      </c>
      <c r="D40" s="78" t="n">
        <v>2.18</v>
      </c>
      <c r="E40" s="78" t="n"/>
      <c r="F40" s="78" t="n">
        <v>46.92400605484737</v>
      </c>
      <c r="G40" s="78" t="inlineStr">
        <is>
          <t>-</t>
        </is>
      </c>
      <c r="H40" s="78" t="n">
        <v>34.18438256374904</v>
      </c>
      <c r="I40" s="78" t="n"/>
      <c r="J40" s="78" t="n">
        <v>1.399999999999999</v>
      </c>
      <c r="K40" s="78" t="n">
        <v>28.21962349109832</v>
      </c>
      <c r="L40" s="78" t="n">
        <v>27.3</v>
      </c>
      <c r="M40" s="78" t="n">
        <v>1.189999999999998</v>
      </c>
      <c r="N40" s="78" t="n">
        <v>2.159999999999997</v>
      </c>
      <c r="O40" s="78" t="n">
        <v>6.409999999999997</v>
      </c>
      <c r="P40" s="78" t="n">
        <v>0</v>
      </c>
      <c r="Q40" s="79" t="inlineStr">
        <is>
          <t>-</t>
        </is>
      </c>
      <c r="R40" s="79" t="inlineStr">
        <is>
          <t>-</t>
        </is>
      </c>
      <c r="S40" s="79" t="inlineStr">
        <is>
          <t>-</t>
        </is>
      </c>
      <c r="T40" s="80" t="n">
        <v>0.005865500756855921</v>
      </c>
      <c r="U40" s="16" t="inlineStr">
        <is>
          <t>19/02/2025</t>
        </is>
      </c>
      <c r="V40" s="4" t="inlineStr">
        <is>
          <t>19:35:30</t>
        </is>
      </c>
      <c r="W40" s="81">
        <f>IFERROR(Tabela11[[#This Row],[Lucro]]*1/Tabela11[[#This Row],[Capital total]],"")</f>
        <v/>
      </c>
      <c r="X40" s="82">
        <f>Tabela11[[#This Row],[Lucro]]-C39</f>
        <v/>
      </c>
      <c r="Y40" s="65">
        <f>PROPER(TEXT(DATE(2024,MONTH(Tabela11[[#This Row],[Data]]),1),"mmmm"))</f>
        <v/>
      </c>
      <c r="Z40" s="65">
        <f>YEAR(Tabela11[[#This Row],[Data]])</f>
        <v/>
      </c>
      <c r="AA40" s="78">
        <f>Tabela11[[#This Row],[Capital investido]]-A39</f>
        <v/>
      </c>
    </row>
    <row r="41">
      <c r="A41" s="77" t="n">
        <v>115.724382563749</v>
      </c>
      <c r="B41" s="78" t="n">
        <v>59.09400605484737</v>
      </c>
      <c r="C41" s="78" t="n">
        <v>-56.63037650890168</v>
      </c>
      <c r="D41" s="78" t="n">
        <v>2.18</v>
      </c>
      <c r="E41" s="78" t="n"/>
      <c r="F41" s="78" t="n">
        <v>59.09400605484737</v>
      </c>
      <c r="G41" s="78" t="inlineStr">
        <is>
          <t>-</t>
        </is>
      </c>
      <c r="H41" s="78" t="n">
        <v>34.18438256374904</v>
      </c>
      <c r="I41" s="78" t="n"/>
      <c r="J41" s="78" t="n">
        <v>12.77</v>
      </c>
      <c r="K41" s="78" t="n">
        <v>28.2196234910983</v>
      </c>
      <c r="L41" s="78" t="n">
        <v>27.3</v>
      </c>
      <c r="M41" s="78" t="n">
        <v>1.960000000000001</v>
      </c>
      <c r="N41" s="78" t="n">
        <v>2.159999999999997</v>
      </c>
      <c r="O41" s="78" t="n">
        <v>6.409999999999997</v>
      </c>
      <c r="P41" s="78" t="n">
        <v>0</v>
      </c>
      <c r="Q41" s="79" t="inlineStr">
        <is>
          <t>-</t>
        </is>
      </c>
      <c r="R41" s="79" t="inlineStr">
        <is>
          <t>-</t>
        </is>
      </c>
      <c r="S41" s="79" t="inlineStr">
        <is>
          <t>-</t>
        </is>
      </c>
      <c r="T41" s="80" t="n">
        <v>0.007386750756855921</v>
      </c>
      <c r="U41" s="16" t="inlineStr">
        <is>
          <t>20/02/2025</t>
        </is>
      </c>
      <c r="V41" s="4" t="inlineStr">
        <is>
          <t>18:00:35</t>
        </is>
      </c>
      <c r="W41" s="81">
        <f>IFERROR(Tabela11[[#This Row],[Lucro]]*1/Tabela11[[#This Row],[Capital total]],"")</f>
        <v/>
      </c>
      <c r="X41" s="82">
        <f>Tabela11[[#This Row],[Lucro]]-C40</f>
        <v/>
      </c>
      <c r="Y41" s="65">
        <f>PROPER(TEXT(DATE(2024,MONTH(Tabela11[[#This Row],[Data]]),1),"mmmm"))</f>
        <v/>
      </c>
      <c r="Z41" s="65">
        <f>YEAR(Tabela11[[#This Row],[Data]])</f>
        <v/>
      </c>
      <c r="AA41" s="78">
        <f>Tabela11[[#This Row],[Capital investido]]-A40</f>
        <v/>
      </c>
    </row>
    <row r="42">
      <c r="A42" s="77" t="n">
        <v>143.9208000622061</v>
      </c>
      <c r="B42" s="78" t="n">
        <v>142.4495407128984</v>
      </c>
      <c r="C42" s="78" t="n">
        <v>-1.471259349307762</v>
      </c>
      <c r="D42" s="78" t="n">
        <v>2.18</v>
      </c>
      <c r="E42" s="78" t="n"/>
      <c r="F42" s="78" t="n">
        <v>142.4495407128984</v>
      </c>
      <c r="G42" s="78" t="inlineStr">
        <is>
          <t>-</t>
        </is>
      </c>
      <c r="H42" s="78" t="n">
        <v>41.15080006220612</v>
      </c>
      <c r="I42" s="78" t="n"/>
      <c r="J42" s="78" t="n">
        <v>12.72</v>
      </c>
      <c r="K42" s="78" t="n">
        <v>38.01874065069225</v>
      </c>
      <c r="L42" s="78" t="n">
        <v>27.56999999999999</v>
      </c>
      <c r="M42" s="78" t="n">
        <v>1.960000000000008</v>
      </c>
      <c r="N42" s="78" t="n">
        <v>2.159999999999997</v>
      </c>
      <c r="O42" s="78" t="n">
        <v>6.409999999999997</v>
      </c>
      <c r="P42" s="78" t="n">
        <v>11.28999999999999</v>
      </c>
      <c r="Q42" s="79" t="inlineStr">
        <is>
          <t>-</t>
        </is>
      </c>
      <c r="R42" s="79" t="inlineStr">
        <is>
          <t>-</t>
        </is>
      </c>
      <c r="S42" s="79" t="inlineStr">
        <is>
          <t>-</t>
        </is>
      </c>
      <c r="T42" s="80" t="n">
        <v>0.0178061925891123</v>
      </c>
      <c r="U42" s="16" t="inlineStr">
        <is>
          <t>22/02/2025</t>
        </is>
      </c>
      <c r="V42" s="4" t="inlineStr">
        <is>
          <t>10:16:39</t>
        </is>
      </c>
      <c r="W42" s="81">
        <f>IFERROR(Tabela11[[#This Row],[Lucro]]*1/Tabela11[[#This Row],[Capital total]],"")</f>
        <v/>
      </c>
      <c r="X42" s="82">
        <f>Tabela11[[#This Row],[Lucro]]-C41</f>
        <v/>
      </c>
      <c r="Y42" s="65">
        <f>PROPER(TEXT(DATE(2024,MONTH(Tabela11[[#This Row],[Data]]),1),"mmmm"))</f>
        <v/>
      </c>
      <c r="Z42" s="65">
        <f>YEAR(Tabela11[[#This Row],[Data]])</f>
        <v/>
      </c>
      <c r="AA42" s="78">
        <f>Tabela11[[#This Row],[Capital investido]]-A41</f>
        <v/>
      </c>
      <c r="AW42" s="84" t="n"/>
    </row>
    <row r="43">
      <c r="A43" s="77" t="n">
        <v>143.9208000622061</v>
      </c>
      <c r="B43" s="78" t="n">
        <v>142.2782286704219</v>
      </c>
      <c r="C43" s="78" t="n">
        <v>-1.642571391784242</v>
      </c>
      <c r="D43" s="78" t="n">
        <v>2.18</v>
      </c>
      <c r="E43" s="78" t="n"/>
      <c r="F43" s="78" t="n">
        <v>142.2782286704219</v>
      </c>
      <c r="G43" s="78" t="inlineStr">
        <is>
          <t>-</t>
        </is>
      </c>
      <c r="H43" s="78" t="n">
        <v>41.15080006220612</v>
      </c>
      <c r="I43" s="78" t="n"/>
      <c r="J43" s="78" t="n">
        <v>12.63</v>
      </c>
      <c r="K43" s="78" t="n">
        <v>38.21742860821578</v>
      </c>
      <c r="L43" s="78" t="n">
        <v>27.35999999999999</v>
      </c>
      <c r="M43" s="78" t="n">
        <v>1.960000000000008</v>
      </c>
      <c r="N43" s="78" t="n">
        <v>2.159999999999997</v>
      </c>
      <c r="O43" s="78" t="n">
        <v>6.409999999999997</v>
      </c>
      <c r="P43" s="78" t="n">
        <v>11.22</v>
      </c>
      <c r="Q43" s="79" t="inlineStr">
        <is>
          <t>-</t>
        </is>
      </c>
      <c r="R43" s="79" t="inlineStr">
        <is>
          <t>-</t>
        </is>
      </c>
      <c r="S43" s="79" t="inlineStr">
        <is>
          <t>-</t>
        </is>
      </c>
      <c r="T43" s="80" t="n">
        <v>0.01778477858380274</v>
      </c>
      <c r="U43" s="16" t="inlineStr">
        <is>
          <t>23/02/2025</t>
        </is>
      </c>
      <c r="V43" s="4" t="inlineStr">
        <is>
          <t>10:40:37</t>
        </is>
      </c>
      <c r="W43" s="81">
        <f>IFERROR(Tabela11[[#This Row],[Lucro]]*1/Tabela11[[#This Row],[Capital total]],"")</f>
        <v/>
      </c>
      <c r="X43" s="82">
        <f>Tabela11[[#This Row],[Lucro]]-C42</f>
        <v/>
      </c>
      <c r="Y43" s="65">
        <f>PROPER(TEXT(DATE(2024,MONTH(Tabela11[[#This Row],[Data]]),1),"mmmm"))</f>
        <v/>
      </c>
      <c r="Z43" s="65">
        <f>YEAR(Tabela11[[#This Row],[Data]])</f>
        <v/>
      </c>
      <c r="AA43" s="78">
        <f>Tabela11[[#This Row],[Capital investido]]-A42</f>
        <v/>
      </c>
    </row>
    <row r="44">
      <c r="A44" s="77" t="n">
        <v>143.9208000622061</v>
      </c>
      <c r="B44" s="78" t="n">
        <v>142.2782286704219</v>
      </c>
      <c r="C44" s="78" t="n">
        <v>-1.642571391784242</v>
      </c>
      <c r="D44" s="78" t="n">
        <v>2.18</v>
      </c>
      <c r="E44" s="78" t="n"/>
      <c r="F44" s="78" t="n">
        <v>142.2782286704219</v>
      </c>
      <c r="G44" s="78" t="inlineStr">
        <is>
          <t>-</t>
        </is>
      </c>
      <c r="H44" s="78" t="n">
        <v>41.15080006220612</v>
      </c>
      <c r="I44" s="78" t="n"/>
      <c r="J44" s="78" t="n">
        <v>12.63</v>
      </c>
      <c r="K44" s="78" t="n">
        <v>38.21742860821578</v>
      </c>
      <c r="L44" s="78" t="n">
        <v>27.35999999999999</v>
      </c>
      <c r="M44" s="78" t="n">
        <v>1.960000000000008</v>
      </c>
      <c r="N44" s="78" t="n">
        <v>2.159999999999997</v>
      </c>
      <c r="O44" s="78" t="n">
        <v>6.409999999999997</v>
      </c>
      <c r="P44" s="78" t="n">
        <v>11.22</v>
      </c>
      <c r="Q44" s="79" t="inlineStr">
        <is>
          <t>-</t>
        </is>
      </c>
      <c r="R44" s="79" t="inlineStr">
        <is>
          <t>-</t>
        </is>
      </c>
      <c r="S44" s="79" t="inlineStr">
        <is>
          <t>-</t>
        </is>
      </c>
      <c r="T44" s="80" t="n">
        <v>0.01778477858380274</v>
      </c>
      <c r="U44" s="16" t="inlineStr">
        <is>
          <t>24/02/2025</t>
        </is>
      </c>
      <c r="V44" s="4" t="inlineStr">
        <is>
          <t>19:24:15</t>
        </is>
      </c>
      <c r="W44" s="81">
        <f>IFERROR(Tabela11[[#This Row],[Lucro]]*1/Tabela11[[#This Row],[Capital total]],"")</f>
        <v/>
      </c>
      <c r="X44" s="82">
        <f>Tabela11[[#This Row],[Lucro]]-C43</f>
        <v/>
      </c>
      <c r="Y44" s="65">
        <f>PROPER(TEXT(DATE(2024,MONTH(Tabela11[[#This Row],[Data]]),1),"mmmm"))</f>
        <v/>
      </c>
      <c r="Z44" s="65">
        <f>YEAR(Tabela11[[#This Row],[Data]])</f>
        <v/>
      </c>
      <c r="AA44" s="78">
        <f>Tabela11[[#This Row],[Capital investido]]-A43</f>
        <v/>
      </c>
    </row>
    <row r="45">
      <c r="A45" s="77" t="n">
        <v>143.9208000622061</v>
      </c>
      <c r="B45" s="78" t="n">
        <v>141.6982618927321</v>
      </c>
      <c r="C45" s="78" t="n">
        <v>-2.222538169474046</v>
      </c>
      <c r="D45" s="78" t="n">
        <v>2.18</v>
      </c>
      <c r="E45" s="78" t="n"/>
      <c r="F45" s="78" t="n">
        <v>141.6982618927321</v>
      </c>
      <c r="G45" s="78" t="inlineStr">
        <is>
          <t>-</t>
        </is>
      </c>
      <c r="H45" s="78" t="n">
        <v>41.15080006220609</v>
      </c>
      <c r="I45" s="78" t="n"/>
      <c r="J45" s="78" t="n">
        <v>12.24000000000001</v>
      </c>
      <c r="K45" s="78" t="n">
        <v>38.52746183052597</v>
      </c>
      <c r="L45" s="78" t="n">
        <v>27.24000000000001</v>
      </c>
      <c r="M45" s="78" t="n">
        <v>1.960000000000008</v>
      </c>
      <c r="N45" s="78" t="n">
        <v>2.159999999999997</v>
      </c>
      <c r="O45" s="78" t="n">
        <v>6.409999999999997</v>
      </c>
      <c r="P45" s="78" t="n">
        <v>10.84</v>
      </c>
      <c r="Q45" s="79" t="inlineStr">
        <is>
          <t>-</t>
        </is>
      </c>
      <c r="R45" s="79" t="inlineStr">
        <is>
          <t>-</t>
        </is>
      </c>
      <c r="S45" s="79" t="inlineStr">
        <is>
          <t>-</t>
        </is>
      </c>
      <c r="T45" s="80" t="n">
        <v>0.01771228273659151</v>
      </c>
      <c r="U45" s="16" t="inlineStr">
        <is>
          <t>24/02/2025</t>
        </is>
      </c>
      <c r="V45" s="4" t="inlineStr">
        <is>
          <t>20:25:35</t>
        </is>
      </c>
      <c r="W45" s="81">
        <f>IFERROR(Tabela11[[#This Row],[Lucro]]*1/Tabela11[[#This Row],[Capital total]],"")</f>
        <v/>
      </c>
      <c r="X45" s="82">
        <f>Tabela11[[#This Row],[Lucro]]-C44</f>
        <v/>
      </c>
      <c r="Y45" s="65">
        <f>PROPER(TEXT(DATE(2024,MONTH(Tabela11[[#This Row],[Data]]),1),"mmmm"))</f>
        <v/>
      </c>
      <c r="Z45" s="65">
        <f>YEAR(Tabela11[[#This Row],[Data]])</f>
        <v/>
      </c>
      <c r="AA45" s="78">
        <f>Tabela11[[#This Row],[Capital investido]]-A44</f>
        <v/>
      </c>
    </row>
    <row r="46">
      <c r="A46" s="77" t="n">
        <v>143.9608000622061</v>
      </c>
      <c r="B46" s="78" t="n">
        <v>141.7089007669715</v>
      </c>
      <c r="C46" s="78" t="n">
        <v>-2.251899295234615</v>
      </c>
      <c r="D46" s="78" t="n">
        <v>2.18</v>
      </c>
      <c r="E46" s="78" t="n"/>
      <c r="F46" s="78" t="n">
        <v>141.7089007669715</v>
      </c>
      <c r="G46" s="78" t="inlineStr">
        <is>
          <t>-</t>
        </is>
      </c>
      <c r="H46" s="78" t="n">
        <v>41.15080006220612</v>
      </c>
      <c r="I46" s="78" t="n"/>
      <c r="J46" s="78" t="n">
        <v>12.21000000000001</v>
      </c>
      <c r="K46" s="78" t="n">
        <v>38.2681007047654</v>
      </c>
      <c r="L46" s="78" t="n">
        <v>27.53999999999999</v>
      </c>
      <c r="M46" s="78" t="n">
        <v>1.969999999999999</v>
      </c>
      <c r="N46" s="78" t="n">
        <v>2.180000000000007</v>
      </c>
      <c r="O46" s="78" t="n">
        <v>6.419999999999987</v>
      </c>
      <c r="P46" s="78" t="n">
        <v>10.80000000000001</v>
      </c>
      <c r="Q46" s="79" t="inlineStr">
        <is>
          <t>-</t>
        </is>
      </c>
      <c r="R46" s="79" t="inlineStr">
        <is>
          <t>-</t>
        </is>
      </c>
      <c r="S46" s="79" t="inlineStr">
        <is>
          <t>-</t>
        </is>
      </c>
      <c r="T46" s="80" t="n">
        <v>0.01771361259587144</v>
      </c>
      <c r="U46" s="16" t="inlineStr">
        <is>
          <t>25/02/2025</t>
        </is>
      </c>
      <c r="V46" s="4" t="inlineStr">
        <is>
          <t>18:58:59</t>
        </is>
      </c>
      <c r="W46" s="81">
        <f>IFERROR(Tabela11[[#This Row],[Lucro]]*1/Tabela11[[#This Row],[Capital total]],"")</f>
        <v/>
      </c>
      <c r="X46" s="82">
        <f>Tabela11[[#This Row],[Lucro]]-C45</f>
        <v/>
      </c>
      <c r="Y46" s="65">
        <f>PROPER(TEXT(DATE(2024,MONTH(Tabela11[[#This Row],[Data]]),1),"mmmm"))</f>
        <v/>
      </c>
      <c r="Z46" s="65">
        <f>YEAR(Tabela11[[#This Row],[Data]])</f>
        <v/>
      </c>
      <c r="AA46" s="78">
        <f>Tabela11[[#This Row],[Capital investido]]-A45</f>
        <v/>
      </c>
    </row>
    <row r="47">
      <c r="A47" s="77" t="n">
        <v>143.9608000622061</v>
      </c>
      <c r="B47" s="78" t="n">
        <v>141.6449464208558</v>
      </c>
      <c r="C47" s="78" t="n">
        <v>-2.315853641350282</v>
      </c>
      <c r="D47" s="78" t="n">
        <v>2.18</v>
      </c>
      <c r="E47" s="78" t="n"/>
      <c r="F47" s="78" t="n">
        <v>141.6449464208558</v>
      </c>
      <c r="G47" s="78" t="inlineStr">
        <is>
          <t>-</t>
        </is>
      </c>
      <c r="H47" s="78" t="n">
        <v>41.15080006220612</v>
      </c>
      <c r="I47" s="78" t="n"/>
      <c r="J47" s="78" t="n">
        <v>12.03</v>
      </c>
      <c r="K47" s="78" t="n">
        <v>38.69414635864973</v>
      </c>
      <c r="L47" s="78" t="n">
        <v>27.38999999999999</v>
      </c>
      <c r="M47" s="78" t="n">
        <v>1.969999999999999</v>
      </c>
      <c r="N47" s="78" t="n">
        <v>2.180000000000007</v>
      </c>
      <c r="O47" s="78" t="n">
        <v>6.419999999999987</v>
      </c>
      <c r="P47" s="78" t="n">
        <v>10.63999999999999</v>
      </c>
      <c r="Q47" s="79" t="inlineStr">
        <is>
          <t>-</t>
        </is>
      </c>
      <c r="R47" s="79" t="inlineStr">
        <is>
          <t>-</t>
        </is>
      </c>
      <c r="S47" s="79" t="inlineStr">
        <is>
          <t>-</t>
        </is>
      </c>
      <c r="T47" s="80" t="n">
        <v>0.01770561830260698</v>
      </c>
      <c r="U47" s="16" t="inlineStr">
        <is>
          <t>26/02/2025</t>
        </is>
      </c>
      <c r="V47" s="4" t="inlineStr">
        <is>
          <t>20:08:28</t>
        </is>
      </c>
      <c r="W47" s="81">
        <f>IFERROR(Tabela11[[#This Row],[Lucro]]*1/Tabela11[[#This Row],[Capital total]],"")</f>
        <v/>
      </c>
      <c r="X47" s="82">
        <f>Tabela11[[#This Row],[Lucro]]-C46</f>
        <v/>
      </c>
      <c r="Y47" s="65">
        <f>PROPER(TEXT(DATE(2024,MONTH(Tabela11[[#This Row],[Data]]),1),"mmmm"))</f>
        <v/>
      </c>
      <c r="Z47" s="65">
        <f>YEAR(Tabela11[[#This Row],[Data]])</f>
        <v/>
      </c>
      <c r="AA47" s="78">
        <f>Tabela11[[#This Row],[Capital investido]]-A46</f>
        <v/>
      </c>
    </row>
    <row r="48">
      <c r="A48" s="77" t="n">
        <v>143.9608000622061</v>
      </c>
      <c r="B48" s="78" t="n">
        <v>141.6096714587643</v>
      </c>
      <c r="C48" s="78" t="n">
        <v>-2.351128603441835</v>
      </c>
      <c r="D48" s="78" t="n">
        <v>2.18</v>
      </c>
      <c r="E48" s="78" t="n"/>
      <c r="F48" s="78" t="n">
        <v>141.6096714587643</v>
      </c>
      <c r="G48" s="78" t="inlineStr">
        <is>
          <t>-</t>
        </is>
      </c>
      <c r="H48" s="78" t="n">
        <v>41.15080006220612</v>
      </c>
      <c r="I48" s="78" t="n"/>
      <c r="J48" s="78" t="n">
        <v>11.84</v>
      </c>
      <c r="K48" s="78" t="n">
        <v>39.23887139655818</v>
      </c>
      <c r="L48" s="78" t="n">
        <v>27.24000000000001</v>
      </c>
      <c r="M48" s="78" t="n">
        <v>1.969999999999999</v>
      </c>
      <c r="N48" s="78" t="n">
        <v>2.180000000000007</v>
      </c>
      <c r="O48" s="78" t="n">
        <v>6.419999999999987</v>
      </c>
      <c r="P48" s="78" t="n">
        <v>10.40000000000001</v>
      </c>
      <c r="Q48" s="79" t="inlineStr">
        <is>
          <t>-</t>
        </is>
      </c>
      <c r="R48" s="79" t="inlineStr">
        <is>
          <t>-</t>
        </is>
      </c>
      <c r="S48" s="79" t="inlineStr">
        <is>
          <t>-</t>
        </is>
      </c>
      <c r="T48" s="80" t="n">
        <v>0.01770120893234554</v>
      </c>
      <c r="U48" s="16" t="inlineStr">
        <is>
          <t>28/02/2025</t>
        </is>
      </c>
      <c r="V48" s="4" t="inlineStr">
        <is>
          <t>19:22:38</t>
        </is>
      </c>
      <c r="W48" s="81">
        <f>IFERROR(Tabela11[[#This Row],[Lucro]]*1/Tabela11[[#This Row],[Capital total]],"")</f>
        <v/>
      </c>
      <c r="X48" s="82">
        <f>Tabela11[[#This Row],[Lucro]]-C47</f>
        <v/>
      </c>
      <c r="Y48" s="65">
        <f>PROPER(TEXT(DATE(2024,MONTH(Tabela11[[#This Row],[Data]]),1),"mmmm"))</f>
        <v/>
      </c>
      <c r="Z48" s="65">
        <f>YEAR(Tabela11[[#This Row],[Data]])</f>
        <v/>
      </c>
      <c r="AA48" s="78">
        <f>Tabela11[[#This Row],[Capital investido]]-A47</f>
        <v/>
      </c>
    </row>
    <row r="49">
      <c r="A49" s="77" t="n">
        <v>144.1208000622061</v>
      </c>
      <c r="B49" s="78" t="n">
        <v>140.4196714587643</v>
      </c>
      <c r="C49" s="78" t="n">
        <v>-3.701128603441844</v>
      </c>
      <c r="D49" s="78" t="n">
        <v>2.18</v>
      </c>
      <c r="E49" s="78" t="n"/>
      <c r="F49" s="78" t="n">
        <v>140.4196714587643</v>
      </c>
      <c r="G49" s="78" t="n">
        <v>1.527624983333333</v>
      </c>
      <c r="H49" s="78" t="n">
        <v>41.30080006220609</v>
      </c>
      <c r="I49" s="78" t="n"/>
      <c r="J49" s="78" t="n">
        <v>11.84</v>
      </c>
      <c r="K49" s="78" t="n">
        <v>39.23887139655818</v>
      </c>
      <c r="L49" s="78" t="n">
        <v>27.24000000000001</v>
      </c>
      <c r="M49" s="78" t="n">
        <v>1.969999999999999</v>
      </c>
      <c r="N49" s="78" t="n">
        <v>2.180000000000007</v>
      </c>
      <c r="O49" s="78" t="n">
        <v>6.430000000000007</v>
      </c>
      <c r="P49" s="78" t="n">
        <v>10.40000000000001</v>
      </c>
      <c r="Q49" s="79" t="inlineStr">
        <is>
          <t>-</t>
        </is>
      </c>
      <c r="R49" s="79" t="inlineStr">
        <is>
          <t>-</t>
        </is>
      </c>
      <c r="S49" s="79" t="inlineStr">
        <is>
          <t>-</t>
        </is>
      </c>
      <c r="T49" s="80" t="n">
        <v>0.01755245893234554</v>
      </c>
      <c r="U49" s="16" t="inlineStr">
        <is>
          <t>01/03/2025</t>
        </is>
      </c>
      <c r="V49" s="4" t="inlineStr">
        <is>
          <t>19:22:21</t>
        </is>
      </c>
      <c r="W49" s="81">
        <f>IFERROR(Tabela11[[#This Row],[Lucro]]*1/Tabela11[[#This Row],[Capital total]],"")</f>
        <v/>
      </c>
      <c r="X49" s="82">
        <f>Tabela11[[#This Row],[Lucro]]-C48</f>
        <v/>
      </c>
      <c r="Y49" s="65">
        <f>PROPER(TEXT(DATE(2024,MONTH(Tabela11[[#This Row],[Data]]),1),"mmmm"))</f>
        <v/>
      </c>
      <c r="Z49" s="65">
        <f>YEAR(Tabela11[[#This Row],[Data]])</f>
        <v/>
      </c>
      <c r="AA49" s="78">
        <f>Tabela11[[#This Row],[Capital investido]]-A48</f>
        <v/>
      </c>
    </row>
    <row r="50">
      <c r="A50" s="77" t="n">
        <v>144.1208000622061</v>
      </c>
      <c r="B50" s="78" t="n">
        <v>49.95627668201853</v>
      </c>
      <c r="C50" s="78" t="n">
        <v>-94.16452338018759</v>
      </c>
      <c r="D50" s="78" t="n">
        <v>2.18</v>
      </c>
      <c r="E50" s="78" t="n"/>
      <c r="F50" s="78" t="n">
        <v>49.95627668201853</v>
      </c>
      <c r="G50" s="78" t="n">
        <v>89.69926831666668</v>
      </c>
      <c r="H50" s="78" t="n">
        <v>41.30080006220611</v>
      </c>
      <c r="I50" s="78" t="n"/>
      <c r="J50" s="78" t="n">
        <v>11.73</v>
      </c>
      <c r="K50" s="78" t="n">
        <v>38.66547661981244</v>
      </c>
      <c r="L50" s="78" t="n">
        <v>27</v>
      </c>
      <c r="M50" s="78" t="n">
        <v>1.969999999999999</v>
      </c>
      <c r="N50" s="78" t="n">
        <v>2.18</v>
      </c>
      <c r="O50" s="78" t="n">
        <v>6.43</v>
      </c>
      <c r="P50" s="78" t="n">
        <v>10.32</v>
      </c>
      <c r="Q50" s="79" t="inlineStr">
        <is>
          <t>-</t>
        </is>
      </c>
      <c r="R50" s="79" t="inlineStr">
        <is>
          <t>-</t>
        </is>
      </c>
      <c r="S50" s="79" t="inlineStr">
        <is>
          <t>-</t>
        </is>
      </c>
      <c r="T50" s="80" t="n">
        <v>0.006244534585252317</v>
      </c>
      <c r="U50" s="16" t="inlineStr">
        <is>
          <t>05/03/2025</t>
        </is>
      </c>
      <c r="V50" s="4" t="inlineStr">
        <is>
          <t>13:40:43</t>
        </is>
      </c>
      <c r="W50" s="81">
        <f>IFERROR(Tabela11[[#This Row],[Lucro]]*1/Tabela11[[#This Row],[Capital total]],"")</f>
        <v/>
      </c>
      <c r="X50" s="82">
        <f>Tabela11[[#This Row],[Lucro]]-C49</f>
        <v/>
      </c>
      <c r="Y50" s="65">
        <f>PROPER(TEXT(DATE(2024,MONTH(Tabela11[[#This Row],[Data]]),1),"mmmm"))</f>
        <v/>
      </c>
      <c r="Z50" s="65">
        <f>YEAR(Tabela11[[#This Row],[Data]])</f>
        <v/>
      </c>
      <c r="AA50" s="78">
        <f>Tabela11[[#This Row],[Capital investido]]-A49</f>
        <v/>
      </c>
    </row>
    <row r="51">
      <c r="A51" s="77" t="n">
        <v>144.1208000622061</v>
      </c>
      <c r="B51" s="78" t="n">
        <v>50.34294834989318</v>
      </c>
      <c r="C51" s="78" t="n">
        <v>-93.77785171231294</v>
      </c>
      <c r="D51" s="78" t="n">
        <v>2.18</v>
      </c>
      <c r="E51" s="78" t="n"/>
      <c r="F51" s="78" t="n">
        <v>50.34294834989318</v>
      </c>
      <c r="G51" s="78" t="n">
        <v>89.69926831666668</v>
      </c>
      <c r="H51" s="78" t="n">
        <v>41.30080006220611</v>
      </c>
      <c r="I51" s="78" t="n"/>
      <c r="J51" s="78" t="n">
        <v>11.92</v>
      </c>
      <c r="K51" s="78" t="n">
        <v>38.71214828768709</v>
      </c>
      <c r="L51" s="78" t="n">
        <v>26.97</v>
      </c>
      <c r="M51" s="78" t="n">
        <v>1.969999999999999</v>
      </c>
      <c r="N51" s="78" t="n">
        <v>2.18</v>
      </c>
      <c r="O51" s="78" t="n">
        <v>6.43</v>
      </c>
      <c r="P51" s="78" t="n">
        <v>10.5</v>
      </c>
      <c r="Q51" s="79" t="inlineStr">
        <is>
          <t>-</t>
        </is>
      </c>
      <c r="R51" s="79" t="inlineStr">
        <is>
          <t>-</t>
        </is>
      </c>
      <c r="S51" s="79" t="inlineStr">
        <is>
          <t>-</t>
        </is>
      </c>
      <c r="T51" s="80" t="n">
        <v>0.006292868543736647</v>
      </c>
      <c r="U51" s="16" t="inlineStr">
        <is>
          <t>05/03/2025</t>
        </is>
      </c>
      <c r="V51" s="4" t="inlineStr">
        <is>
          <t>18:06:09</t>
        </is>
      </c>
      <c r="W51" s="81">
        <f>IFERROR(Tabela11[[#This Row],[Lucro]]*1/Tabela11[[#This Row],[Capital total]],"")</f>
        <v/>
      </c>
      <c r="X51" s="82">
        <f>Tabela11[[#This Row],[Lucro]]-C50</f>
        <v/>
      </c>
      <c r="Y51" s="65">
        <f>PROPER(TEXT(DATE(2024,MONTH(Tabela11[[#This Row],[Data]]),1),"mmmm"))</f>
        <v/>
      </c>
      <c r="Z51" s="65">
        <f>YEAR(Tabela11[[#This Row],[Data]])</f>
        <v/>
      </c>
      <c r="AA51" s="78">
        <f>Tabela11[[#This Row],[Capital investido]]-A50</f>
        <v/>
      </c>
    </row>
    <row r="52">
      <c r="A52" s="77" t="n">
        <v>144.1208000622061</v>
      </c>
      <c r="B52" s="78" t="n">
        <v>221.2609181283078</v>
      </c>
      <c r="C52" s="78" t="n">
        <v>77.14011806610171</v>
      </c>
      <c r="D52" s="78" t="n">
        <v>2.18</v>
      </c>
      <c r="E52" s="78" t="n"/>
      <c r="F52" s="78" t="n">
        <v>221.2609181283078</v>
      </c>
      <c r="G52" s="78" t="n">
        <v>0</v>
      </c>
      <c r="H52" s="78" t="n">
        <v>41.30080006220612</v>
      </c>
      <c r="I52" s="78" t="n"/>
      <c r="J52" s="78" t="n">
        <v>12.03999999999999</v>
      </c>
      <c r="K52" s="78" t="n">
        <v>38.43011806610167</v>
      </c>
      <c r="L52" s="78" t="n">
        <v>27.06</v>
      </c>
      <c r="M52" s="78" t="n">
        <v>1.969999999999999</v>
      </c>
      <c r="N52" s="78" t="n">
        <v>2.180000000000007</v>
      </c>
      <c r="O52" s="78" t="n">
        <v>6.430000000000007</v>
      </c>
      <c r="P52" s="78" t="n">
        <v>10.63999999999999</v>
      </c>
      <c r="Q52" s="79" t="inlineStr">
        <is>
          <t>-</t>
        </is>
      </c>
      <c r="R52" s="79" t="inlineStr">
        <is>
          <t>-</t>
        </is>
      </c>
      <c r="S52" s="79" t="inlineStr">
        <is>
          <t>-</t>
        </is>
      </c>
      <c r="T52" s="80" t="n">
        <v>0.02765761476603847</v>
      </c>
      <c r="U52" s="16" t="inlineStr">
        <is>
          <t>06/03/2025</t>
        </is>
      </c>
      <c r="V52" s="4" t="inlineStr">
        <is>
          <t>21:34:46</t>
        </is>
      </c>
      <c r="W52" s="81">
        <f>IFERROR(Tabela11[[#This Row],[Lucro]]*1/Tabela11[[#This Row],[Capital total]],"")</f>
        <v/>
      </c>
      <c r="X52" s="82">
        <f>Tabela11[[#This Row],[Lucro]]-C51</f>
        <v/>
      </c>
      <c r="Y52" s="65">
        <f>PROPER(TEXT(DATE(2024,MONTH(Tabela11[[#This Row],[Data]]),1),"mmmm"))</f>
        <v/>
      </c>
      <c r="Z52" s="65">
        <f>YEAR(Tabela11[[#This Row],[Data]])</f>
        <v/>
      </c>
      <c r="AA52" s="78">
        <f>Tabela11[[#This Row],[Capital investido]]-A51</f>
        <v/>
      </c>
    </row>
    <row r="53">
      <c r="A53" s="77" t="n">
        <v>261.7081801655472</v>
      </c>
      <c r="B53" s="78" t="n">
        <v>259.2496270168049</v>
      </c>
      <c r="C53" s="78" t="n">
        <v>-2.458553148742232</v>
      </c>
      <c r="D53" s="78" t="n">
        <v>2.18</v>
      </c>
      <c r="E53" s="78" t="n"/>
      <c r="F53" s="78" t="n">
        <v>259.2496270168049</v>
      </c>
      <c r="G53" s="78" t="n">
        <v>0</v>
      </c>
      <c r="H53" s="78" t="n">
        <v>65.67818016554713</v>
      </c>
      <c r="I53" s="78" t="n"/>
      <c r="J53" s="78" t="n">
        <v>46.79000000000002</v>
      </c>
      <c r="K53" s="78" t="n">
        <v>57.86144685125777</v>
      </c>
      <c r="L53" s="78" t="n">
        <v>45.25</v>
      </c>
      <c r="M53" s="78" t="n">
        <v>1.970000000000027</v>
      </c>
      <c r="N53" s="78" t="n">
        <v>2.180000000000007</v>
      </c>
      <c r="O53" s="78" t="n">
        <v>6.430000000000007</v>
      </c>
      <c r="P53" s="78" t="n">
        <v>10.69999999999999</v>
      </c>
      <c r="Q53" s="79" t="inlineStr">
        <is>
          <t>-</t>
        </is>
      </c>
      <c r="R53" s="79" t="inlineStr">
        <is>
          <t>-</t>
        </is>
      </c>
      <c r="S53" s="79" t="inlineStr">
        <is>
          <t>-</t>
        </is>
      </c>
      <c r="T53" s="80" t="n">
        <v>0.03240620337710061</v>
      </c>
      <c r="U53" s="16" t="inlineStr">
        <is>
          <t>07/03/2025</t>
        </is>
      </c>
      <c r="V53" s="4" t="inlineStr">
        <is>
          <t>19:01:53</t>
        </is>
      </c>
      <c r="W53" s="81">
        <f>IFERROR(Tabela11[[#This Row],[Lucro]]*1/Tabela11[[#This Row],[Capital total]],"")</f>
        <v/>
      </c>
      <c r="X53" s="82">
        <f>Tabela11[[#This Row],[Lucro]]-C52</f>
        <v/>
      </c>
      <c r="Y53" s="65">
        <f>PROPER(TEXT(DATE(2024,MONTH(Tabela11[[#This Row],[Data]]),1),"mmmm"))</f>
        <v/>
      </c>
      <c r="Z53" s="65">
        <f>YEAR(Tabela11[[#This Row],[Data]])</f>
        <v/>
      </c>
      <c r="AA53" s="78">
        <f>Tabela11[[#This Row],[Capital investido]]-A52</f>
        <v/>
      </c>
    </row>
    <row r="54">
      <c r="A54" s="77" t="n">
        <v>261.7081801655472</v>
      </c>
      <c r="B54" s="78" t="n">
        <v>248.2496270168049</v>
      </c>
      <c r="C54" s="78" t="n">
        <v>-13.45855314874223</v>
      </c>
      <c r="D54" s="78" t="n">
        <v>2.18</v>
      </c>
      <c r="E54" s="78" t="n"/>
      <c r="F54" s="78" t="n">
        <v>248.2496270168049</v>
      </c>
      <c r="G54" s="78" t="n">
        <v>11.28408233333333</v>
      </c>
      <c r="H54" s="78" t="n">
        <v>65.67818016554713</v>
      </c>
      <c r="I54" s="78" t="n"/>
      <c r="J54" s="78" t="n">
        <v>46.79000000000002</v>
      </c>
      <c r="K54" s="78" t="n">
        <v>57.86144685125777</v>
      </c>
      <c r="L54" s="78" t="n">
        <v>45.25</v>
      </c>
      <c r="M54" s="78" t="n">
        <v>1.969999999999999</v>
      </c>
      <c r="N54" s="78" t="n">
        <v>2.180000000000007</v>
      </c>
      <c r="O54" s="78" t="n">
        <v>6.430000000000007</v>
      </c>
      <c r="P54" s="78" t="n">
        <v>10.69999999999999</v>
      </c>
      <c r="Q54" s="79" t="inlineStr">
        <is>
          <t>-</t>
        </is>
      </c>
      <c r="R54" s="79" t="inlineStr">
        <is>
          <t>-</t>
        </is>
      </c>
      <c r="S54" s="79" t="inlineStr">
        <is>
          <t>-</t>
        </is>
      </c>
      <c r="T54" s="80" t="n">
        <v>0.03103120337710061</v>
      </c>
      <c r="U54" s="16" t="inlineStr">
        <is>
          <t>08/03/2025</t>
        </is>
      </c>
      <c r="V54" s="4" t="inlineStr">
        <is>
          <t>17:19:01</t>
        </is>
      </c>
      <c r="W54" s="81">
        <f>IFERROR(Tabela11[[#This Row],[Lucro]]*1/Tabela11[[#This Row],[Capital total]],"")</f>
        <v/>
      </c>
      <c r="X54" s="82">
        <f>Tabela11[[#This Row],[Lucro]]-C53</f>
        <v/>
      </c>
      <c r="Y54" s="65">
        <f>PROPER(TEXT(DATE(2024,MONTH(Tabela11[[#This Row],[Data]]),1),"mmmm"))</f>
        <v/>
      </c>
      <c r="Z54" s="65">
        <f>YEAR(Tabela11[[#This Row],[Data]])</f>
        <v/>
      </c>
      <c r="AA54" s="78">
        <f>Tabela11[[#This Row],[Capital investido]]-A53</f>
        <v/>
      </c>
    </row>
    <row r="55">
      <c r="A55" s="85" t="n">
        <v>261.7081801655472</v>
      </c>
      <c r="B55" s="86" t="n">
        <v>248.2806202927559</v>
      </c>
      <c r="C55" s="86" t="n">
        <v>-13.42755987279122</v>
      </c>
      <c r="D55" s="86" t="n">
        <v>3.43</v>
      </c>
      <c r="E55" s="86" t="n"/>
      <c r="F55" s="86" t="n">
        <v>248.2806202927559</v>
      </c>
      <c r="G55" s="87" t="inlineStr">
        <is>
          <t>-</t>
        </is>
      </c>
      <c r="H55" s="86" t="n">
        <v>65.67818016554713</v>
      </c>
      <c r="I55" s="86" t="n"/>
      <c r="J55" s="86" t="n">
        <v>46.79000000000002</v>
      </c>
      <c r="K55" s="86" t="n">
        <v>57.89244012720877</v>
      </c>
      <c r="L55" s="86" t="n">
        <v>45.25</v>
      </c>
      <c r="M55" s="86" t="n">
        <v>1.969999999999999</v>
      </c>
      <c r="N55" s="86" t="n">
        <v>2.180000000000007</v>
      </c>
      <c r="O55" s="86" t="n">
        <v>6.430000000000007</v>
      </c>
      <c r="P55" s="86" t="n">
        <v>10.69999999999999</v>
      </c>
      <c r="Q55" s="86" t="n">
        <v>21</v>
      </c>
      <c r="R55" s="79" t="inlineStr">
        <is>
          <t>-</t>
        </is>
      </c>
      <c r="S55" s="79" t="inlineStr">
        <is>
          <t>-</t>
        </is>
      </c>
      <c r="T55" s="80" t="n">
        <v>0.03103507753659449</v>
      </c>
      <c r="U55" s="17" t="inlineStr">
        <is>
          <t>09/03/2025</t>
        </is>
      </c>
      <c r="V55" s="5" t="inlineStr">
        <is>
          <t>20:31:39</t>
        </is>
      </c>
      <c r="W55" s="88">
        <f>IFERROR(Tabela11[[#This Row],[Lucro]]*1/Tabela11[[#This Row],[Capital total]],"")</f>
        <v/>
      </c>
      <c r="X55" s="82">
        <f>Tabela11[[#This Row],[Lucro]]-C54</f>
        <v/>
      </c>
      <c r="Y55" s="65">
        <f>PROPER(TEXT(DATE(2024,MONTH(Tabela11[[#This Row],[Data]]),1),"mmmm"))</f>
        <v/>
      </c>
      <c r="Z55" s="65">
        <f>YEAR(Tabela11[[#This Row],[Data]])</f>
        <v/>
      </c>
      <c r="AA55" s="78">
        <f>Tabela11[[#This Row],[Capital investido]]-A54</f>
        <v/>
      </c>
    </row>
    <row r="56">
      <c r="A56" s="85" t="n">
        <v>261.7081801655472</v>
      </c>
      <c r="B56" s="86" t="n">
        <v>248.0834786539176</v>
      </c>
      <c r="C56" s="86" t="n">
        <v>-13.62470151162954</v>
      </c>
      <c r="D56" s="86" t="n">
        <v>3.43</v>
      </c>
      <c r="E56" s="86" t="n"/>
      <c r="F56" s="86" t="n">
        <v>248.0834786539176</v>
      </c>
      <c r="G56" s="87" t="inlineStr">
        <is>
          <t>-</t>
        </is>
      </c>
      <c r="H56" s="86" t="n">
        <v>65.67818016554713</v>
      </c>
      <c r="I56" s="86" t="n"/>
      <c r="J56" s="86" t="n">
        <v>46.48000000000002</v>
      </c>
      <c r="K56" s="86" t="n">
        <v>58.54529848837046</v>
      </c>
      <c r="L56" s="86" t="n">
        <v>45.19999999999999</v>
      </c>
      <c r="M56" s="86" t="n">
        <v>1.969999999999999</v>
      </c>
      <c r="N56" s="86" t="n">
        <v>2.180000000000007</v>
      </c>
      <c r="O56" s="86" t="n">
        <v>6.430000000000007</v>
      </c>
      <c r="P56" s="86" t="n">
        <v>10.47000000000003</v>
      </c>
      <c r="Q56" s="86" t="n">
        <v>20.74</v>
      </c>
      <c r="R56" s="79" t="inlineStr">
        <is>
          <t>-</t>
        </is>
      </c>
      <c r="S56" s="79" t="inlineStr">
        <is>
          <t>-</t>
        </is>
      </c>
      <c r="T56" s="80" t="n">
        <v>0.0310104348317397</v>
      </c>
      <c r="U56" s="17" t="inlineStr">
        <is>
          <t>10/03/2025</t>
        </is>
      </c>
      <c r="V56" s="5" t="inlineStr">
        <is>
          <t>18:01:06</t>
        </is>
      </c>
      <c r="W56" s="88">
        <f>IFERROR(Tabela11[[#This Row],[Lucro]]*1/Tabela11[[#This Row],[Capital total]],"")</f>
        <v/>
      </c>
      <c r="X56" s="82">
        <f>Tabela11[[#This Row],[Lucro]]-C55</f>
        <v/>
      </c>
      <c r="Y56" s="65">
        <f>PROPER(TEXT(DATE(2024,MONTH(Tabela11[[#This Row],[Data]]),1),"mmmm"))</f>
        <v/>
      </c>
      <c r="Z56" s="65">
        <f>YEAR(Tabela11[[#This Row],[Data]])</f>
        <v/>
      </c>
      <c r="AA56" s="78">
        <f>Tabela11[[#This Row],[Capital investido]]-A55</f>
        <v/>
      </c>
    </row>
    <row r="57">
      <c r="A57" s="85" t="n">
        <v>261.7081801655472</v>
      </c>
      <c r="B57" s="86" t="n">
        <v>246.9425743089371</v>
      </c>
      <c r="C57" s="86" t="n">
        <v>-14.76560585661009</v>
      </c>
      <c r="D57" s="86" t="n">
        <v>3.43</v>
      </c>
      <c r="E57" s="86" t="n"/>
      <c r="F57" s="86" t="n">
        <v>246.9425743089371</v>
      </c>
      <c r="G57" s="87" t="inlineStr">
        <is>
          <t>-</t>
        </is>
      </c>
      <c r="H57" s="86" t="n">
        <v>65.67818016554713</v>
      </c>
      <c r="I57" s="86" t="n"/>
      <c r="J57" s="86" t="n">
        <v>45.94999999999999</v>
      </c>
      <c r="K57" s="86" t="n">
        <v>58.10439414338987</v>
      </c>
      <c r="L57" s="86" t="n">
        <v>45.19999999999999</v>
      </c>
      <c r="M57" s="86" t="n">
        <v>1.969999999999999</v>
      </c>
      <c r="N57" s="86" t="n">
        <v>2.180000000000007</v>
      </c>
      <c r="O57" s="86" t="n">
        <v>6.43000000000001</v>
      </c>
      <c r="P57" s="86" t="n">
        <v>10.39999999999998</v>
      </c>
      <c r="Q57" s="86" t="n">
        <v>20.64</v>
      </c>
      <c r="R57" s="79" t="inlineStr">
        <is>
          <t>-</t>
        </is>
      </c>
      <c r="S57" s="79" t="inlineStr">
        <is>
          <t>-</t>
        </is>
      </c>
      <c r="T57" s="80" t="n">
        <v>0.03086782178861714</v>
      </c>
      <c r="U57" s="17" t="inlineStr">
        <is>
          <t>11/03/2025</t>
        </is>
      </c>
      <c r="V57" s="5" t="inlineStr">
        <is>
          <t>18:04:34</t>
        </is>
      </c>
      <c r="W57" s="88">
        <f>IFERROR(Tabela11[[#This Row],[Lucro]]*1/Tabela11[[#This Row],[Capital total]],"")</f>
        <v/>
      </c>
      <c r="X57" s="82">
        <f>Tabela11[[#This Row],[Lucro]]-C56</f>
        <v/>
      </c>
      <c r="Y57" s="65">
        <f>PROPER(TEXT(DATE(2024,MONTH(Tabela11[[#This Row],[Data]]),1),"mmmm"))</f>
        <v/>
      </c>
      <c r="Z57" s="65">
        <f>YEAR(Tabela11[[#This Row],[Data]])</f>
        <v/>
      </c>
      <c r="AA57" s="78">
        <f>Tabela11[[#This Row],[Capital investido]]-A56</f>
        <v/>
      </c>
    </row>
    <row r="58">
      <c r="A58" s="85" t="n">
        <v>276.5981801655471</v>
      </c>
      <c r="B58" s="86" t="n">
        <v>261.9245782132235</v>
      </c>
      <c r="C58" s="86" t="n">
        <v>-14.67360195232359</v>
      </c>
      <c r="D58" s="86" t="n">
        <v>3.43</v>
      </c>
      <c r="E58" s="86" t="n"/>
      <c r="F58" s="86" t="n">
        <v>261.9245782132235</v>
      </c>
      <c r="G58" s="87" t="inlineStr">
        <is>
          <t>-</t>
        </is>
      </c>
      <c r="H58" s="86" t="n">
        <v>65.72818016554714</v>
      </c>
      <c r="I58" s="86" t="n"/>
      <c r="J58" s="86" t="n">
        <v>45.94999999999999</v>
      </c>
      <c r="K58" s="86" t="n">
        <v>58.08639804767643</v>
      </c>
      <c r="L58" s="86" t="n">
        <v>45.19999999999999</v>
      </c>
      <c r="M58" s="86" t="n">
        <v>1.970000000000027</v>
      </c>
      <c r="N58" s="86" t="n">
        <v>2.180000000000007</v>
      </c>
      <c r="O58" s="86" t="n">
        <v>6.439999999999998</v>
      </c>
      <c r="P58" s="86" t="n">
        <v>10.39999999999998</v>
      </c>
      <c r="Q58" s="86" t="n">
        <v>20.64</v>
      </c>
      <c r="R58" s="79" t="inlineStr">
        <is>
          <t>-</t>
        </is>
      </c>
      <c r="S58" s="79" t="inlineStr">
        <is>
          <t>-</t>
        </is>
      </c>
      <c r="T58" s="80" t="n">
        <v>0.03274057227665294</v>
      </c>
      <c r="U58" s="17" t="inlineStr">
        <is>
          <t>11/03/2025</t>
        </is>
      </c>
      <c r="V58" s="5" t="inlineStr">
        <is>
          <t>22:54:48</t>
        </is>
      </c>
      <c r="W58" s="88">
        <f>IFERROR(Tabela11[[#This Row],[Lucro]]*1/Tabela11[[#This Row],[Capital total]],"")</f>
        <v/>
      </c>
      <c r="X58" s="82">
        <f>Tabela11[[#This Row],[Lucro]]-C57</f>
        <v/>
      </c>
      <c r="Y58" s="65">
        <f>PROPER(TEXT(DATE(2024,MONTH(Tabela11[[#This Row],[Data]]),1),"mmmm"))</f>
        <v/>
      </c>
      <c r="Z58" s="65">
        <f>YEAR(Tabela11[[#This Row],[Data]])</f>
        <v/>
      </c>
      <c r="AA58" s="78">
        <f>Tabela11[[#This Row],[Capital investido]]-A57</f>
        <v/>
      </c>
    </row>
    <row r="59">
      <c r="A59" s="85" t="n">
        <v>276.5981801655471</v>
      </c>
      <c r="B59" s="86" t="n">
        <v>262.0846020727521</v>
      </c>
      <c r="C59" s="86" t="n">
        <v>-14.51357809279493</v>
      </c>
      <c r="D59" s="86" t="n">
        <v>3.43</v>
      </c>
      <c r="E59" s="86" t="n"/>
      <c r="F59" s="86" t="n">
        <v>262.0846020727521</v>
      </c>
      <c r="G59" s="87" t="inlineStr">
        <is>
          <t>-</t>
        </is>
      </c>
      <c r="H59" s="86" t="n">
        <v>65.72818016554714</v>
      </c>
      <c r="I59" s="86" t="n"/>
      <c r="J59" s="86" t="n">
        <v>46.06</v>
      </c>
      <c r="K59" s="86" t="n">
        <v>57.97642190720507</v>
      </c>
      <c r="L59" s="86" t="n">
        <v>45.19999999999999</v>
      </c>
      <c r="M59" s="86" t="n">
        <v>1.970000000000027</v>
      </c>
      <c r="N59" s="86" t="n">
        <v>2.180000000000007</v>
      </c>
      <c r="O59" s="86" t="n">
        <v>6.439999999999998</v>
      </c>
      <c r="P59" s="86" t="n">
        <v>10.5</v>
      </c>
      <c r="Q59" s="86" t="n">
        <v>20.7</v>
      </c>
      <c r="R59" s="79" t="inlineStr">
        <is>
          <t>-</t>
        </is>
      </c>
      <c r="S59" s="79" t="inlineStr">
        <is>
          <t>-</t>
        </is>
      </c>
      <c r="T59" s="80" t="n">
        <v>0.03276057525909401</v>
      </c>
      <c r="U59" s="17" t="inlineStr">
        <is>
          <t>12/03/2025</t>
        </is>
      </c>
      <c r="V59" s="5" t="inlineStr">
        <is>
          <t>21:31:57</t>
        </is>
      </c>
      <c r="W59" s="88">
        <f>IFERROR(Tabela11[[#This Row],[Lucro]]*1/Tabela11[[#This Row],[Capital total]],"")</f>
        <v/>
      </c>
      <c r="X59" s="82">
        <f>Tabela11[[#This Row],[Lucro]]-C58</f>
        <v/>
      </c>
      <c r="Y59" s="65">
        <f>PROPER(TEXT(DATE(2024,MONTH(Tabela11[[#This Row],[Data]]),1),"mmmm"))</f>
        <v/>
      </c>
      <c r="Z59" s="65">
        <f>YEAR(Tabela11[[#This Row],[Data]])</f>
        <v/>
      </c>
      <c r="AA59" s="78">
        <f>Tabela11[[#This Row],[Capital investido]]-A58</f>
        <v/>
      </c>
    </row>
    <row r="60">
      <c r="A60" s="85" t="n">
        <v>265.3681801655471</v>
      </c>
      <c r="B60" s="86" t="n">
        <v>252.7666016389426</v>
      </c>
      <c r="C60" s="86" t="n">
        <v>-12.60157852660454</v>
      </c>
      <c r="D60" s="86" t="n">
        <v>3.43</v>
      </c>
      <c r="E60" s="86" t="n"/>
      <c r="F60" s="86" t="n">
        <v>252.7666016389426</v>
      </c>
      <c r="G60" s="87" t="inlineStr">
        <is>
          <t>-</t>
        </is>
      </c>
      <c r="H60" s="86" t="n">
        <v>65.72818016554712</v>
      </c>
      <c r="I60" s="86" t="n"/>
      <c r="J60" s="86" t="n">
        <v>47.49999999999997</v>
      </c>
      <c r="K60" s="86" t="n">
        <v>57.97842147339546</v>
      </c>
      <c r="L60" s="86" t="n">
        <v>45.09999999999999</v>
      </c>
      <c r="M60" s="86" t="n">
        <v>1.969999999999999</v>
      </c>
      <c r="N60" s="86" t="n">
        <v>2.180000000000007</v>
      </c>
      <c r="O60" s="86" t="n">
        <v>6.440000000000026</v>
      </c>
      <c r="P60" s="86" t="n">
        <v>0</v>
      </c>
      <c r="Q60" s="86" t="n">
        <v>20.54</v>
      </c>
      <c r="R60" s="79" t="inlineStr">
        <is>
          <t>-</t>
        </is>
      </c>
      <c r="S60" s="79" t="inlineStr">
        <is>
          <t>-</t>
        </is>
      </c>
      <c r="T60" s="80" t="n">
        <v>0.03159582520486783</v>
      </c>
      <c r="U60" s="17" t="inlineStr">
        <is>
          <t>13/03/2025</t>
        </is>
      </c>
      <c r="V60" s="5" t="inlineStr">
        <is>
          <t>21:42:20</t>
        </is>
      </c>
      <c r="W60" s="88">
        <f>IFERROR(Tabela11[[#This Row],[Lucro]]*1/Tabela11[[#This Row],[Capital total]],"")</f>
        <v/>
      </c>
      <c r="X60" s="82">
        <f>Tabela11[[#This Row],[Lucro]]-C59</f>
        <v/>
      </c>
      <c r="Y60" s="65">
        <f>PROPER(TEXT(DATE(2024,MONTH(Tabela11[[#This Row],[Data]]),1),"mmmm"))</f>
        <v/>
      </c>
      <c r="Z60" s="65">
        <f>YEAR(Tabela11[[#This Row],[Data]])</f>
        <v/>
      </c>
      <c r="AA60" s="78">
        <f>Tabela11[[#This Row],[Capital investido]]-A59</f>
        <v/>
      </c>
    </row>
    <row r="61">
      <c r="A61" s="85" t="n">
        <v>284.4081801655471</v>
      </c>
      <c r="B61" s="86" t="n">
        <v>283.8468492345772</v>
      </c>
      <c r="C61" s="86" t="n">
        <v>-0.561330930969915</v>
      </c>
      <c r="D61" s="86" t="n">
        <v>3.43</v>
      </c>
      <c r="E61" s="86" t="n"/>
      <c r="F61" s="86" t="n">
        <v>283.8468492345772</v>
      </c>
      <c r="G61" s="87" t="inlineStr">
        <is>
          <t>-</t>
        </is>
      </c>
      <c r="H61" s="86" t="n">
        <v>65.79818016554714</v>
      </c>
      <c r="I61" s="86" t="n"/>
      <c r="J61" s="86" t="n">
        <v>49.90999999999997</v>
      </c>
      <c r="K61" s="86" t="n">
        <v>66.18866906903008</v>
      </c>
      <c r="L61" s="86" t="n">
        <v>54.30000000000001</v>
      </c>
      <c r="M61" s="86" t="n">
        <v>2.910000000000025</v>
      </c>
      <c r="N61" s="86" t="n">
        <v>2.180000000000007</v>
      </c>
      <c r="O61" s="86" t="n">
        <v>6.439999999999998</v>
      </c>
      <c r="P61" s="86" t="n">
        <v>0</v>
      </c>
      <c r="Q61" s="86" t="n">
        <v>20.65</v>
      </c>
      <c r="R61" s="79" t="inlineStr">
        <is>
          <t>-</t>
        </is>
      </c>
      <c r="S61" s="79" t="inlineStr">
        <is>
          <t>-</t>
        </is>
      </c>
      <c r="T61" s="80" t="n">
        <v>0.03548085615432215</v>
      </c>
      <c r="U61" s="17" t="inlineStr">
        <is>
          <t>14/03/2025</t>
        </is>
      </c>
      <c r="V61" s="5" t="inlineStr">
        <is>
          <t>18:19:06</t>
        </is>
      </c>
      <c r="W61" s="88">
        <f>IFERROR(Tabela11[[#This Row],[Lucro]]*1/Tabela11[[#This Row],[Capital total]],"")</f>
        <v/>
      </c>
      <c r="X61" s="82">
        <f>Tabela11[[#This Row],[Lucro]]-C60</f>
        <v/>
      </c>
      <c r="Y61" s="65">
        <f>PROPER(TEXT(DATE(2024,MONTH(Tabela11[[#This Row],[Data]]),1),"mmmm"))</f>
        <v/>
      </c>
      <c r="Z61" s="65">
        <f>YEAR(Tabela11[[#This Row],[Data]])</f>
        <v/>
      </c>
      <c r="AA61" s="78">
        <f>Tabela11[[#This Row],[Capital investido]]-A60</f>
        <v/>
      </c>
    </row>
    <row r="62" hidden="1" s="57">
      <c r="A62" s="85" t="n">
        <v>284.4581801655471</v>
      </c>
      <c r="B62" s="86" t="n">
        <v>284.0156634983682</v>
      </c>
      <c r="C62" s="86" t="n">
        <v>-0.4425166671789238</v>
      </c>
      <c r="D62" s="86" t="n">
        <v>3.43</v>
      </c>
      <c r="E62" s="86" t="n"/>
      <c r="F62" s="86" t="n">
        <v>284.0156634983682</v>
      </c>
      <c r="G62" s="87" t="inlineStr">
        <is>
          <t>-</t>
        </is>
      </c>
      <c r="H62" s="86" t="n">
        <v>65.83818016554716</v>
      </c>
      <c r="I62" s="86" t="n"/>
      <c r="J62" s="86" t="n">
        <v>49.91000000000003</v>
      </c>
      <c r="K62" s="86" t="n">
        <v>66.21748333282108</v>
      </c>
      <c r="L62" s="86" t="n">
        <v>54.30000000000001</v>
      </c>
      <c r="M62" s="86" t="n">
        <v>2.910000000000025</v>
      </c>
      <c r="N62" s="86" t="n">
        <v>2.180000000000007</v>
      </c>
      <c r="O62" s="86" t="n">
        <v>6.449999999999989</v>
      </c>
      <c r="P62" s="86" t="n">
        <v>0</v>
      </c>
      <c r="Q62" s="86" t="n">
        <v>20.65</v>
      </c>
      <c r="R62" s="79" t="inlineStr">
        <is>
          <t>-</t>
        </is>
      </c>
      <c r="S62" s="79" t="inlineStr">
        <is>
          <t>-</t>
        </is>
      </c>
      <c r="T62" s="80" t="n">
        <v>0.03550195793729603</v>
      </c>
      <c r="U62" s="17" t="n">
        <v>45732</v>
      </c>
      <c r="V62" s="5" t="inlineStr">
        <is>
          <t>21:49:06</t>
        </is>
      </c>
      <c r="W62" s="88">
        <f>IFERROR(Tabela11[[#This Row],[Lucro]]*1/Tabela11[[#This Row],[Capital total]],"")</f>
        <v/>
      </c>
      <c r="X62" s="82">
        <f>Tabela11[[#This Row],[Lucro]]-C61</f>
        <v/>
      </c>
      <c r="Y62" s="65">
        <f>PROPER(TEXT(DATE(2024,MONTH(Tabela11[[#This Row],[Data]]),1),"mmmm"))</f>
        <v/>
      </c>
      <c r="Z62" s="65">
        <f>YEAR(Tabela11[[#This Row],[Data]])</f>
        <v/>
      </c>
      <c r="AA62" s="78">
        <f>Tabela11[[#This Row],[Capital investido]]-A61</f>
        <v/>
      </c>
    </row>
    <row r="63">
      <c r="A63" s="77" t="n">
        <v>284.4581801655471</v>
      </c>
      <c r="B63" s="78" t="n">
        <v>283.3013433943441</v>
      </c>
      <c r="C63" s="78" t="n">
        <v>-1.156836771203036</v>
      </c>
      <c r="D63" s="78" t="n">
        <v>3.43</v>
      </c>
      <c r="E63" s="78" t="n"/>
      <c r="F63" s="78" t="n">
        <v>283.3013433943441</v>
      </c>
      <c r="G63" s="87" t="inlineStr">
        <is>
          <t>-</t>
        </is>
      </c>
      <c r="H63" s="78" t="n">
        <v>65.83818016554716</v>
      </c>
      <c r="I63" s="78" t="n"/>
      <c r="J63" s="78" t="n">
        <v>49.75</v>
      </c>
      <c r="K63" s="78" t="n">
        <v>65.60316322879697</v>
      </c>
      <c r="L63" s="78" t="n">
        <v>54.24000000000001</v>
      </c>
      <c r="M63" s="78" t="n">
        <v>2.910000000000025</v>
      </c>
      <c r="N63" s="78" t="n">
        <v>2.180000000000007</v>
      </c>
      <c r="O63" s="78" t="n">
        <v>6.449999999999989</v>
      </c>
      <c r="P63" s="86" t="n">
        <v>0</v>
      </c>
      <c r="Q63" s="78" t="n">
        <v>20.77</v>
      </c>
      <c r="R63" s="79" t="inlineStr">
        <is>
          <t>-</t>
        </is>
      </c>
      <c r="S63" s="79" t="inlineStr">
        <is>
          <t>-</t>
        </is>
      </c>
      <c r="T63" s="80" t="n">
        <v>0.03541266792429301</v>
      </c>
      <c r="U63" s="18" t="inlineStr">
        <is>
          <t>18/03/2025</t>
        </is>
      </c>
      <c r="V63" s="4" t="inlineStr">
        <is>
          <t>11:27:58</t>
        </is>
      </c>
      <c r="W63" s="81">
        <f>IFERROR(Tabela11[[#This Row],[Lucro]]*1/Tabela11[[#This Row],[Capital total]],"")</f>
        <v/>
      </c>
      <c r="X63" s="82">
        <f>Tabela11[[#This Row],[Lucro]]-C62</f>
        <v/>
      </c>
      <c r="Y63" s="65">
        <f>PROPER(TEXT(DATE(2024,MONTH(Tabela11[[#This Row],[Data]]),1),"mmmm"))</f>
        <v/>
      </c>
      <c r="Z63" s="65">
        <f>YEAR(Tabela11[[#This Row],[Data]])</f>
        <v/>
      </c>
      <c r="AA63" s="78">
        <f>Tabela11[[#This Row],[Capital investido]]-A62</f>
        <v/>
      </c>
    </row>
    <row r="64">
      <c r="A64" s="85" t="n">
        <v>284.4581801655471</v>
      </c>
      <c r="B64" s="86" t="n">
        <v>190.1175457133817</v>
      </c>
      <c r="C64" s="86" t="n">
        <v>-94.34063445216536</v>
      </c>
      <c r="D64" s="86" t="n">
        <v>3.43</v>
      </c>
      <c r="E64" s="86" t="n"/>
      <c r="F64" s="86" t="n">
        <v>190.1175457133817</v>
      </c>
      <c r="G64" s="86" t="n">
        <v>95.33315300000001</v>
      </c>
      <c r="H64" s="86" t="n">
        <v>65.83818016554713</v>
      </c>
      <c r="I64" s="86" t="n"/>
      <c r="J64" s="86" t="n">
        <v>49.70999999999998</v>
      </c>
      <c r="K64" s="86" t="n">
        <v>65.55936554783463</v>
      </c>
      <c r="L64" s="86" t="n">
        <v>54.18000000000001</v>
      </c>
      <c r="M64" s="86" t="n">
        <v>2.909999999999997</v>
      </c>
      <c r="N64" s="86" t="n">
        <v>2.180000000000007</v>
      </c>
      <c r="O64" s="86" t="n">
        <v>6.449999999999989</v>
      </c>
      <c r="P64" s="86" t="n">
        <v>0</v>
      </c>
      <c r="Q64" s="86" t="n">
        <v>20.73</v>
      </c>
      <c r="R64" s="79" t="inlineStr">
        <is>
          <t>-</t>
        </is>
      </c>
      <c r="S64" s="79" t="inlineStr">
        <is>
          <t>-</t>
        </is>
      </c>
      <c r="T64" s="80" t="n">
        <v>0.02376469321417271</v>
      </c>
      <c r="U64" s="17" t="inlineStr">
        <is>
          <t>18/03/2025</t>
        </is>
      </c>
      <c r="V64" s="5" t="inlineStr">
        <is>
          <t>11:37:00</t>
        </is>
      </c>
      <c r="W64" s="88">
        <f>IFERROR(Tabela11[[#This Row],[Lucro]]*1/Tabela11[[#This Row],[Capital total]],"")</f>
        <v/>
      </c>
      <c r="X64" s="82">
        <f>Tabela11[[#This Row],[Lucro]]-C63</f>
        <v/>
      </c>
      <c r="Y64" s="65">
        <f>PROPER(TEXT(DATE(2024,MONTH(Tabela11[[#This Row],[Data]]),1),"mmmm"))</f>
        <v/>
      </c>
      <c r="Z64" s="65">
        <f>YEAR(Tabela11[[#This Row],[Data]])</f>
        <v/>
      </c>
      <c r="AA64" s="78">
        <f>Tabela11[[#This Row],[Capital investido]]-A63</f>
        <v/>
      </c>
    </row>
    <row r="65">
      <c r="A65" s="85" t="n">
        <v>277.7881801655471</v>
      </c>
      <c r="B65" s="86" t="n">
        <v>183.7828359342031</v>
      </c>
      <c r="C65" s="86" t="n">
        <v>-94.00534423134401</v>
      </c>
      <c r="D65" s="86" t="n">
        <v>3.43</v>
      </c>
      <c r="E65" s="86" t="n"/>
      <c r="F65" s="86" t="n">
        <v>183.7828359342031</v>
      </c>
      <c r="G65" s="86" t="n">
        <v>95.33315300000001</v>
      </c>
      <c r="H65" s="86" t="n">
        <v>65.83818016554713</v>
      </c>
      <c r="I65" s="86" t="n"/>
      <c r="J65" s="86" t="n">
        <v>49.57999999999998</v>
      </c>
      <c r="K65" s="86" t="n">
        <v>65.64465576865598</v>
      </c>
      <c r="L65" s="86" t="n">
        <v>54.24000000000001</v>
      </c>
      <c r="M65" s="86" t="n">
        <v>2.909999999999997</v>
      </c>
      <c r="N65" s="86" t="n">
        <v>3.460000000000008</v>
      </c>
      <c r="O65" s="86" t="n">
        <v>6.449999999999989</v>
      </c>
      <c r="P65" s="86" t="n">
        <v>0</v>
      </c>
      <c r="Q65" s="86" t="n">
        <v>20.72</v>
      </c>
      <c r="R65" s="86" t="n">
        <v>6.88</v>
      </c>
      <c r="S65" s="79" t="inlineStr">
        <is>
          <t>-</t>
        </is>
      </c>
      <c r="T65" s="80" t="n">
        <v>0.02297285449177539</v>
      </c>
      <c r="U65" s="17" t="inlineStr">
        <is>
          <t>18/03/2025</t>
        </is>
      </c>
      <c r="V65" s="5" t="inlineStr">
        <is>
          <t>11:52:28</t>
        </is>
      </c>
      <c r="W65" s="88">
        <f>IFERROR(Tabela11[[#This Row],[Lucro]]*1/Tabela11[[#This Row],[Capital total]],"")</f>
        <v/>
      </c>
      <c r="X65" s="82">
        <f>Tabela11[[#This Row],[Lucro]]-C64</f>
        <v/>
      </c>
      <c r="Y65" s="65">
        <f>PROPER(TEXT(DATE(2024,MONTH(Tabela11[[#This Row],[Data]]),1),"mmmm"))</f>
        <v/>
      </c>
      <c r="Z65" s="65">
        <f>YEAR(Tabela11[[#This Row],[Data]])</f>
        <v/>
      </c>
      <c r="AA65" s="78">
        <f>Tabela11[[#This Row],[Capital investido]]-A64</f>
        <v/>
      </c>
    </row>
    <row r="66">
      <c r="A66" s="85" t="n">
        <v>277.7881801655471</v>
      </c>
      <c r="B66" s="86" t="n">
        <v>183.5623549895324</v>
      </c>
      <c r="C66" s="86" t="n">
        <v>-94.22582517601465</v>
      </c>
      <c r="D66" s="86" t="n">
        <v>3.43</v>
      </c>
      <c r="E66" s="86" t="n"/>
      <c r="F66" s="86" t="n">
        <v>183.5623549895324</v>
      </c>
      <c r="G66" s="87" t="inlineStr">
        <is>
          <t>-</t>
        </is>
      </c>
      <c r="H66" s="86" t="n">
        <v>65.83818016554713</v>
      </c>
      <c r="I66" s="86" t="n"/>
      <c r="J66" s="86" t="n">
        <v>49.70999999999998</v>
      </c>
      <c r="K66" s="86" t="n">
        <v>65.38417482398535</v>
      </c>
      <c r="L66" s="86" t="n">
        <v>54.18000000000001</v>
      </c>
      <c r="M66" s="86" t="n">
        <v>2.909999999999997</v>
      </c>
      <c r="N66" s="86" t="n">
        <v>3.460000000000008</v>
      </c>
      <c r="O66" s="86" t="n">
        <v>6.449999999999989</v>
      </c>
      <c r="P66" s="86" t="n">
        <v>0</v>
      </c>
      <c r="Q66" s="86" t="n">
        <v>20.69</v>
      </c>
      <c r="R66" s="86" t="n">
        <v>6.88</v>
      </c>
      <c r="S66" s="79" t="inlineStr">
        <is>
          <t>-</t>
        </is>
      </c>
      <c r="T66" s="80" t="n">
        <v>0.02294529437369155</v>
      </c>
      <c r="U66" s="17" t="inlineStr">
        <is>
          <t>18/03/2025</t>
        </is>
      </c>
      <c r="V66" s="5" t="inlineStr">
        <is>
          <t>19:13:47</t>
        </is>
      </c>
      <c r="W66" s="88">
        <f>IFERROR(Tabela11[[#This Row],[Lucro]]*1/Tabela11[[#This Row],[Capital total]],"")</f>
        <v/>
      </c>
      <c r="X66" s="82">
        <f>Tabela11[[#This Row],[Lucro]]-C65</f>
        <v/>
      </c>
      <c r="Y66" s="65">
        <f>PROPER(TEXT(DATE(2024,MONTH(Tabela11[[#This Row],[Data]]),1),"mmmm"))</f>
        <v/>
      </c>
      <c r="Z66" s="65">
        <f>YEAR(Tabela11[[#This Row],[Data]])</f>
        <v/>
      </c>
      <c r="AA66" s="78">
        <f>Tabela11[[#This Row],[Capital investido]]-A65</f>
        <v/>
      </c>
    </row>
    <row r="67">
      <c r="A67" s="85" t="n">
        <v>277.7881801655471</v>
      </c>
      <c r="B67" s="86" t="n">
        <v>184.3688641122202</v>
      </c>
      <c r="C67" s="86" t="n">
        <v>-93.41931605332692</v>
      </c>
      <c r="D67" s="86" t="n">
        <v>3.43</v>
      </c>
      <c r="E67" s="86" t="n"/>
      <c r="F67" s="86" t="n">
        <v>184.3688641122202</v>
      </c>
      <c r="G67" s="87" t="inlineStr">
        <is>
          <t>-</t>
        </is>
      </c>
      <c r="H67" s="86" t="n">
        <v>65.83818016554713</v>
      </c>
      <c r="I67" s="86" t="n"/>
      <c r="J67" s="86" t="n">
        <v>50.14000000000001</v>
      </c>
      <c r="K67" s="86" t="n">
        <v>65.41068394667306</v>
      </c>
      <c r="L67" s="86" t="n">
        <v>54.11999999999998</v>
      </c>
      <c r="M67" s="86" t="n">
        <v>2.909999999999997</v>
      </c>
      <c r="N67" s="86" t="n">
        <v>3.460000000000008</v>
      </c>
      <c r="O67" s="86" t="n">
        <v>6.449999999999989</v>
      </c>
      <c r="P67" s="86" t="n">
        <v>0</v>
      </c>
      <c r="Q67" s="86" t="n">
        <v>21.1</v>
      </c>
      <c r="R67" s="86" t="n">
        <v>6.88</v>
      </c>
      <c r="S67" s="79" t="inlineStr">
        <is>
          <t>-</t>
        </is>
      </c>
      <c r="T67" s="80" t="n">
        <v>0.02304610801402752</v>
      </c>
      <c r="U67" s="17" t="n">
        <v>45736</v>
      </c>
      <c r="V67" s="5" t="inlineStr">
        <is>
          <t>21:54:15</t>
        </is>
      </c>
      <c r="W67" s="88">
        <f>IFERROR(Tabela11[[#This Row],[Lucro]]*1/Tabela11[[#This Row],[Capital total]],"")</f>
        <v/>
      </c>
      <c r="X67" s="82">
        <f>Tabela11[[#This Row],[Lucro]]-C66</f>
        <v/>
      </c>
      <c r="Y67" s="65">
        <f>PROPER(TEXT(DATE(2024,MONTH(Tabela11[[#This Row],[Data]]),1),"mmmm"))</f>
        <v/>
      </c>
      <c r="Z67" s="65">
        <f>YEAR(Tabela11[[#This Row],[Data]])</f>
        <v/>
      </c>
      <c r="AA67" s="78">
        <f>Tabela11[[#This Row],[Capital investido]]-A66</f>
        <v/>
      </c>
    </row>
    <row r="68">
      <c r="A68" s="85" t="n">
        <v>354.8395128509162</v>
      </c>
      <c r="B68" s="86" t="n">
        <v>352.4195235581527</v>
      </c>
      <c r="C68" s="86" t="n">
        <v>-2.419989292763536</v>
      </c>
      <c r="D68" s="86" t="n">
        <v>3.43</v>
      </c>
      <c r="E68" s="86" t="n"/>
      <c r="F68" s="86" t="n">
        <v>352.4195235581527</v>
      </c>
      <c r="G68" s="87" t="inlineStr">
        <is>
          <t>-</t>
        </is>
      </c>
      <c r="H68" s="86" t="n">
        <v>93.87951285091623</v>
      </c>
      <c r="I68" s="86" t="n"/>
      <c r="J68" s="86" t="n">
        <v>50.13999999999999</v>
      </c>
      <c r="K68" s="86" t="n">
        <v>113.5000107072365</v>
      </c>
      <c r="L68" s="86" t="n">
        <v>54.12</v>
      </c>
      <c r="M68" s="86" t="n">
        <v>2.910000000000025</v>
      </c>
      <c r="N68" s="86" t="n">
        <v>3.45999999999998</v>
      </c>
      <c r="O68" s="86" t="n">
        <v>6.449999999999989</v>
      </c>
      <c r="P68" s="86" t="n">
        <v>0</v>
      </c>
      <c r="Q68" s="86" t="n">
        <v>21.1</v>
      </c>
      <c r="R68" s="86" t="n">
        <v>6.86</v>
      </c>
      <c r="S68" s="79" t="inlineStr">
        <is>
          <t>-</t>
        </is>
      </c>
      <c r="T68" s="80" t="n">
        <v>0.04405244044476909</v>
      </c>
      <c r="U68" s="17" t="inlineStr">
        <is>
          <t>20/03/2025</t>
        </is>
      </c>
      <c r="V68" s="5" t="inlineStr">
        <is>
          <t>22:40:29</t>
        </is>
      </c>
      <c r="W68" s="88">
        <f>IFERROR(Tabela11[[#This Row],[Lucro]]*1/Tabela11[[#This Row],[Capital total]],"")</f>
        <v/>
      </c>
      <c r="X68" s="82">
        <f>Tabela11[[#This Row],[Lucro]]-C67</f>
        <v/>
      </c>
      <c r="Y68" s="65">
        <f>PROPER(TEXT(DATE(2024,MONTH(Tabela11[[#This Row],[Data]]),1),"mmmm"))</f>
        <v/>
      </c>
      <c r="Z68" s="65">
        <f>YEAR(Tabela11[[#This Row],[Data]])</f>
        <v/>
      </c>
      <c r="AA68" s="78">
        <f>Tabela11[[#This Row],[Capital investido]]-A67</f>
        <v/>
      </c>
    </row>
    <row r="69">
      <c r="A69" s="85" t="n">
        <v>354.8395128509162</v>
      </c>
      <c r="B69" s="86" t="n">
        <v>455.997491293468</v>
      </c>
      <c r="C69" s="86" t="n">
        <v>101.1579784425519</v>
      </c>
      <c r="D69" s="86" t="n">
        <v>3.43</v>
      </c>
      <c r="E69" s="86" t="n"/>
      <c r="F69" s="86" t="n">
        <v>455.997491293468</v>
      </c>
      <c r="G69" s="87" t="inlineStr">
        <is>
          <t>-</t>
        </is>
      </c>
      <c r="H69" s="86" t="n">
        <v>93.87951285091623</v>
      </c>
      <c r="I69" s="86" t="n"/>
      <c r="J69" s="86" t="n">
        <v>50.75</v>
      </c>
      <c r="K69" s="86" t="n">
        <v>114.4179784425519</v>
      </c>
      <c r="L69" s="86" t="n">
        <v>54.24000000000001</v>
      </c>
      <c r="M69" s="86" t="n">
        <v>2.910000000000025</v>
      </c>
      <c r="N69" s="86" t="n">
        <v>3.45999999999998</v>
      </c>
      <c r="O69" s="86" t="n">
        <v>6.449999999999989</v>
      </c>
      <c r="P69" s="86" t="n">
        <v>0</v>
      </c>
      <c r="Q69" s="86" t="n">
        <v>21.18</v>
      </c>
      <c r="R69" s="86" t="n">
        <v>6.86</v>
      </c>
      <c r="S69" s="79" t="inlineStr">
        <is>
          <t>-</t>
        </is>
      </c>
      <c r="T69" s="80" t="n">
        <v>0.0569996864116835</v>
      </c>
      <c r="U69" s="17" t="inlineStr">
        <is>
          <t>21/03/2025</t>
        </is>
      </c>
      <c r="V69" s="5" t="inlineStr">
        <is>
          <t>17:12:34</t>
        </is>
      </c>
      <c r="W69" s="88">
        <f>IFERROR(Tabela11[[#This Row],[Lucro]]*1/Tabela11[[#This Row],[Capital total]],"")</f>
        <v/>
      </c>
      <c r="X69" s="82">
        <f>Tabela11[[#This Row],[Lucro]]-C68</f>
        <v/>
      </c>
      <c r="Y69" s="65">
        <f>PROPER(TEXT(DATE(2024,MONTH(Tabela11[[#This Row],[Data]]),1),"mmmm"))</f>
        <v/>
      </c>
      <c r="Z69" s="65">
        <f>YEAR(Tabela11[[#This Row],[Data]])</f>
        <v/>
      </c>
      <c r="AA69" s="78">
        <f>Tabela11[[#This Row],[Capital investido]]-A68</f>
        <v/>
      </c>
    </row>
    <row r="70">
      <c r="A70" s="85" t="n">
        <v>453.9695128509162</v>
      </c>
      <c r="B70" s="86" t="n">
        <v>454.5874881302637</v>
      </c>
      <c r="C70" s="86" t="n">
        <v>0.6179752793474709</v>
      </c>
      <c r="D70" s="86" t="n">
        <v>3.43</v>
      </c>
      <c r="E70" s="86" t="n"/>
      <c r="F70" s="86" t="n">
        <v>454.5874881302637</v>
      </c>
      <c r="G70" s="87" t="inlineStr">
        <is>
          <t>-</t>
        </is>
      </c>
      <c r="H70" s="86" t="n">
        <v>93.87951285091623</v>
      </c>
      <c r="I70" s="86" t="n"/>
      <c r="J70" s="86" t="n">
        <v>88.33999999999997</v>
      </c>
      <c r="K70" s="86" t="n">
        <v>114.5079752793476</v>
      </c>
      <c r="L70" s="86" t="n">
        <v>81.54000000000002</v>
      </c>
      <c r="M70" s="86" t="n">
        <v>5.910000000000025</v>
      </c>
      <c r="N70" s="86" t="n">
        <v>3.45999999999998</v>
      </c>
      <c r="O70" s="86" t="n">
        <v>6.449999999999989</v>
      </c>
      <c r="P70" s="86" t="n">
        <v>0</v>
      </c>
      <c r="Q70" s="86" t="n">
        <v>21.18</v>
      </c>
      <c r="R70" s="86" t="n">
        <v>38.34</v>
      </c>
      <c r="S70" s="79" t="inlineStr">
        <is>
          <t>-</t>
        </is>
      </c>
      <c r="T70" s="80" t="n">
        <v>0.05682343601628296</v>
      </c>
      <c r="U70" s="17" t="inlineStr">
        <is>
          <t>21/03/2025</t>
        </is>
      </c>
      <c r="V70" s="5" t="inlineStr">
        <is>
          <t>17:26:13</t>
        </is>
      </c>
      <c r="W70" s="88">
        <f>IFERROR(Tabela11[[#This Row],[Lucro]]*1/Tabela11[[#This Row],[Capital total]],"")</f>
        <v/>
      </c>
      <c r="X70" s="82">
        <f>Tabela11[[#This Row],[Lucro]]-C69</f>
        <v/>
      </c>
      <c r="Y70" s="65">
        <f>PROPER(TEXT(DATE(2024,MONTH(Tabela11[[#This Row],[Data]]),1),"mmmm"))</f>
        <v/>
      </c>
      <c r="Z70" s="65">
        <f>YEAR(Tabela11[[#This Row],[Data]])</f>
        <v/>
      </c>
      <c r="AA70" s="78">
        <f>Tabela11[[#This Row],[Capital investido]]-A69</f>
        <v/>
      </c>
    </row>
    <row r="71">
      <c r="A71" s="85" t="n">
        <v>453.9695128509162</v>
      </c>
      <c r="B71" s="86" t="n">
        <v>453.7814862323411</v>
      </c>
      <c r="C71" s="86" t="n">
        <v>-0.1880266185751207</v>
      </c>
      <c r="D71" s="86" t="n">
        <v>3.43</v>
      </c>
      <c r="E71" s="86" t="n"/>
      <c r="F71" s="86" t="n">
        <v>453.7814862323411</v>
      </c>
      <c r="G71" s="87" t="inlineStr">
        <is>
          <t>-</t>
        </is>
      </c>
      <c r="H71" s="86" t="n">
        <v>93.87951285091617</v>
      </c>
      <c r="I71" s="86" t="n"/>
      <c r="J71" s="86" t="n">
        <v>88.40999999999997</v>
      </c>
      <c r="K71" s="86" t="n">
        <v>114.5619733814249</v>
      </c>
      <c r="L71" s="86" t="n">
        <v>81.53999999999996</v>
      </c>
      <c r="M71" s="86" t="n">
        <v>5.910000000000025</v>
      </c>
      <c r="N71" s="86" t="n">
        <v>3.45999999999998</v>
      </c>
      <c r="O71" s="86" t="n">
        <v>6.449999999999989</v>
      </c>
      <c r="P71" s="86" t="n">
        <v>0</v>
      </c>
      <c r="Q71" s="86" t="n">
        <v>21.23</v>
      </c>
      <c r="R71" s="86" t="n">
        <v>38.34</v>
      </c>
      <c r="S71" s="79" t="inlineStr">
        <is>
          <t>-</t>
        </is>
      </c>
      <c r="T71" s="80" t="n">
        <v>0.05672268577904264</v>
      </c>
      <c r="U71" s="17" t="inlineStr">
        <is>
          <t>21/03/2025</t>
        </is>
      </c>
      <c r="V71" s="5" t="inlineStr">
        <is>
          <t>17:37:46</t>
        </is>
      </c>
      <c r="W71" s="88">
        <f>IFERROR(Tabela11[[#This Row],[Lucro]]*1/Tabela11[[#This Row],[Capital total]],"")</f>
        <v/>
      </c>
      <c r="X71" s="82">
        <f>Tabela11[[#This Row],[Lucro]]-C70</f>
        <v/>
      </c>
      <c r="Y71" s="65">
        <f>PROPER(TEXT(DATE(2024,MONTH(Tabela11[[#This Row],[Data]]),1),"mmmm"))</f>
        <v/>
      </c>
      <c r="Z71" s="65">
        <f>YEAR(Tabela11[[#This Row],[Data]])</f>
        <v/>
      </c>
      <c r="AA71" s="78">
        <f>Tabela11[[#This Row],[Capital investido]]-A70</f>
        <v/>
      </c>
    </row>
    <row r="72">
      <c r="A72" s="85" t="n">
        <v>453.9695128509162</v>
      </c>
      <c r="B72" s="86" t="n">
        <v>453.8974821553221</v>
      </c>
      <c r="C72" s="86" t="n">
        <v>-0.07203069559409236</v>
      </c>
      <c r="D72" s="86" t="n">
        <v>3.43</v>
      </c>
      <c r="E72" s="86" t="n"/>
      <c r="F72" s="86" t="n">
        <v>453.8974821553221</v>
      </c>
      <c r="G72" s="87" t="inlineStr">
        <is>
          <t>-</t>
        </is>
      </c>
      <c r="H72" s="86" t="n">
        <v>93.87951285091617</v>
      </c>
      <c r="I72" s="86" t="n"/>
      <c r="J72" s="86" t="n">
        <v>88.40999999999997</v>
      </c>
      <c r="K72" s="86" t="n">
        <v>114.6779693044059</v>
      </c>
      <c r="L72" s="86" t="n">
        <v>81.53999999999996</v>
      </c>
      <c r="M72" s="86" t="n">
        <v>5.910000000000025</v>
      </c>
      <c r="N72" s="86" t="n">
        <v>3.45999999999998</v>
      </c>
      <c r="O72" s="86" t="n">
        <v>6.449999999999989</v>
      </c>
      <c r="P72" s="86" t="n">
        <v>0</v>
      </c>
      <c r="Q72" s="86" t="n">
        <v>21.23</v>
      </c>
      <c r="R72" s="86" t="n">
        <v>38.34</v>
      </c>
      <c r="S72" s="79" t="inlineStr">
        <is>
          <t>-</t>
        </is>
      </c>
      <c r="T72" s="80" t="n">
        <v>0.05673718526941526</v>
      </c>
      <c r="U72" s="17" t="inlineStr">
        <is>
          <t>21/03/2025</t>
        </is>
      </c>
      <c r="V72" s="5" t="inlineStr">
        <is>
          <t>18:39:36</t>
        </is>
      </c>
      <c r="W72" s="88">
        <f>IFERROR(Tabela11[[#This Row],[Lucro]]*1/Tabela11[[#This Row],[Capital total]],"")</f>
        <v/>
      </c>
      <c r="X72" s="82">
        <f>Tabela11[[#This Row],[Lucro]]-C71</f>
        <v/>
      </c>
      <c r="Y72" s="65">
        <f>PROPER(TEXT(DATE(2024,MONTH(Tabela11[[#This Row],[Data]]),1),"mmmm"))</f>
        <v/>
      </c>
      <c r="Z72" s="65">
        <f>YEAR(Tabela11[[#This Row],[Data]])</f>
        <v/>
      </c>
      <c r="AA72" s="78">
        <f>Tabela11[[#This Row],[Capital investido]]-A71</f>
        <v/>
      </c>
    </row>
    <row r="73">
      <c r="A73" s="85" t="n">
        <v>453.9695128509162</v>
      </c>
      <c r="B73" s="86" t="n">
        <v>454.2054635978565</v>
      </c>
      <c r="C73" s="86" t="n">
        <v>0.2359507469402882</v>
      </c>
      <c r="D73" s="86" t="n">
        <v>3.43</v>
      </c>
      <c r="E73" s="86" t="n"/>
      <c r="F73" s="86" t="n">
        <v>454.2054635978565</v>
      </c>
      <c r="G73" s="87" t="inlineStr">
        <is>
          <t>-</t>
        </is>
      </c>
      <c r="H73" s="86" t="n">
        <v>93.87951285091617</v>
      </c>
      <c r="I73" s="86" t="n"/>
      <c r="J73" s="86" t="n">
        <v>88.60000000000002</v>
      </c>
      <c r="K73" s="86" t="n">
        <v>115.2059507469403</v>
      </c>
      <c r="L73" s="86" t="n">
        <v>81.09000000000003</v>
      </c>
      <c r="M73" s="86" t="n">
        <v>5.910000000000025</v>
      </c>
      <c r="N73" s="86" t="n">
        <v>3.45999999999998</v>
      </c>
      <c r="O73" s="86" t="n">
        <v>6.449999999999989</v>
      </c>
      <c r="P73" s="86" t="n">
        <v>0</v>
      </c>
      <c r="Q73" s="86" t="n">
        <v>21.58</v>
      </c>
      <c r="R73" s="86" t="n">
        <v>38.34</v>
      </c>
      <c r="S73" s="79" t="inlineStr">
        <is>
          <t>-</t>
        </is>
      </c>
      <c r="T73" s="80" t="n">
        <v>0.05677568294973206</v>
      </c>
      <c r="U73" s="17" t="inlineStr">
        <is>
          <t>24/03/2025</t>
        </is>
      </c>
      <c r="V73" s="5" t="inlineStr">
        <is>
          <t>18:58:19</t>
        </is>
      </c>
      <c r="W73" s="88">
        <f>IFERROR(Tabela11[[#This Row],[Lucro]]*1/Tabela11[[#This Row],[Capital total]],"")</f>
        <v/>
      </c>
      <c r="X73" s="82">
        <f>Tabela11[[#This Row],[Lucro]]-C72</f>
        <v/>
      </c>
      <c r="Y73" s="65">
        <f>PROPER(TEXT(DATE(2024,MONTH(Tabela11[[#This Row],[Data]]),1),"mmmm"))</f>
        <v/>
      </c>
      <c r="Z73" s="65">
        <f>YEAR(Tabela11[[#This Row],[Data]])</f>
        <v/>
      </c>
      <c r="AA73" s="78">
        <f>Tabela11[[#This Row],[Capital investido]]-A72</f>
        <v/>
      </c>
    </row>
    <row r="74">
      <c r="A74" s="85" t="n">
        <v>462.5907695350509</v>
      </c>
      <c r="B74" s="86" t="n">
        <v>462.7747632312772</v>
      </c>
      <c r="C74" s="86" t="n">
        <v>0.1839936962262536</v>
      </c>
      <c r="D74" s="86" t="n">
        <v>3.43</v>
      </c>
      <c r="E74" s="86" t="n"/>
      <c r="F74" s="86" t="n">
        <v>462.7747632312772</v>
      </c>
      <c r="G74" s="87" t="inlineStr">
        <is>
          <t>-</t>
        </is>
      </c>
      <c r="H74" s="86" t="n">
        <v>102.7407695350509</v>
      </c>
      <c r="I74" s="86" t="n"/>
      <c r="J74" s="86" t="n">
        <v>89.53000000000003</v>
      </c>
      <c r="K74" s="86" t="n">
        <v>113.9839936962263</v>
      </c>
      <c r="L74" s="86" t="n">
        <v>81.18000000000001</v>
      </c>
      <c r="M74" s="86" t="n">
        <v>5.910000000000025</v>
      </c>
      <c r="N74" s="86" t="n">
        <v>3.45999999999998</v>
      </c>
      <c r="O74" s="86" t="n">
        <v>6.46999999999997</v>
      </c>
      <c r="P74" s="86" t="n">
        <v>0</v>
      </c>
      <c r="Q74" s="86" t="n">
        <v>21.53</v>
      </c>
      <c r="R74" s="86" t="n">
        <v>38.08</v>
      </c>
      <c r="S74" s="79" t="inlineStr">
        <is>
          <t>-</t>
        </is>
      </c>
      <c r="T74" s="80" t="n">
        <v>0.05784684540390965</v>
      </c>
      <c r="U74" s="17" t="inlineStr">
        <is>
          <t>25/03/2025</t>
        </is>
      </c>
      <c r="V74" s="5" t="inlineStr">
        <is>
          <t>20:17:10</t>
        </is>
      </c>
      <c r="W74" s="88">
        <f>IFERROR(Tabela11[[#This Row],[Lucro]]*1/Tabela11[[#This Row],[Capital total]],"")</f>
        <v/>
      </c>
      <c r="X74" s="82">
        <f>Tabela11[[#This Row],[Lucro]]-C73</f>
        <v/>
      </c>
      <c r="Y74" s="65">
        <f>PROPER(TEXT(DATE(2024,MONTH(Tabela11[[#This Row],[Data]]),1),"mmmm"))</f>
        <v/>
      </c>
      <c r="Z74" s="65">
        <f>YEAR(Tabela11[[#This Row],[Data]])</f>
        <v/>
      </c>
      <c r="AA74" s="78">
        <f>Tabela11[[#This Row],[Capital investido]]-A73</f>
        <v/>
      </c>
    </row>
    <row r="75">
      <c r="A75" s="85" t="n">
        <v>474.183262233218</v>
      </c>
      <c r="B75" s="86" t="n">
        <v>476.4701584446829</v>
      </c>
      <c r="C75" s="86" t="n">
        <v>2.28689621146485</v>
      </c>
      <c r="D75" s="86" t="n">
        <v>3.43</v>
      </c>
      <c r="E75" s="86" t="n"/>
      <c r="F75" s="86" t="n">
        <v>476.4701584446829</v>
      </c>
      <c r="G75" s="87" t="inlineStr">
        <is>
          <t>-</t>
        </is>
      </c>
      <c r="H75" s="86" t="n">
        <v>104.613262233218</v>
      </c>
      <c r="I75" s="86" t="n"/>
      <c r="J75" s="86" t="n">
        <v>90.51000000000005</v>
      </c>
      <c r="K75" s="86" t="n">
        <v>124.5868962114649</v>
      </c>
      <c r="L75" s="86" t="n">
        <v>81.62999999999994</v>
      </c>
      <c r="M75" s="86" t="n">
        <v>5.910000000000025</v>
      </c>
      <c r="N75" s="86" t="n">
        <v>3.45999999999998</v>
      </c>
      <c r="O75" s="86" t="n">
        <v>6.46999999999997</v>
      </c>
      <c r="P75" s="86" t="n">
        <v>0</v>
      </c>
      <c r="Q75" s="86" t="n">
        <v>21.34</v>
      </c>
      <c r="R75" s="86" t="n">
        <v>37.8</v>
      </c>
      <c r="S75" s="79" t="inlineStr">
        <is>
          <t>-</t>
        </is>
      </c>
      <c r="T75" s="80" t="n">
        <v>0.05955876980558537</v>
      </c>
      <c r="U75" s="17" t="inlineStr">
        <is>
          <t>26/03/2025</t>
        </is>
      </c>
      <c r="V75" s="5" t="inlineStr">
        <is>
          <t>19:16:16</t>
        </is>
      </c>
      <c r="W75" s="88">
        <f>IFERROR(Tabela11[[#This Row],[Lucro]]*1/Tabela11[[#This Row],[Capital total]],"")</f>
        <v/>
      </c>
      <c r="X75" s="82">
        <f>Tabela11[[#This Row],[Lucro]]-C74</f>
        <v/>
      </c>
      <c r="Y75" s="65">
        <f>PROPER(TEXT(DATE(2024,MONTH(Tabela11[[#This Row],[Data]]),1),"mmmm"))</f>
        <v/>
      </c>
      <c r="Z75" s="65">
        <f>YEAR(Tabela11[[#This Row],[Data]])</f>
        <v/>
      </c>
      <c r="AA75" s="78">
        <f>Tabela11[[#This Row],[Capital investido]]-A74</f>
        <v/>
      </c>
    </row>
    <row r="76">
      <c r="A76" s="85" t="n">
        <v>476.0649673539857</v>
      </c>
      <c r="B76" s="86" t="n">
        <v>478.373629313119</v>
      </c>
      <c r="C76" s="86" t="n">
        <v>2.308661959133278</v>
      </c>
      <c r="D76" s="86" t="n">
        <v>3.43</v>
      </c>
      <c r="E76" s="86" t="n"/>
      <c r="F76" s="86" t="n">
        <v>478.373629313119</v>
      </c>
      <c r="G76" s="87" t="inlineStr">
        <is>
          <t>-</t>
        </is>
      </c>
      <c r="H76" s="86" t="n">
        <v>106.4949673539857</v>
      </c>
      <c r="I76" s="86" t="n"/>
      <c r="J76" s="86" t="n">
        <v>90.50999999999999</v>
      </c>
      <c r="K76" s="86" t="n">
        <v>124.5586619591334</v>
      </c>
      <c r="L76" s="86" t="n">
        <v>81.63</v>
      </c>
      <c r="M76" s="86" t="n">
        <v>5.910000000000025</v>
      </c>
      <c r="N76" s="86" t="n">
        <v>3.45999999999998</v>
      </c>
      <c r="O76" s="86" t="n">
        <v>6.470000000000027</v>
      </c>
      <c r="P76" s="86" t="n">
        <v>0</v>
      </c>
      <c r="Q76" s="86" t="n">
        <v>21.34</v>
      </c>
      <c r="R76" s="86" t="n">
        <v>37.8</v>
      </c>
      <c r="S76" s="79" t="inlineStr">
        <is>
          <t>-</t>
        </is>
      </c>
      <c r="T76" s="80" t="n">
        <v>0.05979670366413987</v>
      </c>
      <c r="U76" s="17" t="inlineStr">
        <is>
          <t>27/03/2025</t>
        </is>
      </c>
      <c r="V76" s="5" t="inlineStr">
        <is>
          <t>20:01:18</t>
        </is>
      </c>
      <c r="W76" s="88">
        <f>IFERROR(Tabela11[[#This Row],[Lucro]]*1/Tabela11[[#This Row],[Capital total]],"")</f>
        <v/>
      </c>
      <c r="X76" s="82">
        <f>Tabela11[[#This Row],[Lucro]]-C75</f>
        <v/>
      </c>
      <c r="Y76" s="65">
        <f>PROPER(TEXT(DATE(2024,MONTH(Tabela11[[#This Row],[Data]]),1),"mmmm"))</f>
        <v/>
      </c>
      <c r="Z76" s="65">
        <f>YEAR(Tabela11[[#This Row],[Data]])</f>
        <v/>
      </c>
      <c r="AA76" s="78">
        <f>Tabela11[[#This Row],[Capital investido]]-A75</f>
        <v/>
      </c>
    </row>
    <row r="77">
      <c r="A77" s="85" t="n">
        <v>476.3849673539856</v>
      </c>
      <c r="B77" s="86" t="n">
        <v>479.0100507257533</v>
      </c>
      <c r="C77" s="86" t="n">
        <v>2.625083371767711</v>
      </c>
      <c r="D77" s="86" t="n">
        <v>3.43</v>
      </c>
      <c r="E77" s="86" t="n"/>
      <c r="F77" s="86" t="n">
        <v>479.0100507257533</v>
      </c>
      <c r="G77" s="87" t="inlineStr">
        <is>
          <t>-</t>
        </is>
      </c>
      <c r="H77" s="86" t="n">
        <v>106.4949673539857</v>
      </c>
      <c r="I77" s="86" t="n"/>
      <c r="J77" s="86" t="n">
        <v>90.63</v>
      </c>
      <c r="K77" s="86" t="n">
        <v>124.6650833717678</v>
      </c>
      <c r="L77" s="86" t="n">
        <v>81.72000000000003</v>
      </c>
      <c r="M77" s="86" t="n">
        <v>5.910000000000025</v>
      </c>
      <c r="N77" s="86" t="n">
        <v>3.45999999999998</v>
      </c>
      <c r="O77" s="86" t="n">
        <v>6.470000000000027</v>
      </c>
      <c r="P77" s="86" t="n">
        <v>0</v>
      </c>
      <c r="Q77" s="86" t="n">
        <v>21.3</v>
      </c>
      <c r="R77" s="86" t="n">
        <v>38.12</v>
      </c>
      <c r="S77" s="79" t="inlineStr">
        <is>
          <t>-</t>
        </is>
      </c>
      <c r="T77" s="80" t="n">
        <v>0.05987625634071916</v>
      </c>
      <c r="U77" s="17" t="inlineStr">
        <is>
          <t>27/03/2025</t>
        </is>
      </c>
      <c r="V77" s="5" t="inlineStr">
        <is>
          <t>20:06:06</t>
        </is>
      </c>
      <c r="W77" s="88">
        <f>IFERROR(Tabela11[[#This Row],[Lucro]]*1/Tabela11[[#This Row],[Capital total]],"")</f>
        <v/>
      </c>
      <c r="X77" s="82">
        <f>Tabela11[[#This Row],[Lucro]]-C76</f>
        <v/>
      </c>
      <c r="Y77" s="65">
        <f>PROPER(TEXT(DATE(2024,MONTH(Tabela11[[#This Row],[Data]]),1),"mmmm"))</f>
        <v/>
      </c>
      <c r="Z77" s="65">
        <f>YEAR(Tabela11[[#This Row],[Data]])</f>
        <v/>
      </c>
      <c r="AA77" s="78">
        <f>Tabela11[[#This Row],[Capital investido]]-A76</f>
        <v/>
      </c>
    </row>
    <row r="78">
      <c r="A78" s="85" t="n">
        <v>510.2660885490335</v>
      </c>
      <c r="B78" s="86" t="n">
        <v>512.3573107812632</v>
      </c>
      <c r="C78" s="86" t="n">
        <v>2.091222232229744</v>
      </c>
      <c r="D78" s="86" t="n">
        <v>3.43</v>
      </c>
      <c r="E78" s="86" t="n"/>
      <c r="F78" s="86" t="n">
        <v>512.3573107812632</v>
      </c>
      <c r="G78" s="87" t="inlineStr">
        <is>
          <t>-</t>
        </is>
      </c>
      <c r="H78" s="86" t="n">
        <v>108.3960885490335</v>
      </c>
      <c r="I78" s="86" t="n"/>
      <c r="J78" s="86" t="n">
        <v>89.65999999999997</v>
      </c>
      <c r="K78" s="86" t="n">
        <v>125.0712222322297</v>
      </c>
      <c r="L78" s="86" t="n">
        <v>100.54</v>
      </c>
      <c r="M78" s="86" t="n">
        <v>5.909999999999968</v>
      </c>
      <c r="N78" s="86" t="n">
        <v>3.460000000000036</v>
      </c>
      <c r="O78" s="86" t="n">
        <v>6.480000000000018</v>
      </c>
      <c r="P78" s="86" t="n">
        <v>0</v>
      </c>
      <c r="Q78" s="86" t="n">
        <v>35.2</v>
      </c>
      <c r="R78" s="86" t="n">
        <v>37.78</v>
      </c>
      <c r="S78" s="79" t="inlineStr">
        <is>
          <t>-</t>
        </is>
      </c>
      <c r="T78" s="80" t="n">
        <v>0.0640446638476579</v>
      </c>
      <c r="U78" s="17" t="inlineStr">
        <is>
          <t>28/03/2025</t>
        </is>
      </c>
      <c r="V78" s="5" t="inlineStr">
        <is>
          <t>18:26:30</t>
        </is>
      </c>
      <c r="W78" s="88">
        <f>IFERROR(Tabela11[[#This Row],[Lucro]]*1/Tabela11[[#This Row],[Capital total]],"")</f>
        <v/>
      </c>
      <c r="X78" s="82">
        <f>Tabela11[[#This Row],[Lucro]]-C77</f>
        <v/>
      </c>
      <c r="Y78" s="65">
        <f>PROPER(TEXT(DATE(2024,MONTH(Tabela11[[#This Row],[Data]]),1),"mmmm"))</f>
        <v/>
      </c>
      <c r="Z78" s="65">
        <f>YEAR(Tabela11[[#This Row],[Data]])</f>
        <v/>
      </c>
      <c r="AA78" s="78">
        <f>Tabela11[[#This Row],[Capital investido]]-A77</f>
        <v/>
      </c>
    </row>
    <row r="79">
      <c r="A79" s="85" t="n">
        <v>510.2660885490335</v>
      </c>
      <c r="B79" s="86" t="n">
        <v>492.3573107812633</v>
      </c>
      <c r="C79" s="86" t="n">
        <v>-17.90877776777025</v>
      </c>
      <c r="D79" s="86" t="n">
        <v>3.43</v>
      </c>
      <c r="E79" s="86" t="n"/>
      <c r="F79" s="86" t="n">
        <v>492.3573107812633</v>
      </c>
      <c r="G79" s="86" t="n">
        <v>20.52826</v>
      </c>
      <c r="H79" s="86" t="n">
        <v>108.3960885490334</v>
      </c>
      <c r="I79" s="86" t="n"/>
      <c r="J79" s="86" t="n">
        <v>89.66000000000003</v>
      </c>
      <c r="K79" s="86" t="n">
        <v>125.0712222322298</v>
      </c>
      <c r="L79" s="86" t="n">
        <v>100.54</v>
      </c>
      <c r="M79" s="86" t="n">
        <v>5.910000000000025</v>
      </c>
      <c r="N79" s="86" t="n">
        <v>3.45999999999998</v>
      </c>
      <c r="O79" s="86" t="n">
        <v>6.480000000000018</v>
      </c>
      <c r="P79" s="86" t="n">
        <v>0</v>
      </c>
      <c r="Q79" s="86" t="n">
        <v>35.2</v>
      </c>
      <c r="R79" s="86" t="n">
        <v>37.78</v>
      </c>
      <c r="S79" s="79" t="inlineStr">
        <is>
          <t>-</t>
        </is>
      </c>
      <c r="T79" s="80" t="n">
        <v>0.06154466384765792</v>
      </c>
      <c r="U79" s="17" t="inlineStr">
        <is>
          <t>28/03/2025</t>
        </is>
      </c>
      <c r="V79" s="5" t="inlineStr">
        <is>
          <t>18:36:24</t>
        </is>
      </c>
      <c r="W79" s="88">
        <f>IFERROR(Tabela11[[#This Row],[Lucro]]*1/Tabela11[[#This Row],[Capital total]],"")</f>
        <v/>
      </c>
      <c r="X79" s="82">
        <f>Tabela11[[#This Row],[Lucro]]-C78</f>
        <v/>
      </c>
      <c r="Y79" s="65">
        <f>PROPER(TEXT(DATE(2024,MONTH(Tabela11[[#This Row],[Data]]),1),"mmmm"))</f>
        <v/>
      </c>
      <c r="Z79" s="65">
        <f>YEAR(Tabela11[[#This Row],[Data]])</f>
        <v/>
      </c>
      <c r="AA79" s="78">
        <f>Tabela11[[#This Row],[Capital investido]]-A78</f>
        <v/>
      </c>
    </row>
    <row r="80">
      <c r="A80" s="85" t="n">
        <v>515.9380176148068</v>
      </c>
      <c r="B80" s="86" t="n">
        <v>313.0150080103291</v>
      </c>
      <c r="C80" s="86" t="n">
        <v>-202.9230096044777</v>
      </c>
      <c r="D80" s="86" t="n">
        <v>3.43</v>
      </c>
      <c r="E80" s="86" t="n"/>
      <c r="F80" s="86" t="n">
        <v>313.0150080103291</v>
      </c>
      <c r="G80" s="86" t="n">
        <v>209.29587483</v>
      </c>
      <c r="H80" s="86" t="n">
        <v>114.0680176148068</v>
      </c>
      <c r="I80" s="86" t="n"/>
      <c r="J80" s="86" t="n">
        <v>89.13999999999999</v>
      </c>
      <c r="K80" s="86" t="n">
        <v>124.4869903955224</v>
      </c>
      <c r="L80" s="86" t="n">
        <v>100.87</v>
      </c>
      <c r="M80" s="86" t="n">
        <v>5.910000000000025</v>
      </c>
      <c r="N80" s="86" t="n">
        <v>3.45999999999998</v>
      </c>
      <c r="O80" s="86" t="n">
        <v>6.480000000000018</v>
      </c>
      <c r="P80" s="86" t="n">
        <v>0</v>
      </c>
      <c r="Q80" s="86" t="n">
        <v>34.87</v>
      </c>
      <c r="R80" s="86" t="n">
        <v>37.78</v>
      </c>
      <c r="S80" s="79" t="inlineStr">
        <is>
          <t>-</t>
        </is>
      </c>
      <c r="T80" s="80" t="n">
        <v>0.03912687600129114</v>
      </c>
      <c r="U80" s="17" t="inlineStr">
        <is>
          <t>31/03/2025</t>
        </is>
      </c>
      <c r="V80" s="5" t="inlineStr">
        <is>
          <t>12:20:03</t>
        </is>
      </c>
      <c r="W80" s="88">
        <f>IFERROR(Tabela11[[#This Row],[Lucro]]*1/Tabela11[[#This Row],[Capital total]],"")</f>
        <v/>
      </c>
      <c r="X80" s="82">
        <f>Tabela11[[#This Row],[Lucro]]-C79</f>
        <v/>
      </c>
      <c r="Y80" s="65">
        <f>PROPER(TEXT(DATE(2024,MONTH(Tabela11[[#This Row],[Data]]),1),"mmmm"))</f>
        <v/>
      </c>
      <c r="Z80" s="65">
        <f>YEAR(Tabela11[[#This Row],[Data]])</f>
        <v/>
      </c>
      <c r="AA80" s="78">
        <f>Tabela11[[#This Row],[Capital investido]]-A79</f>
        <v/>
      </c>
    </row>
    <row r="81">
      <c r="A81" s="85" t="n">
        <v>515.9380176148068</v>
      </c>
      <c r="B81" s="86" t="n">
        <v>312.1981981901622</v>
      </c>
      <c r="C81" s="86" t="n">
        <v>-203.7398194246446</v>
      </c>
      <c r="D81" s="86" t="n">
        <v>3.43</v>
      </c>
      <c r="E81" s="86" t="n"/>
      <c r="F81" s="86" t="n">
        <v>312.1981981901622</v>
      </c>
      <c r="G81" s="87" t="inlineStr">
        <is>
          <t>-</t>
        </is>
      </c>
      <c r="H81" s="86" t="n">
        <v>114.0680176148068</v>
      </c>
      <c r="I81" s="86" t="n"/>
      <c r="J81" s="86" t="n">
        <v>88.78999999999996</v>
      </c>
      <c r="K81" s="86" t="n">
        <v>123.8701805753554</v>
      </c>
      <c r="L81" s="86" t="n">
        <v>100.76</v>
      </c>
      <c r="M81" s="86" t="n">
        <v>5.910000000000025</v>
      </c>
      <c r="N81" s="86" t="n">
        <v>3.45999999999998</v>
      </c>
      <c r="O81" s="86" t="n">
        <v>6.480000000000018</v>
      </c>
      <c r="P81" s="86" t="n">
        <v>0</v>
      </c>
      <c r="Q81" s="86" t="n">
        <v>35.17</v>
      </c>
      <c r="R81" s="86" t="n">
        <v>37.78</v>
      </c>
      <c r="S81" s="79" t="inlineStr">
        <is>
          <t>-</t>
        </is>
      </c>
      <c r="T81" s="80" t="n">
        <v>0.03902477477377028</v>
      </c>
      <c r="U81" s="17" t="inlineStr">
        <is>
          <t>31/03/2025</t>
        </is>
      </c>
      <c r="V81" s="5" t="inlineStr">
        <is>
          <t>18:10:44</t>
        </is>
      </c>
      <c r="W81" s="88">
        <f>IFERROR(Tabela11[[#This Row],[Lucro]]*1/Tabela11[[#This Row],[Capital total]],"")</f>
        <v/>
      </c>
      <c r="X81" s="82">
        <f>Tabela11[[#This Row],[Lucro]]-C80</f>
        <v/>
      </c>
      <c r="Y81" s="65">
        <f>PROPER(TEXT(DATE(2024,MONTH(Tabela11[[#This Row],[Data]]),1),"mmmm"))</f>
        <v/>
      </c>
      <c r="Z81" s="65">
        <f>YEAR(Tabela11[[#This Row],[Data]])</f>
        <v/>
      </c>
      <c r="AA81" s="78">
        <f>Tabela11[[#This Row],[Capital investido]]-A80</f>
        <v/>
      </c>
    </row>
    <row r="82">
      <c r="A82" s="85" t="n">
        <v>517.8688831426193</v>
      </c>
      <c r="B82" s="86" t="n">
        <v>311.6934251594657</v>
      </c>
      <c r="C82" s="86" t="n">
        <v>-206.1754579831536</v>
      </c>
      <c r="D82" s="86" t="n">
        <v>3.43</v>
      </c>
      <c r="E82" s="86" t="n"/>
      <c r="F82" s="86" t="n">
        <v>311.6934251594657</v>
      </c>
      <c r="G82" s="87" t="inlineStr">
        <is>
          <t>-</t>
        </is>
      </c>
      <c r="H82" s="86" t="n">
        <v>115.9988831426193</v>
      </c>
      <c r="I82" s="86" t="n"/>
      <c r="J82" s="86" t="n">
        <v>88.46999999999997</v>
      </c>
      <c r="K82" s="86" t="n">
        <v>123.3945420168464</v>
      </c>
      <c r="L82" s="86" t="n">
        <v>99.55000000000001</v>
      </c>
      <c r="M82" s="86" t="n">
        <v>5.910000000000025</v>
      </c>
      <c r="N82" s="86" t="n">
        <v>3.45999999999998</v>
      </c>
      <c r="O82" s="86" t="n">
        <v>6.480000000000018</v>
      </c>
      <c r="P82" s="86" t="n">
        <v>0</v>
      </c>
      <c r="Q82" s="86" t="n">
        <v>34.95</v>
      </c>
      <c r="R82" s="86" t="n">
        <v>37.78</v>
      </c>
      <c r="S82" s="79" t="inlineStr">
        <is>
          <t>-</t>
        </is>
      </c>
      <c r="T82" s="80" t="n">
        <v>0.03896167814493321</v>
      </c>
      <c r="U82" s="17" t="inlineStr">
        <is>
          <t>01/04/2025</t>
        </is>
      </c>
      <c r="V82" s="5" t="inlineStr">
        <is>
          <t>18:19:51</t>
        </is>
      </c>
      <c r="W82" s="88">
        <f>IFERROR(Tabela11[[#This Row],[Lucro]]*1/Tabela11[[#This Row],[Capital total]],"")</f>
        <v/>
      </c>
      <c r="X82" s="82">
        <f>Tabela11[[#This Row],[Lucro]]-C81</f>
        <v/>
      </c>
      <c r="Y82" s="65">
        <f>PROPER(TEXT(DATE(2024,MONTH(Tabela11[[#This Row],[Data]]),1),"mmmm"))</f>
        <v/>
      </c>
      <c r="Z82" s="65">
        <f>YEAR(Tabela11[[#This Row],[Data]])</f>
        <v/>
      </c>
      <c r="AA82" s="78">
        <f>Tabela11[[#This Row],[Capital investido]]-A81</f>
        <v/>
      </c>
    </row>
    <row r="83">
      <c r="A83" s="85" t="n">
        <v>524.8602158450266</v>
      </c>
      <c r="B83" s="86" t="n">
        <v>319.6807437749462</v>
      </c>
      <c r="C83" s="86" t="n">
        <v>-205.1794720700804</v>
      </c>
      <c r="D83" s="86" t="n">
        <v>3.43</v>
      </c>
      <c r="E83" s="86" t="n"/>
      <c r="F83" s="86" t="n">
        <v>319.6807437749462</v>
      </c>
      <c r="G83" s="87" t="inlineStr">
        <is>
          <t>-</t>
        </is>
      </c>
      <c r="H83" s="86" t="n">
        <v>117.9502158450265</v>
      </c>
      <c r="I83" s="86" t="n"/>
      <c r="J83" s="86" t="n">
        <v>93.31</v>
      </c>
      <c r="K83" s="86" t="n">
        <v>123.0405279299196</v>
      </c>
      <c r="L83" s="86" t="n">
        <v>99.88</v>
      </c>
      <c r="M83" s="86" t="n">
        <v>5.910000000000025</v>
      </c>
      <c r="N83" s="86" t="n">
        <v>3.45999999999998</v>
      </c>
      <c r="O83" s="86" t="n">
        <v>6.480000000000018</v>
      </c>
      <c r="P83" s="86" t="n">
        <v>0</v>
      </c>
      <c r="Q83" s="86" t="n">
        <v>35.1</v>
      </c>
      <c r="R83" s="86" t="n">
        <v>38.19</v>
      </c>
      <c r="S83" s="79" t="inlineStr">
        <is>
          <t>-</t>
        </is>
      </c>
      <c r="T83" s="80" t="n">
        <v>0.03996009297186828</v>
      </c>
      <c r="U83" s="17" t="inlineStr">
        <is>
          <t>02/04/2025</t>
        </is>
      </c>
      <c r="V83" s="5" t="inlineStr">
        <is>
          <t>20:46:31</t>
        </is>
      </c>
      <c r="W83" s="88">
        <f>IFERROR(Tabela11[[#This Row],[Lucro]]*1/Tabela11[[#This Row],[Capital total]],"")</f>
        <v/>
      </c>
      <c r="X83" s="82">
        <f>Tabela11[[#This Row],[Lucro]]-C82</f>
        <v/>
      </c>
      <c r="Y83" s="65">
        <f>PROPER(TEXT(DATE(2024,MONTH(Tabela11[[#This Row],[Data]]),1),"mmmm"))</f>
        <v/>
      </c>
      <c r="Z83" s="65">
        <f>YEAR(Tabela11[[#This Row],[Data]])</f>
        <v/>
      </c>
      <c r="AA83" s="78">
        <f>Tabela11[[#This Row],[Capital investido]]-A82</f>
        <v/>
      </c>
    </row>
    <row r="84">
      <c r="A84" s="85" t="n">
        <v>527.1922326740794</v>
      </c>
      <c r="B84" s="86" t="n">
        <v>319.3238731023256</v>
      </c>
      <c r="C84" s="86" t="n">
        <v>-207.8683595717538</v>
      </c>
      <c r="D84" s="86" t="n">
        <v>3.43</v>
      </c>
      <c r="E84" s="86" t="n"/>
      <c r="F84" s="86" t="n">
        <v>319.3238731023256</v>
      </c>
      <c r="G84" s="87" t="inlineStr">
        <is>
          <t>-</t>
        </is>
      </c>
      <c r="H84" s="86" t="n">
        <v>119.9222326740794</v>
      </c>
      <c r="I84" s="86" t="n"/>
      <c r="J84" s="86" t="n">
        <v>92.86000000000001</v>
      </c>
      <c r="K84" s="86" t="n">
        <v>122.3216404282462</v>
      </c>
      <c r="L84" s="86" t="n">
        <v>99.22000000000003</v>
      </c>
      <c r="M84" s="86" t="n">
        <v>5.910000000000025</v>
      </c>
      <c r="N84" s="86" t="n">
        <v>3.45999999999998</v>
      </c>
      <c r="O84" s="86" t="n">
        <v>6.480000000000018</v>
      </c>
      <c r="P84" s="86" t="n">
        <v>0</v>
      </c>
      <c r="Q84" s="86" t="n">
        <v>33.75</v>
      </c>
      <c r="R84" s="86" t="n">
        <v>38.55</v>
      </c>
      <c r="S84" s="79" t="inlineStr">
        <is>
          <t>-</t>
        </is>
      </c>
      <c r="T84" s="80" t="n">
        <v>0.0399154841377907</v>
      </c>
      <c r="U84" s="17" t="inlineStr">
        <is>
          <t>03/04/2025</t>
        </is>
      </c>
      <c r="V84" s="5" t="inlineStr">
        <is>
          <t>19:46:18</t>
        </is>
      </c>
      <c r="W84" s="88">
        <f>IFERROR(Tabela11[[#This Row],[Lucro]]*1/Tabela11[[#This Row],[Capital total]],"")</f>
        <v/>
      </c>
      <c r="X84" s="82">
        <f>Tabela11[[#This Row],[Lucro]]-C83</f>
        <v/>
      </c>
      <c r="Y84" s="65">
        <f>PROPER(TEXT(DATE(2024,MONTH(Tabela11[[#This Row],[Data]]),1),"mmmm"))</f>
        <v/>
      </c>
      <c r="Z84" s="65">
        <f>YEAR(Tabela11[[#This Row],[Data]])</f>
        <v/>
      </c>
      <c r="AA84" s="78">
        <f>Tabela11[[#This Row],[Capital investido]]-A83</f>
        <v/>
      </c>
    </row>
    <row r="85">
      <c r="A85" s="85" t="n">
        <v>820.7351528815202</v>
      </c>
      <c r="B85" s="86" t="n">
        <v>816.9362960365066</v>
      </c>
      <c r="C85" s="86" t="n">
        <v>-3.798856845013606</v>
      </c>
      <c r="D85" s="86" t="n">
        <v>4.8</v>
      </c>
      <c r="E85" s="86" t="n"/>
      <c r="F85" s="86" t="n">
        <v>816.9362960365066</v>
      </c>
      <c r="G85" s="87" t="inlineStr">
        <is>
          <t>-</t>
        </is>
      </c>
      <c r="H85" s="86" t="n">
        <v>121.9151528815202</v>
      </c>
      <c r="I85" s="86" t="n"/>
      <c r="J85" s="86" t="n">
        <v>142.87</v>
      </c>
      <c r="K85" s="86" t="n">
        <v>175.3211431549864</v>
      </c>
      <c r="L85" s="86" t="n">
        <v>185.63</v>
      </c>
      <c r="M85" s="86" t="n">
        <v>5.909999999999968</v>
      </c>
      <c r="N85" s="86" t="n">
        <v>5.049999999999955</v>
      </c>
      <c r="O85" s="86" t="n">
        <v>6.480000000000018</v>
      </c>
      <c r="P85" s="86" t="n">
        <v>0</v>
      </c>
      <c r="Q85" s="86" t="n">
        <v>32.88</v>
      </c>
      <c r="R85" s="86" t="n">
        <v>38.55</v>
      </c>
      <c r="S85" s="79" t="inlineStr">
        <is>
          <t>-</t>
        </is>
      </c>
      <c r="T85" s="80" t="n">
        <v>0.1021170370045633</v>
      </c>
      <c r="U85" s="17" t="inlineStr">
        <is>
          <t>04/04/2025</t>
        </is>
      </c>
      <c r="V85" s="5" t="inlineStr">
        <is>
          <t>21:38:56</t>
        </is>
      </c>
      <c r="W85" s="88">
        <f>IFERROR(Tabela11[[#This Row],[Lucro]]*1/Tabela11[[#This Row],[Capital total]],"")</f>
        <v/>
      </c>
      <c r="X85" s="82">
        <f>Tabela11[[#This Row],[Lucro]]-C84</f>
        <v/>
      </c>
      <c r="Y85" s="65">
        <f>PROPER(TEXT(DATE(2024,MONTH(Tabela11[[#This Row],[Data]]),1),"mmmm"))</f>
        <v/>
      </c>
      <c r="Z85" s="65">
        <f>YEAR(Tabela11[[#This Row],[Data]])</f>
        <v/>
      </c>
      <c r="AA85" s="78">
        <f>Tabela11[[#This Row],[Capital investido]]-A84</f>
        <v/>
      </c>
    </row>
    <row r="86">
      <c r="A86" s="85" t="n">
        <v>820.7351528815202</v>
      </c>
      <c r="B86" s="86" t="n">
        <v>642.3722971119948</v>
      </c>
      <c r="C86" s="86" t="n">
        <v>-178.3628557695253</v>
      </c>
      <c r="D86" s="86" t="n">
        <v>4.8</v>
      </c>
      <c r="E86" s="86" t="n"/>
      <c r="F86" s="86" t="n">
        <v>642.3722971119948</v>
      </c>
      <c r="G86" s="86" t="n">
        <v>179.2359987</v>
      </c>
      <c r="H86" s="86" t="n">
        <v>121.9151528815202</v>
      </c>
      <c r="I86" s="86" t="n"/>
      <c r="J86" s="86" t="n">
        <v>142.87</v>
      </c>
      <c r="K86" s="86" t="n">
        <v>175.2971442304747</v>
      </c>
      <c r="L86" s="86" t="n">
        <v>185.63</v>
      </c>
      <c r="M86" s="86" t="n">
        <v>5.909999999999968</v>
      </c>
      <c r="N86" s="86" t="n">
        <v>5.049999999999955</v>
      </c>
      <c r="O86" s="86" t="n">
        <v>6.480000000000018</v>
      </c>
      <c r="P86" s="86" t="n">
        <v>0</v>
      </c>
      <c r="Q86" s="86" t="n">
        <v>32.88</v>
      </c>
      <c r="R86" s="86" t="n">
        <v>38.55</v>
      </c>
      <c r="S86" s="79" t="inlineStr">
        <is>
          <t>-</t>
        </is>
      </c>
      <c r="T86" s="80" t="n">
        <v>0.08029653713899935</v>
      </c>
      <c r="U86" s="17" t="inlineStr">
        <is>
          <t>06/04/2025</t>
        </is>
      </c>
      <c r="V86" s="5" t="inlineStr">
        <is>
          <t>21:06:07</t>
        </is>
      </c>
      <c r="W86" s="88">
        <f>IFERROR(Tabela11[[#This Row],[Lucro]]*1/Tabela11[[#This Row],[Capital total]],"")</f>
        <v/>
      </c>
      <c r="X86" s="82">
        <f>Tabela11[[#This Row],[Lucro]]-C85</f>
        <v/>
      </c>
      <c r="Y86" s="65">
        <f>PROPER(TEXT(DATE(2024,MONTH(Tabela11[[#This Row],[Data]]),1),"mmmm"))</f>
        <v/>
      </c>
      <c r="Z86" s="65">
        <f>YEAR(Tabela11[[#This Row],[Data]])</f>
        <v/>
      </c>
      <c r="AA86" s="78">
        <f>Tabela11[[#This Row],[Capital investido]]-A85</f>
        <v/>
      </c>
    </row>
    <row r="87">
      <c r="A87" s="85" t="n">
        <v>820.8851528815203</v>
      </c>
      <c r="B87" s="86" t="n">
        <v>642.672297111995</v>
      </c>
      <c r="C87" s="86" t="n">
        <v>-178.2128557695253</v>
      </c>
      <c r="D87" s="86" t="n">
        <v>4.8</v>
      </c>
      <c r="E87" s="86" t="n"/>
      <c r="F87" s="86" t="n">
        <v>642.672297111995</v>
      </c>
      <c r="G87" s="86" t="n">
        <v>179.2359987</v>
      </c>
      <c r="H87" s="86" t="n">
        <v>121.9151528815202</v>
      </c>
      <c r="I87" s="86" t="n"/>
      <c r="J87" s="86" t="n">
        <v>142.87</v>
      </c>
      <c r="K87" s="86" t="n">
        <v>175.2971442304747</v>
      </c>
      <c r="L87" s="86" t="n">
        <v>185.63</v>
      </c>
      <c r="M87" s="86" t="n">
        <v>5.909999999999968</v>
      </c>
      <c r="N87" s="86" t="n">
        <v>5.049999999999955</v>
      </c>
      <c r="O87" s="86" t="n">
        <v>6.480000000000018</v>
      </c>
      <c r="P87" s="86" t="n">
        <v>0</v>
      </c>
      <c r="Q87" s="86" t="n">
        <v>32.88</v>
      </c>
      <c r="R87" s="86" t="n">
        <v>38.7</v>
      </c>
      <c r="S87" s="79" t="inlineStr">
        <is>
          <t>-</t>
        </is>
      </c>
      <c r="T87" s="80" t="n">
        <v>0.08033403713899938</v>
      </c>
      <c r="U87" s="17" t="inlineStr">
        <is>
          <t>06/04/2025</t>
        </is>
      </c>
      <c r="V87" s="5" t="inlineStr">
        <is>
          <t>21:10:31</t>
        </is>
      </c>
      <c r="W87" s="88">
        <f>IFERROR(Tabela11[[#This Row],[Lucro]]*1/Tabela11[[#This Row],[Capital total]],"")</f>
        <v/>
      </c>
      <c r="X87" s="82">
        <f>Tabela11[[#This Row],[Lucro]]-C86</f>
        <v/>
      </c>
      <c r="Y87" s="65">
        <f>PROPER(TEXT(DATE(2024,MONTH(Tabela11[[#This Row],[Data]]),1),"mmmm"))</f>
        <v/>
      </c>
      <c r="Z87" s="65">
        <f>YEAR(Tabela11[[#This Row],[Data]])</f>
        <v/>
      </c>
      <c r="AA87" s="78">
        <f>Tabela11[[#This Row],[Capital investido]]-A86</f>
        <v/>
      </c>
    </row>
    <row r="88">
      <c r="A88" s="85" t="n">
        <v>820.8851528815203</v>
      </c>
      <c r="B88" s="86" t="n">
        <v>641.2472009902322</v>
      </c>
      <c r="C88" s="86" t="n">
        <v>-179.6379518912881</v>
      </c>
      <c r="D88" s="86" t="n">
        <v>4.8</v>
      </c>
      <c r="E88" s="86" t="n"/>
      <c r="F88" s="86" t="n">
        <v>641.2472009902322</v>
      </c>
      <c r="G88" s="86" t="n">
        <v>179.24</v>
      </c>
      <c r="H88" s="86" t="n">
        <v>121.9151528815202</v>
      </c>
      <c r="I88" s="86" t="n"/>
      <c r="J88" s="86" t="n">
        <v>140.0599999999999</v>
      </c>
      <c r="K88" s="86" t="n">
        <v>177.4420481087119</v>
      </c>
      <c r="L88" s="86" t="n">
        <v>185.02</v>
      </c>
      <c r="M88" s="86" t="n">
        <v>5.909999999999968</v>
      </c>
      <c r="N88" s="86" t="n">
        <v>5.049999999999955</v>
      </c>
      <c r="O88" s="86" t="n">
        <v>6.480000000000018</v>
      </c>
      <c r="P88" s="86" t="n">
        <v>0</v>
      </c>
      <c r="Q88" s="86" t="n">
        <v>32.86</v>
      </c>
      <c r="R88" s="86" t="n">
        <v>38.7</v>
      </c>
      <c r="S88" s="79" t="inlineStr">
        <is>
          <t>-</t>
        </is>
      </c>
      <c r="T88" s="80" t="n">
        <v>0.08015590012377902</v>
      </c>
      <c r="U88" s="17" t="inlineStr">
        <is>
          <t>07/04/2025</t>
        </is>
      </c>
      <c r="V88" s="5" t="inlineStr">
        <is>
          <t>19:39:54</t>
        </is>
      </c>
      <c r="W88" s="88">
        <f>IFERROR(Tabela11[[#This Row],[Lucro]]*1/Tabela11[[#This Row],[Capital total]],"")</f>
        <v/>
      </c>
      <c r="X88" s="82">
        <f>Tabela11[[#This Row],[Lucro]]-C87</f>
        <v/>
      </c>
      <c r="Y88" s="65">
        <f>PROPER(TEXT(DATE(2024,MONTH(Tabela11[[#This Row],[Data]]),1),"mmmm"))</f>
        <v/>
      </c>
      <c r="Z88" s="65">
        <f>YEAR(Tabela11[[#This Row],[Data]])</f>
        <v/>
      </c>
      <c r="AA88" s="78">
        <f>Tabela11[[#This Row],[Capital investido]]-A87</f>
        <v/>
      </c>
    </row>
    <row r="89">
      <c r="A89" s="77" t="n">
        <v>820.8851528815203</v>
      </c>
      <c r="B89" s="78" t="n">
        <v>641.2472009902322</v>
      </c>
      <c r="C89" s="78" t="n">
        <v>-179.6379518912881</v>
      </c>
      <c r="D89" s="78" t="n">
        <v>4.8</v>
      </c>
      <c r="E89" s="78" t="n"/>
      <c r="F89" s="78" t="n">
        <v>641.2472009902322</v>
      </c>
      <c r="G89" s="78" t="n">
        <v>0</v>
      </c>
      <c r="H89" s="78" t="n">
        <v>121.9151528815202</v>
      </c>
      <c r="I89" s="78" t="n"/>
      <c r="J89" s="78" t="n">
        <v>140.0599999999999</v>
      </c>
      <c r="K89" s="78" t="n">
        <v>177.4420481087119</v>
      </c>
      <c r="L89" s="78" t="n">
        <v>185.02</v>
      </c>
      <c r="M89" s="78" t="n">
        <v>5.909999999999968</v>
      </c>
      <c r="N89" s="78" t="n">
        <v>5.049999999999955</v>
      </c>
      <c r="O89" s="78" t="n">
        <v>6.480000000000018</v>
      </c>
      <c r="P89" s="78" t="n">
        <v>0</v>
      </c>
      <c r="Q89" s="78" t="n">
        <v>32.86</v>
      </c>
      <c r="R89" s="78" t="n">
        <v>38.7</v>
      </c>
      <c r="S89" s="79" t="inlineStr">
        <is>
          <t>-</t>
        </is>
      </c>
      <c r="T89" s="80" t="n">
        <v>0.08015590012377902</v>
      </c>
      <c r="U89" s="18" t="inlineStr">
        <is>
          <t>07/04/2025</t>
        </is>
      </c>
      <c r="V89" s="4" t="inlineStr">
        <is>
          <t>20:09:19</t>
        </is>
      </c>
      <c r="W89" s="81">
        <f>IFERROR(Tabela11[[#This Row],[Lucro]]*1/Tabela11[[#This Row],[Capital total]],"")</f>
        <v/>
      </c>
      <c r="X89" s="82">
        <f>Tabela11[[#This Row],[Lucro]]-C88</f>
        <v/>
      </c>
      <c r="Y89" s="65">
        <f>PROPER(TEXT(DATE(2024,MONTH(Tabela11[[#This Row],[Data]]),1),"mmmm"))</f>
        <v/>
      </c>
      <c r="Z89" s="65">
        <f>YEAR(Tabela11[[#This Row],[Data]])</f>
        <v/>
      </c>
      <c r="AA89" s="78">
        <f>Tabela11[[#This Row],[Capital investido]]-A88</f>
        <v/>
      </c>
    </row>
    <row r="90">
      <c r="A90" s="85" t="n">
        <v>820.8851528815203</v>
      </c>
      <c r="B90" s="86" t="n">
        <v>638.4110668230724</v>
      </c>
      <c r="C90" s="86" t="n">
        <v>-182.474086058448</v>
      </c>
      <c r="D90" s="86" t="n">
        <v>4.8</v>
      </c>
      <c r="E90" s="86" t="n"/>
      <c r="F90" s="86" t="n">
        <v>638.4110668230724</v>
      </c>
      <c r="G90" s="78" t="n">
        <v>0</v>
      </c>
      <c r="H90" s="86" t="n">
        <v>121.9151528815202</v>
      </c>
      <c r="I90" s="86" t="n"/>
      <c r="J90" s="86" t="n">
        <v>134.84</v>
      </c>
      <c r="K90" s="86" t="n">
        <v>180.435913941552</v>
      </c>
      <c r="L90" s="86" t="n">
        <v>184.61</v>
      </c>
      <c r="M90" s="86" t="n">
        <v>5.909999999999968</v>
      </c>
      <c r="N90" s="86" t="n">
        <v>5.049999999999955</v>
      </c>
      <c r="O90" s="86" t="n">
        <v>6.480000000000018</v>
      </c>
      <c r="P90" s="86" t="n">
        <v>0</v>
      </c>
      <c r="Q90" s="86" t="n">
        <v>32.9</v>
      </c>
      <c r="R90" s="86" t="n">
        <v>38.7</v>
      </c>
      <c r="S90" s="79" t="inlineStr">
        <is>
          <t>-</t>
        </is>
      </c>
      <c r="T90" s="80" t="n">
        <v>0.07980138335288404</v>
      </c>
      <c r="U90" s="17" t="inlineStr">
        <is>
          <t>09/04/2025</t>
        </is>
      </c>
      <c r="V90" s="5" t="inlineStr">
        <is>
          <t>06:19:13</t>
        </is>
      </c>
      <c r="W90" s="88">
        <f>IFERROR(Tabela11[[#This Row],[Lucro]]*1/Tabela11[[#This Row],[Capital total]],"")</f>
        <v/>
      </c>
      <c r="X90" s="82">
        <f>Tabela11[[#This Row],[Lucro]]-C89</f>
        <v/>
      </c>
      <c r="Y90" s="65">
        <f>PROPER(TEXT(DATE(2024,MONTH(Tabela11[[#This Row],[Data]]),1),"mmmm"))</f>
        <v/>
      </c>
      <c r="Z90" s="65">
        <f>YEAR(Tabela11[[#This Row],[Data]])</f>
        <v/>
      </c>
      <c r="AA90" s="78">
        <f>Tabela11[[#This Row],[Capital investido]]-A89</f>
        <v/>
      </c>
    </row>
    <row r="91">
      <c r="A91" s="85" t="n">
        <v>821.0351528815202</v>
      </c>
      <c r="B91" s="86" t="n">
        <v>642.9183304521308</v>
      </c>
      <c r="C91" s="86" t="n">
        <v>-178.1168224293894</v>
      </c>
      <c r="D91" s="86" t="n">
        <v>4.8</v>
      </c>
      <c r="E91" s="86" t="n"/>
      <c r="F91" s="86" t="n">
        <v>642.9183304521308</v>
      </c>
      <c r="G91" s="78" t="n">
        <v>0</v>
      </c>
      <c r="H91" s="86" t="n">
        <v>122.0651528815201</v>
      </c>
      <c r="I91" s="86" t="n"/>
      <c r="J91" s="86" t="n">
        <v>140.89</v>
      </c>
      <c r="K91" s="86" t="n">
        <v>174.5531775706106</v>
      </c>
      <c r="L91" s="86" t="n">
        <v>185.22</v>
      </c>
      <c r="M91" s="86" t="n">
        <v>5.909999999999968</v>
      </c>
      <c r="N91" s="86" t="n">
        <v>5.049999999999955</v>
      </c>
      <c r="O91" s="86" t="n">
        <v>6.480000000000018</v>
      </c>
      <c r="P91" s="86" t="n">
        <v>0</v>
      </c>
      <c r="Q91" s="86" t="n">
        <v>34.46</v>
      </c>
      <c r="R91" s="86" t="n">
        <v>38.7</v>
      </c>
      <c r="S91" s="79" t="inlineStr">
        <is>
          <t>-</t>
        </is>
      </c>
      <c r="T91" s="80" t="n">
        <v>0.08036479130651636</v>
      </c>
      <c r="U91" s="17" t="inlineStr">
        <is>
          <t>09/04/2025</t>
        </is>
      </c>
      <c r="V91" s="5" t="inlineStr">
        <is>
          <t>22:31:14</t>
        </is>
      </c>
      <c r="W91" s="88">
        <f>IFERROR(Tabela11[[#This Row],[Lucro]]*1/Tabela11[[#This Row],[Capital total]],"")</f>
        <v/>
      </c>
      <c r="X91" s="82">
        <f>Tabela11[[#This Row],[Lucro]]-C90</f>
        <v/>
      </c>
      <c r="Y91" s="65">
        <f>PROPER(TEXT(DATE(2024,MONTH(Tabela11[[#This Row],[Data]]),1),"mmmm"))</f>
        <v/>
      </c>
      <c r="Z91" s="65">
        <f>YEAR(Tabela11[[#This Row],[Data]])</f>
        <v/>
      </c>
      <c r="AA91" s="78">
        <f>Tabela11[[#This Row],[Capital investido]]-A90</f>
        <v/>
      </c>
    </row>
    <row r="92">
      <c r="A92" s="85" t="n">
        <v>820.6651528815203</v>
      </c>
      <c r="B92" s="86" t="n">
        <v>646.3762409177336</v>
      </c>
      <c r="C92" s="86" t="n">
        <v>-174.2889119637866</v>
      </c>
      <c r="D92" s="86" t="n">
        <v>4.8</v>
      </c>
      <c r="E92" s="86" t="n"/>
      <c r="F92" s="86" t="n">
        <v>646.3762409177336</v>
      </c>
      <c r="G92" s="78" t="n">
        <v>0</v>
      </c>
      <c r="H92" s="86" t="n">
        <v>122.1351528815202</v>
      </c>
      <c r="I92" s="86" t="n"/>
      <c r="J92" s="86" t="n">
        <v>139.46</v>
      </c>
      <c r="K92" s="86" t="n">
        <v>176.5510880362134</v>
      </c>
      <c r="L92" s="86" t="n">
        <v>184.41</v>
      </c>
      <c r="M92" s="86" t="n">
        <v>5.909999999999968</v>
      </c>
      <c r="N92" s="86" t="n">
        <v>5.049999999999955</v>
      </c>
      <c r="O92" s="86" t="n">
        <v>6.480000000000018</v>
      </c>
      <c r="P92" s="86" t="n">
        <v>0</v>
      </c>
      <c r="Q92" s="86" t="n">
        <v>33.93</v>
      </c>
      <c r="R92" s="86" t="n">
        <v>38.26000000000001</v>
      </c>
      <c r="S92" s="79" t="inlineStr">
        <is>
          <t>-</t>
        </is>
      </c>
      <c r="T92" s="80" t="n">
        <v>0.0807970301147167</v>
      </c>
      <c r="U92" s="17" t="inlineStr">
        <is>
          <t>10/04/2025</t>
        </is>
      </c>
      <c r="V92" s="5" t="inlineStr">
        <is>
          <t>18:28:23</t>
        </is>
      </c>
      <c r="W92" s="88">
        <f>IFERROR(Tabela11[[#This Row],[Lucro]]*1/Tabela11[[#This Row],[Capital total]],"")</f>
        <v/>
      </c>
      <c r="X92" s="82">
        <f>Tabela11[[#This Row],[Lucro]]-C91</f>
        <v/>
      </c>
      <c r="Y92" s="65">
        <f>PROPER(TEXT(DATE(2024,MONTH(Tabela11[[#This Row],[Data]]),1),"mmmm"))</f>
        <v/>
      </c>
      <c r="Z92" s="65">
        <f>YEAR(Tabela11[[#This Row],[Data]])</f>
        <v/>
      </c>
      <c r="AA92" s="78">
        <f>Tabela11[[#This Row],[Capital investido]]-A91</f>
        <v/>
      </c>
    </row>
    <row r="93">
      <c r="A93" s="85" t="n">
        <v>820.7251528815202</v>
      </c>
      <c r="B93" s="86" t="n">
        <v>633.9562409177336</v>
      </c>
      <c r="C93" s="86" t="n">
        <v>-186.7689119637866</v>
      </c>
      <c r="D93" s="86" t="n">
        <v>4.8</v>
      </c>
      <c r="E93" s="86" t="n"/>
      <c r="F93" s="86" t="n">
        <v>633.9562409177336</v>
      </c>
      <c r="G93" s="86" t="n">
        <v>192.1133874</v>
      </c>
      <c r="H93" s="86" t="n">
        <v>122.1351528815202</v>
      </c>
      <c r="I93" s="86" t="n"/>
      <c r="J93" s="86" t="n">
        <v>139.46</v>
      </c>
      <c r="K93" s="86" t="n">
        <v>176.5510880362134</v>
      </c>
      <c r="L93" s="86" t="n">
        <v>184.41</v>
      </c>
      <c r="M93" s="86" t="n">
        <v>5.909999999999968</v>
      </c>
      <c r="N93" s="86" t="n">
        <v>5.049999999999955</v>
      </c>
      <c r="O93" s="86" t="n">
        <v>6.539999999999964</v>
      </c>
      <c r="P93" s="86" t="n">
        <v>0</v>
      </c>
      <c r="Q93" s="86" t="n">
        <v>33.93</v>
      </c>
      <c r="R93" s="86" t="n">
        <v>38.26000000000001</v>
      </c>
      <c r="S93" s="79" t="inlineStr">
        <is>
          <t>-</t>
        </is>
      </c>
      <c r="T93" s="80" t="n">
        <v>0.0792445301147167</v>
      </c>
      <c r="U93" s="17" t="inlineStr">
        <is>
          <t>10/04/2025</t>
        </is>
      </c>
      <c r="V93" s="5" t="inlineStr">
        <is>
          <t>21:47:13</t>
        </is>
      </c>
      <c r="W93" s="88">
        <f>IFERROR(Tabela11[[#This Row],[Lucro]]*1/Tabela11[[#This Row],[Capital total]],"")</f>
        <v/>
      </c>
      <c r="X93" s="82">
        <f>Tabela11[[#This Row],[Lucro]]-C92</f>
        <v/>
      </c>
      <c r="Y93" s="65">
        <f>PROPER(TEXT(DATE(2024,MONTH(Tabela11[[#This Row],[Data]]),1),"mmmm"))</f>
        <v/>
      </c>
      <c r="Z93" s="65">
        <f>YEAR(Tabela11[[#This Row],[Data]])</f>
        <v/>
      </c>
      <c r="AA93" s="78">
        <f>Tabela11[[#This Row],[Capital investido]]-A92</f>
        <v/>
      </c>
    </row>
    <row r="94">
      <c r="A94" s="85" t="n">
        <v>821.1451528815202</v>
      </c>
      <c r="B94" s="86" t="n">
        <v>637.0412671327598</v>
      </c>
      <c r="C94" s="86" t="n">
        <v>-184.1038857487604</v>
      </c>
      <c r="D94" s="86" t="n">
        <v>4.8</v>
      </c>
      <c r="E94" s="86" t="n"/>
      <c r="F94" s="86" t="n">
        <v>637.0412671327598</v>
      </c>
      <c r="G94" s="86" t="inlineStr">
        <is>
          <t>-</t>
        </is>
      </c>
      <c r="H94" s="86" t="n">
        <v>122.1951528815201</v>
      </c>
      <c r="I94" s="86" t="n"/>
      <c r="J94" s="86" t="n">
        <v>141.4299999999999</v>
      </c>
      <c r="K94" s="86" t="n">
        <v>175.9661142512396</v>
      </c>
      <c r="L94" s="86" t="n">
        <v>184.4</v>
      </c>
      <c r="M94" s="86" t="n">
        <v>5.909999999999968</v>
      </c>
      <c r="N94" s="86" t="n">
        <v>5.049999999999955</v>
      </c>
      <c r="O94" s="86" t="n">
        <v>6.539999999999964</v>
      </c>
      <c r="P94" s="86" t="n">
        <v>0</v>
      </c>
      <c r="Q94" s="86" t="n">
        <v>34.04</v>
      </c>
      <c r="R94" s="86" t="n">
        <v>38.62</v>
      </c>
      <c r="S94" s="79" t="inlineStr">
        <is>
          <t>-</t>
        </is>
      </c>
      <c r="T94" s="80" t="n">
        <v>0.07963015839159497</v>
      </c>
      <c r="U94" s="17" t="inlineStr">
        <is>
          <t>11/04/2025</t>
        </is>
      </c>
      <c r="V94" s="5" t="inlineStr">
        <is>
          <t>21:38:15</t>
        </is>
      </c>
      <c r="W94" s="88">
        <f>IFERROR(Tabela11[[#This Row],[Lucro]]*1/Tabela11[[#This Row],[Capital total]],"")</f>
        <v/>
      </c>
      <c r="X94" s="82">
        <f>Tabela11[[#This Row],[Lucro]]-C93</f>
        <v/>
      </c>
      <c r="Y94" s="65">
        <f>PROPER(TEXT(DATE(2024,MONTH(Tabela11[[#This Row],[Data]]),1),"mmmm"))</f>
        <v/>
      </c>
      <c r="Z94" s="65">
        <f>YEAR(Tabela11[[#This Row],[Data]])</f>
        <v/>
      </c>
      <c r="AA94" s="78">
        <f>Tabela11[[#This Row],[Capital investido]]-A93</f>
        <v/>
      </c>
    </row>
    <row r="95">
      <c r="A95" s="85" t="n">
        <v>821.1451528815202</v>
      </c>
      <c r="B95" s="86" t="n">
        <v>514.8412671327596</v>
      </c>
      <c r="C95" s="86" t="n">
        <v>-306.3038857487605</v>
      </c>
      <c r="D95" s="86" t="n">
        <v>4.8</v>
      </c>
      <c r="E95" s="86" t="n"/>
      <c r="F95" s="86" t="n">
        <v>514.8412671327596</v>
      </c>
      <c r="G95" s="86" t="n">
        <v>317.6</v>
      </c>
      <c r="H95" s="86" t="n">
        <v>122.1951528815201</v>
      </c>
      <c r="I95" s="86" t="n"/>
      <c r="J95" s="86" t="n">
        <v>141.4300000000001</v>
      </c>
      <c r="K95" s="86" t="n">
        <v>175.9661142512396</v>
      </c>
      <c r="L95" s="86" t="n">
        <v>184.4</v>
      </c>
      <c r="M95" s="86" t="n">
        <v>5.909999999999968</v>
      </c>
      <c r="N95" s="86" t="n">
        <v>5.049999999999955</v>
      </c>
      <c r="O95" s="86" t="n">
        <v>6.539999999999964</v>
      </c>
      <c r="P95" s="86" t="n">
        <v>0</v>
      </c>
      <c r="Q95" s="86" t="n">
        <v>34.04</v>
      </c>
      <c r="R95" s="86" t="n">
        <v>38.62</v>
      </c>
      <c r="S95" s="79" t="inlineStr">
        <is>
          <t>-</t>
        </is>
      </c>
      <c r="T95" s="80" t="n">
        <v>0.06435515839159496</v>
      </c>
      <c r="U95" s="17" t="inlineStr">
        <is>
          <t>11/04/2025</t>
        </is>
      </c>
      <c r="V95" s="5" t="inlineStr">
        <is>
          <t>21:43:29</t>
        </is>
      </c>
      <c r="W95" s="88">
        <f>IFERROR(Tabela11[[#This Row],[Lucro]]*1/Tabela11[[#This Row],[Capital total]],"")</f>
        <v/>
      </c>
      <c r="X95" s="82">
        <f>Tabela11[[#This Row],[Lucro]]-C94</f>
        <v/>
      </c>
      <c r="Y95" s="65">
        <f>PROPER(TEXT(DATE(2024,MONTH(Tabela11[[#This Row],[Data]]),1),"mmmm"))</f>
        <v/>
      </c>
      <c r="Z95" s="65">
        <f>YEAR(Tabela11[[#This Row],[Data]])</f>
        <v/>
      </c>
      <c r="AA95" s="78">
        <f>Tabela11[[#This Row],[Capital investido]]-A94</f>
        <v/>
      </c>
    </row>
    <row r="96">
      <c r="A96" s="85" t="n">
        <v>821.1451528815202</v>
      </c>
      <c r="B96" s="86" t="n">
        <v>514.8412671327596</v>
      </c>
      <c r="C96" s="86" t="n">
        <v>-306.3038857487605</v>
      </c>
      <c r="D96" s="86" t="n">
        <v>4.8</v>
      </c>
      <c r="E96" s="86" t="n"/>
      <c r="F96" s="86" t="n">
        <v>514.8412671327596</v>
      </c>
      <c r="G96" s="86" t="n">
        <v>0</v>
      </c>
      <c r="H96" s="86" t="n">
        <v>122.1951528815201</v>
      </c>
      <c r="I96" s="86" t="n"/>
      <c r="J96" s="86" t="n">
        <v>141.4300000000001</v>
      </c>
      <c r="K96" s="86" t="n">
        <v>175.9661142512396</v>
      </c>
      <c r="L96" s="86" t="n">
        <v>184.4</v>
      </c>
      <c r="M96" s="86" t="n">
        <v>5.909999999999968</v>
      </c>
      <c r="N96" s="86" t="n">
        <v>5.049999999999955</v>
      </c>
      <c r="O96" s="86" t="n">
        <v>6.539999999999964</v>
      </c>
      <c r="P96" s="86" t="n">
        <v>0</v>
      </c>
      <c r="Q96" s="86" t="n">
        <v>34.04</v>
      </c>
      <c r="R96" s="86" t="n">
        <v>38.62</v>
      </c>
      <c r="S96" s="87" t="inlineStr">
        <is>
          <t>-</t>
        </is>
      </c>
      <c r="T96" s="80" t="n">
        <v>0.06435515839159496</v>
      </c>
      <c r="U96" s="17" t="inlineStr">
        <is>
          <t>12/04/2025</t>
        </is>
      </c>
      <c r="V96" s="5" t="inlineStr">
        <is>
          <t>17:02:29</t>
        </is>
      </c>
      <c r="W96" s="88">
        <f>IFERROR(Tabela11[[#This Row],[Lucro]]*1/Tabela11[[#This Row],[Capital total]],"")</f>
        <v/>
      </c>
      <c r="X96" s="82">
        <f>Tabela11[[#This Row],[Lucro]]-C95</f>
        <v/>
      </c>
      <c r="Y96" s="65">
        <f>PROPER(TEXT(DATE(2024,MONTH(Tabela11[[#This Row],[Data]]),1),"mmmm"))</f>
        <v/>
      </c>
      <c r="Z96" s="65">
        <f>YEAR(Tabela11[[#This Row],[Data]])</f>
        <v/>
      </c>
      <c r="AA96" s="78">
        <f>Tabela11[[#This Row],[Capital investido]]-A95</f>
        <v/>
      </c>
    </row>
    <row r="97">
      <c r="A97" s="85" t="n">
        <v>821.1451528815202</v>
      </c>
      <c r="B97" s="86" t="n">
        <v>514.8412671327596</v>
      </c>
      <c r="C97" s="86" t="n">
        <v>-306.3038857487605</v>
      </c>
      <c r="D97" s="86" t="n">
        <v>4.8</v>
      </c>
      <c r="E97" s="86" t="n"/>
      <c r="F97" s="86" t="n">
        <v>514.8412671327596</v>
      </c>
      <c r="G97" s="86" t="n">
        <v>0</v>
      </c>
      <c r="H97" s="86" t="n">
        <v>122.1951528815201</v>
      </c>
      <c r="I97" s="86" t="n"/>
      <c r="J97" s="86" t="n">
        <v>141.4300000000001</v>
      </c>
      <c r="K97" s="86" t="n">
        <v>175.9661142512396</v>
      </c>
      <c r="L97" s="86" t="n">
        <v>184.4</v>
      </c>
      <c r="M97" s="86" t="n">
        <v>5.909999999999968</v>
      </c>
      <c r="N97" s="86" t="n">
        <v>5.049999999999955</v>
      </c>
      <c r="O97" s="86" t="n">
        <v>6.539999999999964</v>
      </c>
      <c r="P97" s="86" t="n">
        <v>0</v>
      </c>
      <c r="Q97" s="86" t="n">
        <v>34.04</v>
      </c>
      <c r="R97" s="86" t="n">
        <v>38.62</v>
      </c>
      <c r="S97" s="86" t="n">
        <v>109.43</v>
      </c>
      <c r="T97" s="80" t="n">
        <v>0.06435515839159496</v>
      </c>
      <c r="U97" s="17" t="inlineStr">
        <is>
          <t>12/04/2025</t>
        </is>
      </c>
      <c r="V97" s="5" t="inlineStr">
        <is>
          <t>17:04:25</t>
        </is>
      </c>
      <c r="W97" s="88">
        <f>IFERROR(Tabela11[[#This Row],[Lucro]]*1/Tabela11[[#This Row],[Capital total]],"")</f>
        <v/>
      </c>
      <c r="X97" s="82">
        <f>Tabela11[[#This Row],[Lucro]]-C96</f>
        <v/>
      </c>
      <c r="Y97" s="65">
        <f>PROPER(TEXT(DATE(2024,MONTH(Tabela11[[#This Row],[Data]]),1),"mmmm"))</f>
        <v/>
      </c>
      <c r="Z97" s="65">
        <f>YEAR(Tabela11[[#This Row],[Data]])</f>
        <v/>
      </c>
      <c r="AA97" s="78">
        <f>Tabela11[[#This Row],[Capital investido]]-A96</f>
        <v/>
      </c>
    </row>
    <row r="98">
      <c r="A98" s="85" t="n">
        <v>822.2351528815202</v>
      </c>
      <c r="B98" s="86" t="n">
        <v>520.0992394389373</v>
      </c>
      <c r="C98" s="86" t="n">
        <v>-302.1359134425829</v>
      </c>
      <c r="D98" s="86" t="n">
        <v>4.8</v>
      </c>
      <c r="E98" s="86" t="n"/>
      <c r="F98" s="86" t="n">
        <v>520.0992394389373</v>
      </c>
      <c r="G98" s="86" t="n">
        <v>0</v>
      </c>
      <c r="H98" s="86" t="n">
        <v>122.1951528815201</v>
      </c>
      <c r="I98" s="86" t="n"/>
      <c r="J98" s="86" t="n">
        <v>141.45</v>
      </c>
      <c r="K98" s="86" t="n">
        <v>176.584086557417</v>
      </c>
      <c r="L98" s="86" t="n">
        <v>185.4400000000001</v>
      </c>
      <c r="M98" s="86" t="n">
        <v>7</v>
      </c>
      <c r="N98" s="86" t="n">
        <v>5.049999999999955</v>
      </c>
      <c r="O98" s="86" t="n">
        <v>6.539999999999964</v>
      </c>
      <c r="P98" s="86" t="n">
        <v>0</v>
      </c>
      <c r="Q98" s="86" t="n">
        <v>34.64</v>
      </c>
      <c r="R98" s="86" t="n">
        <v>38.62</v>
      </c>
      <c r="S98" s="86" t="n">
        <v>109.8</v>
      </c>
      <c r="T98" s="80" t="n">
        <v>0.06501240492986717</v>
      </c>
      <c r="U98" s="17" t="inlineStr">
        <is>
          <t>15/04/2025</t>
        </is>
      </c>
      <c r="V98" s="5" t="inlineStr">
        <is>
          <t>18:45:40</t>
        </is>
      </c>
      <c r="W98" s="88">
        <f>IFERROR(Tabela11[[#This Row],[Lucro]]*1/Tabela11[[#This Row],[Capital total]],"")</f>
        <v/>
      </c>
      <c r="X98" s="82">
        <f>Tabela11[[#This Row],[Lucro]]-C97</f>
        <v/>
      </c>
      <c r="Y98" s="65">
        <f>PROPER(TEXT(DATE(2024,MONTH(Tabela11[[#This Row],[Data]]),1),"mmmm"))</f>
        <v/>
      </c>
      <c r="Z98" s="65">
        <f>YEAR(Tabela11[[#This Row],[Data]])</f>
        <v/>
      </c>
      <c r="AA98" s="78">
        <f>Tabela11[[#This Row],[Capital investido]]-A97</f>
        <v/>
      </c>
    </row>
    <row r="99">
      <c r="A99" s="85" t="n">
        <v>822.4851528815203</v>
      </c>
      <c r="B99" s="86" t="n">
        <v>520.0722661917077</v>
      </c>
      <c r="C99" s="86" t="n">
        <v>-302.4128866898125</v>
      </c>
      <c r="D99" s="86" t="n">
        <v>4.8</v>
      </c>
      <c r="E99" s="86" t="n"/>
      <c r="F99" s="86" t="n">
        <v>520.0722661917077</v>
      </c>
      <c r="G99" s="86" t="n">
        <v>317.6011784</v>
      </c>
      <c r="H99" s="86" t="n">
        <v>122.1951528815201</v>
      </c>
      <c r="I99" s="86" t="n"/>
      <c r="J99" s="86" t="n">
        <v>118.62</v>
      </c>
      <c r="K99" s="86" t="n">
        <v>175.9871133101874</v>
      </c>
      <c r="L99" s="86" t="n">
        <v>207.04</v>
      </c>
      <c r="M99" s="86" t="n">
        <v>7</v>
      </c>
      <c r="N99" s="86" t="n">
        <v>5.049999999999955</v>
      </c>
      <c r="O99" s="86" t="n">
        <v>6.539999999999964</v>
      </c>
      <c r="P99" s="86" t="n">
        <v>0</v>
      </c>
      <c r="Q99" s="86" t="n">
        <v>34.13</v>
      </c>
      <c r="R99" s="86" t="n">
        <v>39.07</v>
      </c>
      <c r="S99" s="86" t="n">
        <v>110.81</v>
      </c>
      <c r="T99" s="80" t="n">
        <v>0.06500903327396347</v>
      </c>
      <c r="U99" s="17" t="inlineStr">
        <is>
          <t>16/04/2025</t>
        </is>
      </c>
      <c r="V99" s="5" t="inlineStr">
        <is>
          <t>21:42:20</t>
        </is>
      </c>
      <c r="W99" s="88">
        <f>IFERROR(Tabela11[[#This Row],[Lucro]]*1/Tabela11[[#This Row],[Capital total]],"")</f>
        <v/>
      </c>
      <c r="X99" s="82">
        <f>Tabela11[[#This Row],[Lucro]]-C98</f>
        <v/>
      </c>
      <c r="Y99" s="65">
        <f>PROPER(TEXT(DATE(2024,MONTH(Tabela11[[#This Row],[Data]]),1),"mmmm"))</f>
        <v/>
      </c>
      <c r="Z99" s="65">
        <f>YEAR(Tabela11[[#This Row],[Data]])</f>
        <v/>
      </c>
      <c r="AA99" s="78">
        <f>Tabela11[[#This Row],[Capital investido]]-A98</f>
        <v/>
      </c>
    </row>
    <row r="100">
      <c r="A100" s="85" t="n">
        <v>822.5351528815203</v>
      </c>
      <c r="B100" s="86" t="n">
        <v>523.0283465844549</v>
      </c>
      <c r="C100" s="86" t="n">
        <v>-299.5068062970654</v>
      </c>
      <c r="D100" s="86" t="n">
        <v>4.8</v>
      </c>
      <c r="E100" s="86" t="n"/>
      <c r="F100" s="86" t="n">
        <v>523.0283465844549</v>
      </c>
      <c r="G100" s="86" t="n">
        <v>0</v>
      </c>
      <c r="H100" s="86" t="n">
        <v>122.1951528815201</v>
      </c>
      <c r="I100" s="86" t="n"/>
      <c r="J100" s="86" t="n">
        <v>118.7</v>
      </c>
      <c r="K100" s="86" t="n">
        <v>174.1931937029344</v>
      </c>
      <c r="L100" s="86" t="n">
        <v>207.66</v>
      </c>
      <c r="M100" s="86" t="n">
        <v>7</v>
      </c>
      <c r="N100" s="86" t="n">
        <v>5.049999999999955</v>
      </c>
      <c r="O100" s="86" t="n">
        <v>6.539999999999964</v>
      </c>
      <c r="P100" s="86" t="n">
        <v>0</v>
      </c>
      <c r="Q100" s="86" t="n">
        <v>33.99</v>
      </c>
      <c r="R100" s="86" t="n">
        <v>39.12</v>
      </c>
      <c r="S100" s="86" t="n">
        <v>114.6</v>
      </c>
      <c r="T100" s="80" t="n">
        <v>0.06537854332305686</v>
      </c>
      <c r="U100" s="17" t="inlineStr">
        <is>
          <t>18/04/2025</t>
        </is>
      </c>
      <c r="V100" s="5" t="inlineStr">
        <is>
          <t>21:41:39</t>
        </is>
      </c>
      <c r="W100" s="88">
        <f>IFERROR(Tabela11[[#This Row],[Lucro]]*1/Tabela11[[#This Row],[Capital total]],"")</f>
        <v/>
      </c>
      <c r="X100" s="82">
        <f>Tabela11[[#This Row],[Lucro]]-C99</f>
        <v/>
      </c>
      <c r="Y100" s="65">
        <f>PROPER(TEXT(DATE(2024,MONTH(Tabela11[[#This Row],[Data]]),1),"mmmm"))</f>
        <v/>
      </c>
      <c r="Z100" s="65">
        <f>YEAR(Tabela11[[#This Row],[Data]])</f>
        <v/>
      </c>
      <c r="AA100" s="78">
        <f>Tabela11[[#This Row],[Capital investido]]-A99</f>
        <v/>
      </c>
    </row>
    <row r="101">
      <c r="A101" s="85" t="n">
        <v>822.5351528815203</v>
      </c>
      <c r="B101" s="86" t="n">
        <v>533.0283465844549</v>
      </c>
      <c r="C101" s="86" t="n">
        <v>-289.5068062970654</v>
      </c>
      <c r="D101" s="86" t="n">
        <v>4.8</v>
      </c>
      <c r="E101" s="86" t="n"/>
      <c r="F101" s="86" t="n">
        <v>533.0283465844549</v>
      </c>
      <c r="G101" s="86" t="n">
        <v>315.9516476</v>
      </c>
      <c r="H101" s="86" t="n">
        <v>122.1951528815201</v>
      </c>
      <c r="I101" s="86" t="n"/>
      <c r="J101" s="86" t="n">
        <v>118.7</v>
      </c>
      <c r="K101" s="86" t="n">
        <v>174.1931937029344</v>
      </c>
      <c r="L101" s="86" t="n">
        <v>207.66</v>
      </c>
      <c r="M101" s="86" t="n">
        <v>7</v>
      </c>
      <c r="N101" s="86" t="n">
        <v>5.049999999999955</v>
      </c>
      <c r="O101" s="86" t="n">
        <v>6.539999999999964</v>
      </c>
      <c r="P101" s="86" t="n">
        <v>0</v>
      </c>
      <c r="Q101" s="86" t="n">
        <v>33.99</v>
      </c>
      <c r="R101" s="86" t="n">
        <v>39.12</v>
      </c>
      <c r="S101" s="86" t="n">
        <v>114.6</v>
      </c>
      <c r="T101" s="80" t="n">
        <v>0.06662854332305686</v>
      </c>
      <c r="U101" s="17" t="inlineStr">
        <is>
          <t>20/04/2025</t>
        </is>
      </c>
      <c r="V101" s="5" t="inlineStr">
        <is>
          <t>15:55:18</t>
        </is>
      </c>
      <c r="W101" s="88">
        <f>IFERROR(Tabela11[[#This Row],[Lucro]]*1/Tabela11[[#This Row],[Capital total]],"")</f>
        <v/>
      </c>
      <c r="X101" s="82">
        <f>Tabela11[[#This Row],[Lucro]]-C100</f>
        <v/>
      </c>
      <c r="Y101" s="65">
        <f>PROPER(TEXT(DATE(2024,MONTH(Tabela11[[#This Row],[Data]]),1),"mmmm"))</f>
        <v/>
      </c>
      <c r="Z101" s="65">
        <f>YEAR(Tabela11[[#This Row],[Data]])</f>
        <v/>
      </c>
      <c r="AA101" s="78">
        <f>Tabela11[[#This Row],[Capital investido]]-A100</f>
        <v/>
      </c>
    </row>
    <row r="102">
      <c r="A102" s="85" t="n">
        <v>856.1493361445469</v>
      </c>
      <c r="B102" s="86" t="n">
        <v>566.6425298474815</v>
      </c>
      <c r="C102" s="86" t="n">
        <v>-289.5068062970654</v>
      </c>
      <c r="D102" s="86" t="n">
        <v>4.8</v>
      </c>
      <c r="E102" s="86" t="n"/>
      <c r="F102" s="86" t="n">
        <v>566.6425298474815</v>
      </c>
      <c r="G102" s="86" t="n">
        <v>315.9516476</v>
      </c>
      <c r="H102" s="86" t="n">
        <v>155.8093361445468</v>
      </c>
      <c r="I102" s="86" t="n"/>
      <c r="J102" s="86" t="n">
        <v>118.7</v>
      </c>
      <c r="K102" s="86" t="n">
        <v>174.1931937029344</v>
      </c>
      <c r="L102" s="86" t="n">
        <v>207.66</v>
      </c>
      <c r="M102" s="86" t="n">
        <v>7</v>
      </c>
      <c r="N102" s="86" t="n">
        <v>5.049999999999955</v>
      </c>
      <c r="O102" s="86" t="n">
        <v>6.539999999999964</v>
      </c>
      <c r="P102" s="86" t="n">
        <v>0</v>
      </c>
      <c r="Q102" s="86" t="n">
        <v>33.99</v>
      </c>
      <c r="R102" s="86" t="n">
        <v>39.12</v>
      </c>
      <c r="S102" s="86" t="n">
        <v>114.6</v>
      </c>
      <c r="T102" s="80" t="n">
        <v>0.07083031623093518</v>
      </c>
      <c r="U102" s="17" t="inlineStr">
        <is>
          <t>20/04/2025</t>
        </is>
      </c>
      <c r="V102" s="5" t="inlineStr">
        <is>
          <t>16:07:08</t>
        </is>
      </c>
      <c r="W102" s="88">
        <f>IFERROR(Tabela11[[#This Row],[Lucro]]*1/Tabela11[[#This Row],[Capital total]],"")</f>
        <v/>
      </c>
      <c r="X102" s="82">
        <f>Tabela11[[#This Row],[Lucro]]-C101</f>
        <v/>
      </c>
      <c r="Y102" s="65">
        <f>PROPER(TEXT(DATE(2024,MONTH(Tabela11[[#This Row],[Data]]),1),"mmmm"))</f>
        <v/>
      </c>
      <c r="Z102" s="65">
        <f>YEAR(Tabela11[[#This Row],[Data]])</f>
        <v/>
      </c>
      <c r="AA102" s="78">
        <f>Tabela11[[#This Row],[Capital investido]]-A101</f>
        <v/>
      </c>
    </row>
    <row r="103">
      <c r="A103" s="85" t="n">
        <v>856.1493361445469</v>
      </c>
      <c r="B103" s="86" t="n">
        <v>565.778696279289</v>
      </c>
      <c r="C103" s="86" t="n">
        <v>-290.3706398652579</v>
      </c>
      <c r="D103" s="86" t="n">
        <v>4.8</v>
      </c>
      <c r="E103" s="86" t="n"/>
      <c r="F103" s="86" t="n">
        <v>565.778696279289</v>
      </c>
      <c r="G103" s="86" t="n">
        <v>315.9516476</v>
      </c>
      <c r="H103" s="86" t="n">
        <v>155.8093361445468</v>
      </c>
      <c r="I103" s="86" t="n"/>
      <c r="J103" s="86" t="n">
        <v>119.76</v>
      </c>
      <c r="K103" s="86" t="n">
        <v>170.479360134742</v>
      </c>
      <c r="L103" s="86" t="n">
        <v>208.6900000000001</v>
      </c>
      <c r="M103" s="86" t="n">
        <v>7</v>
      </c>
      <c r="N103" s="86" t="n">
        <v>5.049999999999955</v>
      </c>
      <c r="O103" s="86" t="n">
        <v>6.539999999999964</v>
      </c>
      <c r="P103" s="86" t="n">
        <v>0</v>
      </c>
      <c r="Q103" s="86" t="n">
        <v>34.13</v>
      </c>
      <c r="R103" s="86" t="n">
        <v>39.12</v>
      </c>
      <c r="S103" s="86" t="n">
        <v>114.6</v>
      </c>
      <c r="T103" s="80" t="n">
        <v>0.07072233703491113</v>
      </c>
      <c r="U103" s="17" t="inlineStr">
        <is>
          <t>24/04/2025</t>
        </is>
      </c>
      <c r="V103" s="5" t="inlineStr">
        <is>
          <t>09:52:07</t>
        </is>
      </c>
      <c r="W103" s="88">
        <f>IFERROR(Tabela11[[#This Row],[Lucro]]*1/Tabela11[[#This Row],[Capital total]],"")</f>
        <v/>
      </c>
      <c r="X103" s="82">
        <f>Tabela11[[#This Row],[Lucro]]-C102</f>
        <v/>
      </c>
      <c r="Y103" s="65">
        <f>PROPER(TEXT(DATE(2024,MONTH(Tabela11[[#This Row],[Data]]),1),"mmmm"))</f>
        <v/>
      </c>
      <c r="Z103" s="65">
        <f>YEAR(Tabela11[[#This Row],[Data]])</f>
        <v/>
      </c>
      <c r="AA103" s="78">
        <f>Tabela11[[#This Row],[Capital investido]]-A102</f>
        <v/>
      </c>
    </row>
    <row r="104">
      <c r="A104" s="85" t="n">
        <v>856.3693361445469</v>
      </c>
      <c r="B104" s="86" t="n">
        <v>565.8467075719157</v>
      </c>
      <c r="C104" s="86" t="n">
        <v>-290.5226285726312</v>
      </c>
      <c r="D104" s="86" t="n">
        <v>4.8</v>
      </c>
      <c r="E104" s="86" t="n"/>
      <c r="F104" s="86" t="n">
        <v>565.8467075719157</v>
      </c>
      <c r="G104" s="86" t="n">
        <v>315.9516476</v>
      </c>
      <c r="H104" s="86" t="n">
        <v>155.8093361445468</v>
      </c>
      <c r="I104" s="86" t="n"/>
      <c r="J104" s="86" t="n">
        <v>119.76</v>
      </c>
      <c r="K104" s="86" t="n">
        <v>170.2273714273687</v>
      </c>
      <c r="L104" s="86" t="n">
        <v>208.6900000000001</v>
      </c>
      <c r="M104" s="86" t="n">
        <v>7</v>
      </c>
      <c r="N104" s="86" t="n">
        <v>5.049999999999955</v>
      </c>
      <c r="O104" s="86" t="n">
        <v>6.539999999999964</v>
      </c>
      <c r="P104" s="86" t="n">
        <v>0</v>
      </c>
      <c r="Q104" s="86" t="n">
        <v>34.13</v>
      </c>
      <c r="R104" s="86" t="n">
        <v>39.34</v>
      </c>
      <c r="S104" s="86" t="n">
        <v>114.48</v>
      </c>
      <c r="T104" s="80" t="n">
        <v>0.07073083844648946</v>
      </c>
      <c r="U104" s="17" t="inlineStr">
        <is>
          <t>24/04/2025</t>
        </is>
      </c>
      <c r="V104" s="5" t="inlineStr">
        <is>
          <t>09:57:06</t>
        </is>
      </c>
      <c r="W104" s="88">
        <f>IFERROR(Tabela11[[#This Row],[Lucro]]*1/Tabela11[[#This Row],[Capital total]],"")</f>
        <v/>
      </c>
      <c r="X104" s="82">
        <f>Tabela11[[#This Row],[Lucro]]-C103</f>
        <v/>
      </c>
      <c r="Y104" s="65">
        <f>PROPER(TEXT(DATE(2024,MONTH(Tabela11[[#This Row],[Data]]),1),"mmmm"))</f>
        <v/>
      </c>
      <c r="Z104" s="65">
        <f>YEAR(Tabela11[[#This Row],[Data]])</f>
        <v/>
      </c>
      <c r="AA104" s="78">
        <f>Tabela11[[#This Row],[Capital investido]]-A103</f>
        <v/>
      </c>
    </row>
    <row r="105">
      <c r="A105" s="77" t="n">
        <v>856.3693361445469</v>
      </c>
      <c r="B105" s="78" t="n">
        <v>568.9366995057537</v>
      </c>
      <c r="C105" s="78" t="n">
        <v>-287.4326366387931</v>
      </c>
      <c r="D105" s="78" t="n">
        <v>4.8</v>
      </c>
      <c r="E105" s="78" t="n"/>
      <c r="F105" s="78" t="n">
        <v>568.9366995057537</v>
      </c>
      <c r="G105" s="86" t="n">
        <v>315.9516476</v>
      </c>
      <c r="H105" s="78" t="n">
        <v>155.8093361445468</v>
      </c>
      <c r="I105" s="78" t="n"/>
      <c r="J105" s="78" t="n">
        <v>120.53</v>
      </c>
      <c r="K105" s="78" t="n">
        <v>170.4073633612068</v>
      </c>
      <c r="L105" s="78" t="n">
        <v>209.61</v>
      </c>
      <c r="M105" s="78" t="n">
        <v>7</v>
      </c>
      <c r="N105" s="78" t="n">
        <v>5.049999999999955</v>
      </c>
      <c r="O105" s="78" t="n">
        <v>6.539999999999964</v>
      </c>
      <c r="P105" s="78" t="n">
        <v>0</v>
      </c>
      <c r="Q105" s="78" t="n">
        <v>34.49</v>
      </c>
      <c r="R105" s="78" t="n">
        <v>39.34</v>
      </c>
      <c r="S105" s="86" t="n">
        <v>114.48</v>
      </c>
      <c r="T105" s="80" t="n">
        <v>0.07111708743821922</v>
      </c>
      <c r="U105" s="18" t="inlineStr">
        <is>
          <t>24/04/2025</t>
        </is>
      </c>
      <c r="V105" s="4" t="inlineStr">
        <is>
          <t>21:48:55</t>
        </is>
      </c>
      <c r="W105" s="81">
        <f>IFERROR(Tabela11[[#This Row],[Lucro]]*1/Tabela11[[#This Row],[Capital total]],"")</f>
        <v/>
      </c>
      <c r="X105" s="82">
        <f>Tabela11[[#This Row],[Lucro]]-C104</f>
        <v/>
      </c>
      <c r="Y105" s="65">
        <f>PROPER(TEXT(DATE(2024,MONTH(Tabela11[[#This Row],[Data]]),1),"mmmm"))</f>
        <v/>
      </c>
      <c r="Z105" s="65">
        <f>YEAR(Tabela11[[#This Row],[Data]])</f>
        <v/>
      </c>
      <c r="AA105" s="78">
        <f>Tabela11[[#This Row],[Capital investido]]-A104</f>
        <v/>
      </c>
      <c r="AD105" s="89" t="n"/>
    </row>
    <row r="106">
      <c r="A106" s="85" t="n">
        <v>856.7893361445468</v>
      </c>
      <c r="B106" s="86" t="n">
        <v>567.7966914395918</v>
      </c>
      <c r="C106" s="86" t="n">
        <v>-288.9926447049551</v>
      </c>
      <c r="D106" s="86" t="n">
        <v>4.8</v>
      </c>
      <c r="E106" s="86" t="n"/>
      <c r="F106" s="86" t="n">
        <v>567.7966914395918</v>
      </c>
      <c r="G106" s="86" t="n">
        <v>315.9516476</v>
      </c>
      <c r="H106" s="86" t="n">
        <v>155.8093361445468</v>
      </c>
      <c r="I106" s="86" t="n"/>
      <c r="J106" s="86" t="n">
        <v>120.89</v>
      </c>
      <c r="K106" s="86" t="n">
        <v>170.5873552950447</v>
      </c>
      <c r="L106" s="86" t="n">
        <v>210.49</v>
      </c>
      <c r="M106" s="86" t="n">
        <v>7</v>
      </c>
      <c r="N106" s="86" t="n">
        <v>5.049999999999955</v>
      </c>
      <c r="O106" s="86" t="n">
        <v>6.539999999999964</v>
      </c>
      <c r="P106" s="86" t="n">
        <v>0</v>
      </c>
      <c r="Q106" s="86" t="n">
        <v>34.70999999999999</v>
      </c>
      <c r="R106" s="86" t="n">
        <v>39.76000000000001</v>
      </c>
      <c r="S106" s="90" t="n">
        <v>110.62</v>
      </c>
      <c r="T106" s="80" t="n">
        <v>0.07097458642994897</v>
      </c>
      <c r="U106" s="17" t="inlineStr">
        <is>
          <t>27/04/2025</t>
        </is>
      </c>
      <c r="V106" s="5" t="inlineStr">
        <is>
          <t>18:50:02</t>
        </is>
      </c>
      <c r="W106" s="88">
        <f>IFERROR(Tabela11[[#This Row],[Lucro]]*1/Tabela11[[#This Row],[Capital total]],"")</f>
        <v/>
      </c>
      <c r="X106" s="82">
        <f>Tabela11[[#This Row],[Lucro]]-C105</f>
        <v/>
      </c>
      <c r="Y106" s="65">
        <f>PROPER(TEXT(DATE(2024,MONTH(Tabela11[[#This Row],[Data]]),1),"mmmm"))</f>
        <v/>
      </c>
      <c r="Z106" s="65">
        <f>YEAR(Tabela11[[#This Row],[Data]])</f>
        <v/>
      </c>
      <c r="AA106" s="78">
        <f>Tabela11[[#This Row],[Capital investido]]-A105</f>
        <v/>
      </c>
    </row>
    <row r="107">
      <c r="A107" s="85" t="n">
        <v>856.7893361445468</v>
      </c>
      <c r="B107" s="86" t="n">
        <v>527.1027355346102</v>
      </c>
      <c r="C107" s="86" t="n">
        <v>-329.6866006099366</v>
      </c>
      <c r="D107" s="86" t="n">
        <v>4.8</v>
      </c>
      <c r="E107" s="86" t="n"/>
      <c r="F107" s="86" t="n">
        <v>527.1027355346102</v>
      </c>
      <c r="G107" s="87" t="inlineStr">
        <is>
          <t>-</t>
        </is>
      </c>
      <c r="H107" s="86" t="n">
        <v>155.8093361445468</v>
      </c>
      <c r="I107" s="86" t="n"/>
      <c r="J107" s="86" t="n">
        <v>120.87</v>
      </c>
      <c r="K107" s="86" t="n">
        <v>169.6033993900633</v>
      </c>
      <c r="L107" s="86" t="n">
        <v>210.75</v>
      </c>
      <c r="M107" s="86" t="n">
        <v>7</v>
      </c>
      <c r="N107" s="86" t="n">
        <v>5.049999999999955</v>
      </c>
      <c r="O107" s="86" t="n">
        <v>6.539999999999964</v>
      </c>
      <c r="P107" s="86" t="n">
        <v>0</v>
      </c>
      <c r="Q107" s="86" t="n">
        <v>34.67</v>
      </c>
      <c r="R107" s="86" t="n">
        <v>39.76000000000001</v>
      </c>
      <c r="S107" s="86" t="n">
        <v>110.62</v>
      </c>
      <c r="T107" s="80" t="n">
        <v>0.06588784194182629</v>
      </c>
      <c r="U107" s="17" t="inlineStr">
        <is>
          <t>28/04/2025</t>
        </is>
      </c>
      <c r="V107" s="5" t="inlineStr">
        <is>
          <t>21:26:50</t>
        </is>
      </c>
      <c r="W107" s="88">
        <f>IFERROR(Tabela11[[#This Row],[Lucro]]*1/Tabela11[[#This Row],[Capital total]],"")</f>
        <v/>
      </c>
      <c r="X107" s="82">
        <f>Tabela11[[#This Row],[Lucro]]-C106</f>
        <v/>
      </c>
      <c r="Y107" s="65">
        <f>PROPER(TEXT(DATE(2024,MONTH(Tabela11[[#This Row],[Data]]),1),"mmmm"))</f>
        <v/>
      </c>
      <c r="Z107" s="65">
        <f>YEAR(Tabela11[[#This Row],[Data]])</f>
        <v/>
      </c>
      <c r="AA107" s="78">
        <f>Tabela11[[#This Row],[Capital investido]]-A106</f>
        <v/>
      </c>
    </row>
    <row r="108">
      <c r="A108" s="85" t="n">
        <v>856.7893361445468</v>
      </c>
      <c r="B108" s="86" t="n">
        <v>390.841780839553</v>
      </c>
      <c r="C108" s="86" t="n">
        <v>-465.9475553049938</v>
      </c>
      <c r="D108" s="86" t="n">
        <v>4.8</v>
      </c>
      <c r="E108" s="86" t="n"/>
      <c r="F108" s="86" t="n">
        <v>390.841780839553</v>
      </c>
      <c r="G108" s="87" t="inlineStr">
        <is>
          <t>-</t>
        </is>
      </c>
      <c r="H108" s="86" t="n">
        <v>155.8093361445469</v>
      </c>
      <c r="I108" s="86" t="n"/>
      <c r="J108" s="86" t="n">
        <v>121.29</v>
      </c>
      <c r="K108" s="86" t="n">
        <v>168.592444695006</v>
      </c>
      <c r="L108" s="86" t="n">
        <v>210.33</v>
      </c>
      <c r="M108" s="86" t="n">
        <v>7</v>
      </c>
      <c r="N108" s="86" t="n">
        <v>5.050000000000011</v>
      </c>
      <c r="O108" s="86" t="n">
        <v>6.54000000000002</v>
      </c>
      <c r="P108" s="86" t="n">
        <v>0</v>
      </c>
      <c r="Q108" s="86" t="n">
        <v>34.75</v>
      </c>
      <c r="R108" s="86" t="n">
        <v>39.76000000000001</v>
      </c>
      <c r="S108" s="86" t="n">
        <v>110.62</v>
      </c>
      <c r="T108" s="80" t="n">
        <v>0.04885522260494413</v>
      </c>
      <c r="U108" s="17" t="inlineStr">
        <is>
          <t>29/04/2025</t>
        </is>
      </c>
      <c r="V108" s="5" t="inlineStr">
        <is>
          <t>21:36:06</t>
        </is>
      </c>
      <c r="W108" s="88">
        <f>IFERROR(Tabela11[[#This Row],[Lucro]]*1/Tabela11[[#This Row],[Capital total]],"")</f>
        <v/>
      </c>
      <c r="X108" s="82">
        <f>Tabela11[[#This Row],[Lucro]]-C107</f>
        <v/>
      </c>
      <c r="Y108" s="65">
        <f>PROPER(TEXT(DATE(2024,MONTH(Tabela11[[#This Row],[Data]]),1),"mmmm"))</f>
        <v/>
      </c>
      <c r="Z108" s="65">
        <f>YEAR(Tabela11[[#This Row],[Data]])</f>
        <v/>
      </c>
      <c r="AA108" s="78">
        <f>Tabela11[[#This Row],[Capital investido]]-A107</f>
        <v/>
      </c>
    </row>
    <row r="109">
      <c r="A109" s="85" t="n">
        <v>856.7893361445468</v>
      </c>
      <c r="B109" s="86" t="n">
        <v>393.3947309637852</v>
      </c>
      <c r="C109" s="86" t="n">
        <v>-463.3946051807617</v>
      </c>
      <c r="D109" s="86" t="n">
        <v>4.8</v>
      </c>
      <c r="E109" s="86" t="n"/>
      <c r="F109" s="86" t="n">
        <v>393.3947309637852</v>
      </c>
      <c r="G109" s="87" t="inlineStr">
        <is>
          <t>-</t>
        </is>
      </c>
      <c r="H109" s="86" t="n">
        <v>155.8093361445468</v>
      </c>
      <c r="I109" s="86" t="n"/>
      <c r="J109" s="86" t="n">
        <v>121.97</v>
      </c>
      <c r="K109" s="86" t="n">
        <v>169.7053948192382</v>
      </c>
      <c r="L109" s="86" t="n">
        <v>210.35</v>
      </c>
      <c r="M109" s="86" t="n">
        <v>7</v>
      </c>
      <c r="N109" s="86" t="n">
        <v>5.050000000000011</v>
      </c>
      <c r="O109" s="86" t="n">
        <v>6.54000000000002</v>
      </c>
      <c r="P109" s="86" t="n">
        <v>0</v>
      </c>
      <c r="Q109" s="86" t="n">
        <v>35.38</v>
      </c>
      <c r="R109" s="86" t="n">
        <v>39.76000000000001</v>
      </c>
      <c r="S109" s="86" t="n">
        <v>110.62</v>
      </c>
      <c r="T109" s="80" t="n">
        <v>0.04917434137047315</v>
      </c>
      <c r="U109" s="17" t="inlineStr">
        <is>
          <t>03/05/2025</t>
        </is>
      </c>
      <c r="V109" s="5" t="inlineStr">
        <is>
          <t>14:22:09</t>
        </is>
      </c>
      <c r="W109" s="88">
        <f>IFERROR(Tabela11[[#This Row],[Lucro]]*1/Tabela11[[#This Row],[Capital total]],"")</f>
        <v/>
      </c>
      <c r="X109" s="82">
        <f>Tabela11[[#This Row],[Lucro]]-C108</f>
        <v/>
      </c>
      <c r="Y109" s="65">
        <f>PROPER(TEXT(DATE(2024,MONTH(Tabela11[[#This Row],[Data]]),1),"mmmm"))</f>
        <v/>
      </c>
      <c r="Z109" s="65">
        <f>YEAR(Tabela11[[#This Row],[Data]])</f>
        <v/>
      </c>
      <c r="AA109" s="78">
        <f>Tabela11[[#This Row],[Capital investido]]-A108</f>
        <v/>
      </c>
    </row>
    <row r="110">
      <c r="A110" s="85" t="n">
        <v>856.7893361445468</v>
      </c>
      <c r="B110" s="86" t="n">
        <v>396.701612794513</v>
      </c>
      <c r="C110" s="86" t="n">
        <v>-460.0877233500338</v>
      </c>
      <c r="D110" s="86" t="n">
        <v>4.8</v>
      </c>
      <c r="E110" s="86" t="n"/>
      <c r="F110" s="86" t="n">
        <v>396.701612794513</v>
      </c>
      <c r="G110" s="86" t="n">
        <v>506.2268994600001</v>
      </c>
      <c r="H110" s="86" t="n">
        <v>155.8093361445468</v>
      </c>
      <c r="I110" s="86" t="n"/>
      <c r="J110" s="86" t="n">
        <v>119.6900000000001</v>
      </c>
      <c r="K110" s="86" t="n">
        <v>172.3422766499662</v>
      </c>
      <c r="L110" s="86" t="n">
        <v>209.85</v>
      </c>
      <c r="M110" s="86" t="n">
        <v>7</v>
      </c>
      <c r="N110" s="86" t="n">
        <v>5.050000000000011</v>
      </c>
      <c r="O110" s="86" t="n">
        <v>6.54000000000002</v>
      </c>
      <c r="P110" s="86" t="n">
        <v>0</v>
      </c>
      <c r="Q110" s="86" t="n">
        <v>35.61</v>
      </c>
      <c r="R110" s="86" t="n">
        <v>39.76000000000001</v>
      </c>
      <c r="S110" s="86" t="n">
        <v>114.03</v>
      </c>
      <c r="T110" s="80" t="n">
        <v>0.04958770159931412</v>
      </c>
      <c r="U110" s="17" t="inlineStr">
        <is>
          <t>07/05/2025</t>
        </is>
      </c>
      <c r="V110" s="5" t="inlineStr">
        <is>
          <t>23:50:59</t>
        </is>
      </c>
      <c r="W110" s="88">
        <f>IFERROR(Tabela11[[#This Row],[Lucro]]*1/Tabela11[[#This Row],[Capital total]],"")</f>
        <v/>
      </c>
      <c r="X110" s="82">
        <f>Tabela11[[#This Row],[Lucro]]-C109</f>
        <v/>
      </c>
      <c r="Y110" s="65">
        <f>PROPER(TEXT(DATE(2024,MONTH(Tabela11[[#This Row],[Data]]),1),"mmmm"))</f>
        <v/>
      </c>
      <c r="Z110" s="65">
        <f>YEAR(Tabela11[[#This Row],[Data]])</f>
        <v/>
      </c>
      <c r="AA110" s="78">
        <f>Tabela11[[#This Row],[Capital investido]]-A109</f>
        <v/>
      </c>
    </row>
    <row r="111">
      <c r="A111" s="85" t="n">
        <v>856.7893361445468</v>
      </c>
      <c r="B111" s="86" t="n">
        <v>648.3146127945131</v>
      </c>
      <c r="C111" s="86" t="n">
        <v>-208.4747233500338</v>
      </c>
      <c r="D111" s="86" t="n">
        <v>6.306999999999999</v>
      </c>
      <c r="E111" s="86" t="n"/>
      <c r="F111" s="86" t="n">
        <v>648.3146127945131</v>
      </c>
      <c r="G111" s="86" t="n">
        <v>506.2268994600001</v>
      </c>
      <c r="H111" s="86" t="n">
        <v>155.8093361445468</v>
      </c>
      <c r="I111" s="86" t="n"/>
      <c r="J111" s="86" t="n">
        <v>119.6900000000001</v>
      </c>
      <c r="K111" s="86" t="n">
        <v>172.3422766499662</v>
      </c>
      <c r="L111" s="86" t="n">
        <v>209.8499999999999</v>
      </c>
      <c r="M111" s="86" t="n">
        <v>7</v>
      </c>
      <c r="N111" s="86" t="n">
        <v>5.049999999999955</v>
      </c>
      <c r="O111" s="86" t="n">
        <v>6.539999999999964</v>
      </c>
      <c r="P111" s="86" t="n">
        <v>0</v>
      </c>
      <c r="Q111" s="86" t="n">
        <v>35.61</v>
      </c>
      <c r="R111" s="86" t="n">
        <v>39.76000000000001</v>
      </c>
      <c r="S111" s="86" t="n">
        <v>114.03</v>
      </c>
      <c r="T111" s="80" t="n">
        <v>0.08103932659931413</v>
      </c>
      <c r="U111" s="17" t="n">
        <v>45784</v>
      </c>
      <c r="V111" s="5" t="inlineStr">
        <is>
          <t>23:54:59</t>
        </is>
      </c>
      <c r="W111" s="88">
        <f>IFERROR(Tabela11[[#This Row],[Lucro]]*1/Tabela11[[#This Row],[Capital total]],"")</f>
        <v/>
      </c>
      <c r="X111" s="82">
        <f>Tabela11[[#This Row],[Lucro]]-C110</f>
        <v/>
      </c>
      <c r="Y111" s="65">
        <f>PROPER(TEXT(DATE(2024,MONTH(Tabela11[[#This Row],[Data]]),1),"mmmm"))</f>
        <v/>
      </c>
      <c r="Z111" s="65">
        <f>YEAR(Tabela11[[#This Row],[Data]])</f>
        <v/>
      </c>
      <c r="AA111" s="78">
        <f>Tabela11[[#This Row],[Capital investido]]-A110</f>
        <v/>
      </c>
    </row>
    <row r="112" hidden="1" s="57">
      <c r="A112" s="85" t="n">
        <v>856.7893361445468</v>
      </c>
      <c r="B112" s="86" t="n">
        <v>654.4547243764196</v>
      </c>
      <c r="C112" s="86" t="n">
        <v>-202.3346117681273</v>
      </c>
      <c r="D112" s="86" t="n">
        <v>6.306999999999999</v>
      </c>
      <c r="E112" s="86" t="n"/>
      <c r="F112" s="86" t="n">
        <v>654.4547243764196</v>
      </c>
      <c r="G112" s="86" t="n">
        <v>506.2268994600001</v>
      </c>
      <c r="H112" s="86" t="n">
        <v>155.8093361445468</v>
      </c>
      <c r="I112" s="86" t="n"/>
      <c r="J112" s="86" t="n">
        <v>127.63</v>
      </c>
      <c r="K112" s="86" t="n">
        <v>169.8523882318726</v>
      </c>
      <c r="L112" s="86" t="n">
        <v>210.41</v>
      </c>
      <c r="M112" s="86" t="n">
        <v>7</v>
      </c>
      <c r="N112" s="86" t="n">
        <v>5.049999999999955</v>
      </c>
      <c r="O112" s="86" t="n">
        <v>6.539999999999964</v>
      </c>
      <c r="P112" s="86" t="n">
        <v>0</v>
      </c>
      <c r="Q112" s="86" t="n">
        <v>35.29</v>
      </c>
      <c r="R112" s="86" t="n">
        <v>39.76000000000001</v>
      </c>
      <c r="S112" s="86" t="n">
        <v>113.32</v>
      </c>
      <c r="T112" s="80" t="n">
        <v>0.08180684054705245</v>
      </c>
      <c r="U112" s="17" t="n">
        <v>45785</v>
      </c>
      <c r="V112" s="13" t="inlineStr">
        <is>
          <t>23:27:14</t>
        </is>
      </c>
      <c r="W112" s="88">
        <f>IFERROR(Tabela11[[#This Row],[Lucro]]*1/Tabela11[[#This Row],[Capital total]],"")</f>
        <v/>
      </c>
      <c r="X112" s="82">
        <f>Tabela11[[#This Row],[Lucro]]-C111</f>
        <v/>
      </c>
      <c r="Y112" s="65">
        <f>PROPER(TEXT(DATE(2024,MONTH(Tabela11[[#This Row],[Data]]),1),"mmmm"))</f>
        <v/>
      </c>
      <c r="Z112" s="65">
        <f>YEAR(Tabela11[[#This Row],[Data]])</f>
        <v/>
      </c>
      <c r="AA112" s="78">
        <f>Tabela11[[#This Row],[Capital investido]]-A111</f>
        <v/>
      </c>
      <c r="AB112" s="91" t="n"/>
      <c r="AC112" s="9" t="n"/>
      <c r="AD112" s="9" t="n"/>
    </row>
    <row r="113" hidden="1" s="57">
      <c r="A113" s="85" t="n">
        <v>909.4893361445469</v>
      </c>
      <c r="B113" s="86" t="n">
        <v>704.8097479027251</v>
      </c>
      <c r="C113" s="86" t="n">
        <v>-204.6795882418217</v>
      </c>
      <c r="D113" s="86" t="n">
        <v>6.306999999999999</v>
      </c>
      <c r="E113" s="86" t="n"/>
      <c r="F113" s="86" t="n">
        <v>704.8097479027251</v>
      </c>
      <c r="G113" s="86" t="n">
        <v>506.2268994600001</v>
      </c>
      <c r="H113" s="86" t="n">
        <v>155.8093361445468</v>
      </c>
      <c r="I113" s="86" t="n"/>
      <c r="J113" s="86" t="n">
        <v>181.5400000000001</v>
      </c>
      <c r="K113" s="86" t="n">
        <v>169.3274117581782</v>
      </c>
      <c r="L113" s="86" t="n">
        <v>210.95</v>
      </c>
      <c r="M113" s="86" t="n">
        <v>7</v>
      </c>
      <c r="N113" s="86" t="n">
        <v>5.049999999999955</v>
      </c>
      <c r="O113" s="86" t="n">
        <v>6.539999999999964</v>
      </c>
      <c r="P113" s="86" t="n">
        <v>0</v>
      </c>
      <c r="Q113" s="86" t="n">
        <v>35.2</v>
      </c>
      <c r="R113" s="86" t="n">
        <v>39.76000000000001</v>
      </c>
      <c r="S113" s="86" t="n">
        <v>109.41</v>
      </c>
      <c r="T113" s="80" t="n">
        <v>0.08810121848784064</v>
      </c>
      <c r="U113" s="17" t="n">
        <v>45786</v>
      </c>
      <c r="V113" s="5" t="inlineStr">
        <is>
          <t>23:33:05</t>
        </is>
      </c>
      <c r="W113" s="88">
        <f>IFERROR(Tabela11[[#This Row],[Lucro]]*1/Tabela11[[#This Row],[Capital total]],"")</f>
        <v/>
      </c>
      <c r="X113" s="82">
        <f>Tabela11[[#This Row],[Lucro]]-C112</f>
        <v/>
      </c>
      <c r="Y113" s="65">
        <f>PROPER(TEXT(DATE(2024,MONTH(Tabela11[[#This Row],[Data]]),1),"mmmm"))</f>
        <v/>
      </c>
      <c r="Z113" s="65">
        <f>YEAR(Tabela11[[#This Row],[Data]])</f>
        <v/>
      </c>
      <c r="AA113" s="78">
        <f>Tabela11[[#This Row],[Capital investido]]-A112</f>
        <v/>
      </c>
    </row>
    <row r="114" hidden="1" s="57">
      <c r="A114" s="85" t="n">
        <v>953.0722286065052</v>
      </c>
      <c r="B114" s="86" t="n">
        <v>748.4726403646835</v>
      </c>
      <c r="C114" s="86" t="n">
        <v>-204.5995882418217</v>
      </c>
      <c r="D114" s="86" t="n">
        <v>6.306999999999999</v>
      </c>
      <c r="E114" s="86" t="n"/>
      <c r="F114" s="86" t="n">
        <v>748.4726403646835</v>
      </c>
      <c r="G114" s="87" t="inlineStr">
        <is>
          <t>-</t>
        </is>
      </c>
      <c r="H114" s="86" t="n">
        <v>199.3922286065051</v>
      </c>
      <c r="I114" s="86" t="n"/>
      <c r="J114" s="86" t="n">
        <v>181.54</v>
      </c>
      <c r="K114" s="86" t="n">
        <v>169.3274117581782</v>
      </c>
      <c r="L114" s="86" t="n">
        <v>210.95</v>
      </c>
      <c r="M114" s="86" t="n">
        <v>7</v>
      </c>
      <c r="N114" s="86" t="n">
        <v>5.049999999999955</v>
      </c>
      <c r="O114" s="86" t="n">
        <v>6.539999999999964</v>
      </c>
      <c r="P114" s="86" t="n">
        <v>0</v>
      </c>
      <c r="Q114" s="86" t="n">
        <v>35.2</v>
      </c>
      <c r="R114" s="86" t="n">
        <v>39.76000000000001</v>
      </c>
      <c r="S114" s="86" t="n">
        <v>109.41</v>
      </c>
      <c r="T114" s="80" t="n">
        <v>0.09355908004558543</v>
      </c>
      <c r="U114" s="17" t="n">
        <v>45786</v>
      </c>
      <c r="V114" s="5" t="inlineStr">
        <is>
          <t>23:44:03</t>
        </is>
      </c>
      <c r="W114" s="88">
        <f>IFERROR(Tabela11[[#This Row],[Lucro]]*1/Tabela11[[#This Row],[Capital total]],"")</f>
        <v/>
      </c>
      <c r="X114" s="82">
        <f>Tabela11[[#This Row],[Lucro]]-C113</f>
        <v/>
      </c>
      <c r="Y114" s="65">
        <f>PROPER(TEXT(DATE(2024,MONTH(Tabela11[[#This Row],[Data]]),1),"mmmm"))</f>
        <v/>
      </c>
      <c r="Z114" s="65">
        <f>YEAR(Tabela11[[#This Row],[Data]])</f>
        <v/>
      </c>
      <c r="AA114" s="78">
        <f>Tabela11[[#This Row],[Capital investido]]-A113</f>
        <v/>
      </c>
    </row>
    <row r="115" hidden="1" s="57">
      <c r="A115" s="85" t="n">
        <v>953.0722286065052</v>
      </c>
      <c r="B115" s="86" t="n">
        <v>748.4726403646835</v>
      </c>
      <c r="C115" s="86" t="n">
        <v>-204.5995882418217</v>
      </c>
      <c r="D115" s="86" t="n">
        <v>6.306999999999999</v>
      </c>
      <c r="E115" s="86" t="n"/>
      <c r="F115" s="86" t="n">
        <v>748.4726403646835</v>
      </c>
      <c r="G115" s="87" t="inlineStr">
        <is>
          <t>-</t>
        </is>
      </c>
      <c r="H115" s="86" t="n">
        <v>199.3922286065051</v>
      </c>
      <c r="I115" s="86" t="n"/>
      <c r="J115" s="86" t="n">
        <v>181.54</v>
      </c>
      <c r="K115" s="86" t="n">
        <v>169.3274117581782</v>
      </c>
      <c r="L115" s="86" t="n">
        <v>210.95</v>
      </c>
      <c r="M115" s="86" t="n">
        <v>7</v>
      </c>
      <c r="N115" s="86" t="n">
        <v>5.049999999999955</v>
      </c>
      <c r="O115" s="86" t="n">
        <v>6.539999999999964</v>
      </c>
      <c r="P115" s="86" t="n">
        <v>0</v>
      </c>
      <c r="Q115" s="86" t="n">
        <v>35.2</v>
      </c>
      <c r="R115" s="86" t="n">
        <v>39.76000000000001</v>
      </c>
      <c r="S115" s="86" t="n">
        <v>109.41</v>
      </c>
      <c r="T115" s="80" t="n">
        <v>0.09355908004558543</v>
      </c>
      <c r="U115" s="17" t="n">
        <v>45787</v>
      </c>
      <c r="V115" s="5" t="inlineStr">
        <is>
          <t>10:42:43</t>
        </is>
      </c>
      <c r="W115" s="88">
        <f>IFERROR(Tabela11[[#This Row],[Lucro]]*1/Tabela11[[#This Row],[Capital total]],"")</f>
        <v/>
      </c>
      <c r="X115" s="82">
        <f>Tabela11[[#This Row],[Lucro]]-C114</f>
        <v/>
      </c>
      <c r="Y115" s="65">
        <f>PROPER(TEXT(DATE(2024,MONTH(Tabela11[[#This Row],[Data]]),1),"mmmm"))</f>
        <v/>
      </c>
      <c r="Z115" s="65">
        <f>YEAR(Tabela11[[#This Row],[Data]])</f>
        <v/>
      </c>
      <c r="AA115" s="78">
        <f>Tabela11[[#This Row],[Capital investido]]-A114</f>
        <v/>
      </c>
    </row>
    <row r="116" hidden="1" s="57">
      <c r="A116" s="85" t="n">
        <v>953.0722286065052</v>
      </c>
      <c r="B116" s="86" t="n">
        <v>751.4846062179314</v>
      </c>
      <c r="C116" s="86" t="n">
        <v>-201.5876223885738</v>
      </c>
      <c r="D116" s="86" t="n">
        <v>6.306999999999999</v>
      </c>
      <c r="E116" s="86" t="n"/>
      <c r="F116" s="86" t="n">
        <v>751.4846062179314</v>
      </c>
      <c r="G116" s="87" t="inlineStr">
        <is>
          <t>-</t>
        </is>
      </c>
      <c r="H116" s="86" t="n">
        <v>199.3922286065051</v>
      </c>
      <c r="I116" s="86" t="n"/>
      <c r="J116" s="86" t="n">
        <v>183.36</v>
      </c>
      <c r="K116" s="86" t="n">
        <v>170.0893776114261</v>
      </c>
      <c r="L116" s="86" t="n">
        <v>210.75</v>
      </c>
      <c r="M116" s="86" t="n">
        <v>7</v>
      </c>
      <c r="N116" s="86" t="n">
        <v>5.049999999999955</v>
      </c>
      <c r="O116" s="86" t="n">
        <v>6.539999999999964</v>
      </c>
      <c r="P116" s="86" t="n">
        <v>0</v>
      </c>
      <c r="Q116" s="86" t="n">
        <v>36.12</v>
      </c>
      <c r="R116" s="86" t="n">
        <v>39.76000000000001</v>
      </c>
      <c r="S116" s="86" t="n">
        <v>109.41</v>
      </c>
      <c r="T116" s="80" t="n">
        <v>0.09393557577724143</v>
      </c>
      <c r="U116" s="17" t="n">
        <v>45789</v>
      </c>
      <c r="V116" s="5" t="inlineStr">
        <is>
          <t>22:07:40</t>
        </is>
      </c>
      <c r="W116" s="88">
        <f>IFERROR(Tabela11[[#This Row],[Lucro]]*1/Tabela11[[#This Row],[Capital total]],"")</f>
        <v/>
      </c>
      <c r="X116" s="82">
        <f>Tabela11[[#This Row],[Lucro]]-C115</f>
        <v/>
      </c>
      <c r="Y116" s="65">
        <f>PROPER(TEXT(DATE(2024,MONTH(Tabela11[[#This Row],[Data]]),1),"mmmm"))</f>
        <v/>
      </c>
      <c r="Z116" s="65">
        <f>YEAR(Tabela11[[#This Row],[Data]])</f>
        <v/>
      </c>
      <c r="AA116" s="78">
        <f>Tabela11[[#This Row],[Capital investido]]-A115</f>
        <v/>
      </c>
    </row>
    <row r="117" hidden="1" s="57">
      <c r="A117" s="85" t="n">
        <v>953.0722286065052</v>
      </c>
      <c r="B117" s="86" t="n">
        <v>750.5456899715792</v>
      </c>
      <c r="C117" s="86" t="n">
        <v>-202.5265386349259</v>
      </c>
      <c r="D117" s="86" t="n">
        <v>6.306999999999999</v>
      </c>
      <c r="E117" s="86" t="n"/>
      <c r="F117" s="86" t="n">
        <v>750.5456899715792</v>
      </c>
      <c r="G117" s="87" t="inlineStr">
        <is>
          <t>-</t>
        </is>
      </c>
      <c r="H117" s="86" t="n">
        <v>199.392228606505</v>
      </c>
      <c r="I117" s="86" t="n"/>
      <c r="J117" s="86" t="n">
        <v>186.92</v>
      </c>
      <c r="K117" s="86" t="n">
        <v>168.220461365074</v>
      </c>
      <c r="L117" s="86" t="n">
        <v>210.48</v>
      </c>
      <c r="M117" s="86" t="n">
        <v>7</v>
      </c>
      <c r="N117" s="86" t="n">
        <v>5.049999999999955</v>
      </c>
      <c r="O117" s="86" t="n">
        <v>6.539999999999964</v>
      </c>
      <c r="P117" s="86" t="n">
        <v>0</v>
      </c>
      <c r="Q117" s="86" t="n">
        <v>35.86</v>
      </c>
      <c r="R117" s="86" t="n">
        <v>39.76000000000001</v>
      </c>
      <c r="S117" s="86" t="n">
        <v>106.75</v>
      </c>
      <c r="T117" s="80" t="n">
        <v>0.0938182112464474</v>
      </c>
      <c r="U117" s="17" t="n">
        <v>45790</v>
      </c>
      <c r="V117" s="5" t="inlineStr">
        <is>
          <t>23:24:48</t>
        </is>
      </c>
      <c r="W117" s="88">
        <f>IFERROR(Tabela11[[#This Row],[Lucro]]*1/Tabela11[[#This Row],[Capital total]],"")</f>
        <v/>
      </c>
      <c r="X117" s="82">
        <f>Tabela11[[#This Row],[Lucro]]-C116</f>
        <v/>
      </c>
      <c r="Y117" s="65">
        <f>PROPER(TEXT(DATE(2024,MONTH(Tabela11[[#This Row],[Data]]),1),"mmmm"))</f>
        <v/>
      </c>
      <c r="Z117" s="65">
        <f>YEAR(Tabela11[[#This Row],[Data]])</f>
        <v/>
      </c>
      <c r="AA117" s="78">
        <f>Tabela11[[#This Row],[Capital investido]]-A116</f>
        <v/>
      </c>
    </row>
    <row r="118" hidden="1" s="57">
      <c r="A118" s="85" t="n">
        <v>954.2522286065051</v>
      </c>
      <c r="B118" s="86" t="n">
        <v>754.3885903544796</v>
      </c>
      <c r="C118" s="86" t="n">
        <v>-199.8636382520255</v>
      </c>
      <c r="D118" s="86" t="n">
        <v>6.306999999999999</v>
      </c>
      <c r="E118" s="86" t="n"/>
      <c r="F118" s="86" t="n">
        <v>754.3885903544796</v>
      </c>
      <c r="G118" s="87" t="inlineStr">
        <is>
          <t>-</t>
        </is>
      </c>
      <c r="H118" s="86" t="n">
        <v>199.392228606505</v>
      </c>
      <c r="I118" s="86" t="n"/>
      <c r="J118" s="86" t="n">
        <v>185.89</v>
      </c>
      <c r="K118" s="86" t="n">
        <v>170.4433617479743</v>
      </c>
      <c r="L118" s="86" t="n">
        <v>212.41</v>
      </c>
      <c r="M118" s="86" t="n">
        <v>7</v>
      </c>
      <c r="N118" s="86" t="n">
        <v>6.230000000000018</v>
      </c>
      <c r="O118" s="86" t="n">
        <v>6.539999999999964</v>
      </c>
      <c r="P118" s="86" t="n">
        <v>0</v>
      </c>
      <c r="Q118" s="86" t="n">
        <v>36.48</v>
      </c>
      <c r="R118" s="86" t="n">
        <v>39.76000000000001</v>
      </c>
      <c r="S118" s="86" t="n">
        <v>104.1</v>
      </c>
      <c r="T118" s="80" t="n">
        <v>0.09429857379430995</v>
      </c>
      <c r="U118" s="17" t="n">
        <v>45792</v>
      </c>
      <c r="V118" s="5" t="inlineStr">
        <is>
          <t>22:39:34</t>
        </is>
      </c>
      <c r="W118" s="88">
        <f>IFERROR(Tabela11[[#This Row],[Lucro]]*1/Tabela11[[#This Row],[Capital total]],"")</f>
        <v/>
      </c>
      <c r="X118" s="82">
        <f>Tabela11[[#This Row],[Lucro]]-C117</f>
        <v/>
      </c>
      <c r="Y118" s="65">
        <f>PROPER(TEXT(DATE(2024,MONTH(Tabela11[[#This Row],[Data]]),1),"mmmm"))</f>
        <v/>
      </c>
      <c r="Z118" s="65">
        <f>YEAR(Tabela11[[#This Row],[Data]])</f>
        <v/>
      </c>
      <c r="AA118" s="78">
        <f>Tabela11[[#This Row],[Capital investido]]-A117</f>
        <v/>
      </c>
    </row>
    <row r="119" hidden="1" s="57">
      <c r="A119" s="85" t="n">
        <v>954.2522286065051</v>
      </c>
      <c r="B119" s="86" t="n">
        <v>756.8726161661978</v>
      </c>
      <c r="C119" s="86" t="n">
        <v>-197.3796124403074</v>
      </c>
      <c r="D119" s="86" t="n">
        <v>6.306999999999999</v>
      </c>
      <c r="E119" s="86" t="n"/>
      <c r="F119" s="86" t="n">
        <v>756.8726161661978</v>
      </c>
      <c r="G119" s="87" t="inlineStr">
        <is>
          <t>-</t>
        </is>
      </c>
      <c r="H119" s="86" t="n">
        <v>199.3922286065051</v>
      </c>
      <c r="I119" s="86" t="n"/>
      <c r="J119" s="86" t="n">
        <v>185.9</v>
      </c>
      <c r="K119" s="86" t="n">
        <v>169.8673875596925</v>
      </c>
      <c r="L119" s="86" t="n">
        <v>213.62</v>
      </c>
      <c r="M119" s="86" t="n">
        <v>7</v>
      </c>
      <c r="N119" s="86" t="n">
        <v>6.230000000000018</v>
      </c>
      <c r="O119" s="86" t="n">
        <v>6.539999999999964</v>
      </c>
      <c r="P119" s="86" t="n">
        <v>0</v>
      </c>
      <c r="Q119" s="86" t="n">
        <v>36.59</v>
      </c>
      <c r="R119" s="86" t="n">
        <v>39.76000000000001</v>
      </c>
      <c r="S119" s="86" t="n">
        <v>105.81</v>
      </c>
      <c r="T119" s="80" t="n">
        <v>0.09460907702077472</v>
      </c>
      <c r="U119" s="17" t="n">
        <v>45794</v>
      </c>
      <c r="V119" s="5" t="inlineStr">
        <is>
          <t>21:12:33</t>
        </is>
      </c>
      <c r="W119" s="88">
        <f>IFERROR(Tabela11[[#This Row],[Lucro]]*1/Tabela11[[#This Row],[Capital total]],"")</f>
        <v/>
      </c>
      <c r="X119" s="82">
        <f>Tabela11[[#This Row],[Lucro]]-C118</f>
        <v/>
      </c>
      <c r="Y119" s="65">
        <f>PROPER(TEXT(DATE(2024,MONTH(Tabela11[[#This Row],[Data]]),1),"mmmm"))</f>
        <v/>
      </c>
      <c r="Z119" s="65">
        <f>YEAR(Tabela11[[#This Row],[Data]])</f>
        <v/>
      </c>
      <c r="AA119" s="78">
        <f>Tabela11[[#This Row],[Capital investido]]-A118</f>
        <v/>
      </c>
    </row>
    <row r="120" hidden="1" s="57">
      <c r="A120" s="85" t="n">
        <v>954.2522286065051</v>
      </c>
      <c r="B120" s="86" t="n">
        <v>524.7226161661976</v>
      </c>
      <c r="C120" s="86" t="n">
        <v>-429.5296124403076</v>
      </c>
      <c r="D120" s="86" t="n">
        <v>6.306999999999999</v>
      </c>
      <c r="E120" s="86" t="n"/>
      <c r="F120" s="86" t="n">
        <v>524.7226161661976</v>
      </c>
      <c r="G120" s="86" t="n">
        <v>500.0006943633334</v>
      </c>
      <c r="H120" s="86" t="n">
        <v>199.3922286065051</v>
      </c>
      <c r="I120" s="86" t="n"/>
      <c r="J120" s="86" t="n">
        <v>185.9</v>
      </c>
      <c r="K120" s="86" t="n">
        <v>169.8673875596925</v>
      </c>
      <c r="L120" s="86" t="n">
        <v>213.62</v>
      </c>
      <c r="M120" s="86" t="n">
        <v>7</v>
      </c>
      <c r="N120" s="86" t="n">
        <v>6.230000000000018</v>
      </c>
      <c r="O120" s="86" t="n">
        <v>6.539999999999964</v>
      </c>
      <c r="P120" s="86" t="n">
        <v>0</v>
      </c>
      <c r="Q120" s="86" t="n">
        <v>36.59</v>
      </c>
      <c r="R120" s="86" t="n">
        <v>39.76000000000001</v>
      </c>
      <c r="S120" s="86" t="n">
        <v>105.81</v>
      </c>
      <c r="T120" s="80" t="n">
        <v>0.06559032702077469</v>
      </c>
      <c r="U120" s="17" t="n">
        <v>45794</v>
      </c>
      <c r="V120" s="5" t="inlineStr">
        <is>
          <t>21:32:01</t>
        </is>
      </c>
      <c r="W120" s="88">
        <f>IFERROR(Tabela11[[#This Row],[Lucro]]*1/Tabela11[[#This Row],[Capital total]],"")</f>
        <v/>
      </c>
      <c r="X120" s="82">
        <f>Tabela11[[#This Row],[Lucro]]-C119</f>
        <v/>
      </c>
      <c r="Y120" s="65">
        <f>PROPER(TEXT(DATE(2024,MONTH(Tabela11[[#This Row],[Data]]),1),"mmmm"))</f>
        <v/>
      </c>
      <c r="Z120" s="65">
        <f>YEAR(Tabela11[[#This Row],[Data]])</f>
        <v/>
      </c>
      <c r="AA120" s="78">
        <f>Tabela11[[#This Row],[Capital investido]]-A119</f>
        <v/>
      </c>
    </row>
    <row r="121" hidden="1" s="57">
      <c r="A121" s="85" t="n">
        <v>954.2522286065051</v>
      </c>
      <c r="B121" s="86" t="n">
        <v>527.48560930996</v>
      </c>
      <c r="C121" s="86" t="n">
        <v>-426.7666192965452</v>
      </c>
      <c r="D121" s="86" t="n">
        <v>6.306999999999999</v>
      </c>
      <c r="E121" s="86" t="n"/>
      <c r="F121" s="86" t="n">
        <v>527.48560930996</v>
      </c>
      <c r="G121" s="86" t="n">
        <v>500.0006943633334</v>
      </c>
      <c r="H121" s="86" t="n">
        <v>199.3922286065051</v>
      </c>
      <c r="I121" s="86" t="n"/>
      <c r="J121" s="86" t="n">
        <v>187.39</v>
      </c>
      <c r="K121" s="86" t="n">
        <v>170.0203807034549</v>
      </c>
      <c r="L121" s="86" t="n">
        <v>214.34</v>
      </c>
      <c r="M121" s="86" t="n">
        <v>7</v>
      </c>
      <c r="N121" s="86" t="n">
        <v>6.230000000000018</v>
      </c>
      <c r="O121" s="86" t="n">
        <v>6.539999999999964</v>
      </c>
      <c r="P121" s="86" t="n">
        <v>0</v>
      </c>
      <c r="Q121" s="86" t="n">
        <v>36.73999999999999</v>
      </c>
      <c r="R121" s="86" t="n">
        <v>39.76000000000001</v>
      </c>
      <c r="S121" s="86" t="n">
        <v>105.81</v>
      </c>
      <c r="T121" s="80" t="n">
        <v>0.06593570116374499</v>
      </c>
      <c r="U121" s="17" t="n">
        <v>45797</v>
      </c>
      <c r="V121" s="5" t="inlineStr">
        <is>
          <t>21:44:20</t>
        </is>
      </c>
      <c r="W121" s="88">
        <f>IFERROR(Tabela11[[#This Row],[Lucro]]*1/Tabela11[[#This Row],[Capital total]],"")</f>
        <v/>
      </c>
      <c r="X121" s="82">
        <f>Tabela11[[#This Row],[Lucro]]-C120</f>
        <v/>
      </c>
      <c r="Y121" s="65">
        <f>PROPER(TEXT(DATE(2024,MONTH(Tabela11[[#This Row],[Data]]),1),"mmmm"))</f>
        <v/>
      </c>
      <c r="Z121" s="65">
        <f>YEAR(Tabela11[[#This Row],[Data]])</f>
        <v/>
      </c>
      <c r="AA121" s="78">
        <f>Tabela11[[#This Row],[Capital investido]]-A120</f>
        <v/>
      </c>
    </row>
    <row r="122" hidden="1" s="57">
      <c r="A122" s="85" t="n">
        <v>984.562303669437</v>
      </c>
      <c r="B122" s="86" t="n">
        <v>807.3807092435578</v>
      </c>
      <c r="C122" s="86" t="n">
        <v>-177.1815944258792</v>
      </c>
      <c r="D122" s="86" t="n">
        <v>6.306999999999999</v>
      </c>
      <c r="E122" s="86" t="n"/>
      <c r="F122" s="86" t="n">
        <v>807.3807092435578</v>
      </c>
      <c r="G122" s="86" t="n">
        <v>500.0006943633334</v>
      </c>
      <c r="H122" s="86" t="n">
        <v>228.9723036694371</v>
      </c>
      <c r="I122" s="86" t="n"/>
      <c r="J122" s="86" t="n">
        <v>184.67</v>
      </c>
      <c r="K122" s="86" t="n">
        <v>169.4654055741207</v>
      </c>
      <c r="L122" s="86" t="n">
        <v>214.47</v>
      </c>
      <c r="M122" s="86" t="n">
        <v>7</v>
      </c>
      <c r="N122" s="86" t="n">
        <v>6.960000000000036</v>
      </c>
      <c r="O122" s="86" t="n">
        <v>6.539999999999964</v>
      </c>
      <c r="P122" s="86" t="n">
        <v>0</v>
      </c>
      <c r="Q122" s="86" t="n">
        <v>36.3</v>
      </c>
      <c r="R122" s="86" t="n">
        <v>39.76000000000001</v>
      </c>
      <c r="S122" s="86" t="n">
        <v>108.33</v>
      </c>
      <c r="T122" s="80" t="n">
        <v>0.1009225886554447</v>
      </c>
      <c r="U122" s="17" t="n">
        <v>45799</v>
      </c>
      <c r="V122" s="5" t="inlineStr">
        <is>
          <t>10:21:07</t>
        </is>
      </c>
      <c r="W122" s="88">
        <f>IFERROR(Tabela11[[#This Row],[Lucro]]*1/Tabela11[[#This Row],[Capital total]],"")</f>
        <v/>
      </c>
      <c r="X122" s="82">
        <f>Tabela11[[#This Row],[Lucro]]-C121</f>
        <v/>
      </c>
      <c r="Y122" s="65">
        <f>PROPER(TEXT(DATE(2024,MONTH(Tabela11[[#This Row],[Data]]),1),"mmmm"))</f>
        <v/>
      </c>
      <c r="Z122" s="65">
        <f>YEAR(Tabela11[[#This Row],[Data]])</f>
        <v/>
      </c>
      <c r="AA122" s="78">
        <f>Tabela11[[#This Row],[Capital investido]]-A121</f>
        <v/>
      </c>
    </row>
    <row r="123" hidden="1" s="57">
      <c r="A123" s="85" t="n">
        <v>984.562303669437</v>
      </c>
      <c r="B123" s="86" t="n">
        <v>809.7067130077667</v>
      </c>
      <c r="C123" s="86" t="n">
        <v>-174.8555906616704</v>
      </c>
      <c r="D123" s="86" t="n">
        <v>6.306999999999999</v>
      </c>
      <c r="E123" s="86" t="n"/>
      <c r="F123" s="86" t="n">
        <v>809.7067130077667</v>
      </c>
      <c r="G123" s="86" t="n">
        <v>500.0006943633334</v>
      </c>
      <c r="H123" s="86" t="n">
        <v>228.972303669437</v>
      </c>
      <c r="I123" s="86" t="n"/>
      <c r="J123" s="86" t="n">
        <v>184.4300000000001</v>
      </c>
      <c r="K123" s="86" t="n">
        <v>169.3814093383296</v>
      </c>
      <c r="L123" s="86" t="n">
        <v>216.8599999999999</v>
      </c>
      <c r="M123" s="86" t="n">
        <v>7</v>
      </c>
      <c r="N123" s="86" t="n">
        <v>6.960000000000036</v>
      </c>
      <c r="O123" s="86" t="n">
        <v>6.539999999999964</v>
      </c>
      <c r="P123" s="86" t="n">
        <v>0</v>
      </c>
      <c r="Q123" s="86" t="n">
        <v>36.19</v>
      </c>
      <c r="R123" s="86" t="n">
        <v>39.76000000000001</v>
      </c>
      <c r="S123" s="86" t="n">
        <v>108.33</v>
      </c>
      <c r="T123" s="80" t="n">
        <v>0.1012133391259708</v>
      </c>
      <c r="U123" s="17" t="n">
        <v>45801</v>
      </c>
      <c r="V123" s="5" t="inlineStr">
        <is>
          <t>08:18:01</t>
        </is>
      </c>
      <c r="W123" s="88">
        <f>IFERROR(Tabela11[[#This Row],[Lucro]]*1/Tabela11[[#This Row],[Capital total]],"")</f>
        <v/>
      </c>
      <c r="X123" s="82">
        <f>Tabela11[[#This Row],[Lucro]]-C122</f>
        <v/>
      </c>
      <c r="Y123" s="65">
        <f>PROPER(TEXT(DATE(2024,MONTH(Tabela11[[#This Row],[Data]]),1),"mmmm"))</f>
        <v/>
      </c>
      <c r="Z123" s="65">
        <f>YEAR(Tabela11[[#This Row],[Data]])</f>
        <v/>
      </c>
      <c r="AA123" s="78">
        <f>Tabela11[[#This Row],[Capital investido]]-A122</f>
        <v/>
      </c>
    </row>
    <row r="124" hidden="1" s="57">
      <c r="A124" s="85" t="n">
        <v>994.8097736759404</v>
      </c>
      <c r="B124" s="86" t="n">
        <v>820.07418301427</v>
      </c>
      <c r="C124" s="86" t="n">
        <v>-174.7355906616704</v>
      </c>
      <c r="D124" s="86" t="n">
        <v>6.306999999999999</v>
      </c>
      <c r="E124" s="86" t="n"/>
      <c r="F124" s="86" t="n">
        <v>820.07418301427</v>
      </c>
      <c r="G124" s="86" t="n">
        <v>500.0006943633334</v>
      </c>
      <c r="H124" s="86" t="n">
        <v>239.2197736759402</v>
      </c>
      <c r="I124" s="86" t="n"/>
      <c r="J124" s="86" t="n">
        <v>184.4299999999999</v>
      </c>
      <c r="K124" s="86" t="n">
        <v>169.3814093383297</v>
      </c>
      <c r="L124" s="86" t="n">
        <v>216.86</v>
      </c>
      <c r="M124" s="86" t="n">
        <v>7</v>
      </c>
      <c r="N124" s="86" t="n">
        <v>6.960000000000036</v>
      </c>
      <c r="O124" s="86" t="n">
        <v>6.539999999999964</v>
      </c>
      <c r="P124" s="86" t="n">
        <v>0</v>
      </c>
      <c r="Q124" s="86" t="n">
        <v>36.19</v>
      </c>
      <c r="R124" s="86" t="n">
        <v>39.76000000000001</v>
      </c>
      <c r="S124" s="86" t="n">
        <v>108.33</v>
      </c>
      <c r="T124" s="80" t="n">
        <v>0.1025092728767838</v>
      </c>
      <c r="U124" s="17" t="n">
        <v>45802</v>
      </c>
      <c r="V124" s="5" t="inlineStr">
        <is>
          <t>20:49:35</t>
        </is>
      </c>
      <c r="W124" s="88">
        <f>IFERROR(Tabela11[[#This Row],[Lucro]]*1/Tabela11[[#This Row],[Capital total]],"")</f>
        <v/>
      </c>
      <c r="X124" s="82">
        <f>Tabela11[[#This Row],[Lucro]]-C123</f>
        <v/>
      </c>
      <c r="Y124" s="65">
        <f>PROPER(TEXT(DATE(2024,MONTH(Tabela11[[#This Row],[Data]]),1),"mmmm"))</f>
        <v/>
      </c>
      <c r="Z124" s="65">
        <f>YEAR(Tabela11[[#This Row],[Data]])</f>
        <v/>
      </c>
      <c r="AA124" s="78">
        <f>Tabela11[[#This Row],[Capital investido]]-A123</f>
        <v/>
      </c>
    </row>
    <row r="125" hidden="1" s="57">
      <c r="A125" s="85" t="n">
        <v>994.8097736759404</v>
      </c>
      <c r="B125" s="86" t="n">
        <v>850.07418301427</v>
      </c>
      <c r="C125" s="86" t="n">
        <v>-144.7355906616704</v>
      </c>
      <c r="D125" s="86" t="n">
        <v>6.306999999999999</v>
      </c>
      <c r="E125" s="86" t="n"/>
      <c r="F125" s="86" t="n">
        <v>850.07418301427</v>
      </c>
      <c r="G125" s="86" t="n">
        <v>220.0003471816667</v>
      </c>
      <c r="H125" s="86" t="n">
        <v>239.2197736759402</v>
      </c>
      <c r="I125" s="86" t="n"/>
      <c r="J125" s="86" t="n">
        <v>184.4299999999999</v>
      </c>
      <c r="K125" s="86" t="n">
        <v>169.3814093383297</v>
      </c>
      <c r="L125" s="86" t="n">
        <v>216.86</v>
      </c>
      <c r="M125" s="86" t="n">
        <v>7</v>
      </c>
      <c r="N125" s="86" t="n">
        <v>6.960000000000036</v>
      </c>
      <c r="O125" s="86" t="n">
        <v>6.539999999999964</v>
      </c>
      <c r="P125" s="86" t="n">
        <v>0</v>
      </c>
      <c r="Q125" s="86" t="n">
        <v>36.19</v>
      </c>
      <c r="R125" s="86" t="n">
        <v>39.76000000000001</v>
      </c>
      <c r="S125" s="86" t="n">
        <v>108.33</v>
      </c>
      <c r="T125" s="80" t="n">
        <v>0.1062592728767838</v>
      </c>
      <c r="U125" s="17" t="n">
        <v>45802</v>
      </c>
      <c r="V125" s="5" t="inlineStr">
        <is>
          <t>22:47:07</t>
        </is>
      </c>
      <c r="W125" s="88">
        <f>IFERROR(Tabela11[[#This Row],[Lucro]]*1/Tabela11[[#This Row],[Capital total]],"")</f>
        <v/>
      </c>
      <c r="X125" s="82">
        <f>Tabela11[[#This Row],[Lucro]]-C124</f>
        <v/>
      </c>
      <c r="Y125" s="65">
        <f>PROPER(TEXT(DATE(2024,MONTH(Tabela11[[#This Row],[Data]]),1),"mmmm"))</f>
        <v/>
      </c>
      <c r="Z125" s="65">
        <f>YEAR(Tabela11[[#This Row],[Data]])</f>
        <v/>
      </c>
      <c r="AA125" s="78">
        <f>Tabela11[[#This Row],[Capital investido]]-A124</f>
        <v/>
      </c>
    </row>
    <row r="126" hidden="1" s="57">
      <c r="A126" s="85" t="n">
        <v>1054.809773675941</v>
      </c>
      <c r="B126" s="86" t="n">
        <v>907.5</v>
      </c>
      <c r="C126" s="86" t="n">
        <v>-147.31</v>
      </c>
      <c r="D126" s="86" t="n">
        <v>6.306999999999999</v>
      </c>
      <c r="E126" s="86" t="n"/>
      <c r="F126" s="86" t="n">
        <v>850.0741830142701</v>
      </c>
      <c r="G126" s="86" t="n">
        <v>220.0003471816667</v>
      </c>
      <c r="H126" s="86" t="n">
        <v>239.2197736759404</v>
      </c>
      <c r="I126" s="86" t="n"/>
      <c r="J126" s="86" t="n">
        <v>184.4300000000001</v>
      </c>
      <c r="K126" s="86" t="n">
        <v>226.8</v>
      </c>
      <c r="L126" s="86" t="n">
        <v>216.8599999999999</v>
      </c>
      <c r="M126" s="86" t="n">
        <v>7</v>
      </c>
      <c r="N126" s="86" t="n">
        <v>6.960000000000036</v>
      </c>
      <c r="O126" s="86" t="n">
        <v>6.539999999999964</v>
      </c>
      <c r="P126" s="86" t="n">
        <v>0</v>
      </c>
      <c r="Q126" s="86" t="n">
        <v>36.19</v>
      </c>
      <c r="R126" s="86" t="n">
        <v>39.76000000000001</v>
      </c>
      <c r="S126" s="86" t="n">
        <v>108.33</v>
      </c>
      <c r="T126" s="80" t="n">
        <v>0.1134375</v>
      </c>
      <c r="U126" s="17" t="n">
        <v>45802</v>
      </c>
      <c r="V126" s="5" t="inlineStr">
        <is>
          <t>23:03:14</t>
        </is>
      </c>
      <c r="W126" s="88">
        <f>IFERROR(Tabela11[[#This Row],[Lucro]]*1/Tabela11[[#This Row],[Capital total]],"")</f>
        <v/>
      </c>
      <c r="X126" s="82">
        <f>Tabela11[[#This Row],[Lucro]]-C125</f>
        <v/>
      </c>
      <c r="Y126" s="65">
        <f>PROPER(TEXT(DATE(2024,MONTH(Tabela11[[#This Row],[Data]]),1),"mmmm"))</f>
        <v/>
      </c>
      <c r="Z126" s="65">
        <f>YEAR(Tabela11[[#This Row],[Data]])</f>
        <v/>
      </c>
      <c r="AA126" s="78">
        <f>Tabela11[[#This Row],[Capital investido]]-A125</f>
        <v/>
      </c>
    </row>
    <row r="127" hidden="1" s="57">
      <c r="A127" s="85" t="n">
        <v>1060.229064931454</v>
      </c>
      <c r="B127" s="86" t="n">
        <v>916.6153066069295</v>
      </c>
      <c r="C127" s="86" t="n">
        <v>-143.6137583245242</v>
      </c>
      <c r="D127" s="86" t="n">
        <v>6.306999999999999</v>
      </c>
      <c r="E127" s="86" t="n"/>
      <c r="F127" s="86" t="n">
        <v>916.6153066069295</v>
      </c>
      <c r="G127" s="86" t="n">
        <v>220.0003471816667</v>
      </c>
      <c r="H127" s="86" t="n">
        <v>244.6390649314536</v>
      </c>
      <c r="I127" s="86" t="n"/>
      <c r="J127" s="86" t="n">
        <v>184.0200000000001</v>
      </c>
      <c r="K127" s="86" t="n">
        <v>227.0332416754758</v>
      </c>
      <c r="L127" s="86" t="n">
        <v>217.0600000000001</v>
      </c>
      <c r="M127" s="86" t="n">
        <v>7</v>
      </c>
      <c r="N127" s="86" t="n">
        <v>6.960000000000036</v>
      </c>
      <c r="O127" s="86" t="n">
        <v>6.539999999999964</v>
      </c>
      <c r="P127" s="86" t="n">
        <v>0</v>
      </c>
      <c r="Q127" s="86" t="n">
        <v>36.36</v>
      </c>
      <c r="R127" s="86" t="n">
        <v>39.76000000000001</v>
      </c>
      <c r="S127" s="86" t="n">
        <v>111.7</v>
      </c>
      <c r="T127" s="80" t="n">
        <v>0.1145769133258662</v>
      </c>
      <c r="U127" s="17" t="n">
        <v>45804</v>
      </c>
      <c r="V127" s="5" t="inlineStr">
        <is>
          <t>10:01:21</t>
        </is>
      </c>
      <c r="W127" s="88">
        <f>IFERROR(Tabela11[[#This Row],[Lucro]]*1/Tabela11[[#This Row],[Capital total]],"")</f>
        <v/>
      </c>
      <c r="X127" s="82">
        <f>Tabela11[[#This Row],[Lucro]]-C126</f>
        <v/>
      </c>
      <c r="Y127" s="65">
        <f>PROPER(TEXT(DATE(2024,MONTH(Tabela11[[#This Row],[Data]]),1),"mmmm"))</f>
        <v/>
      </c>
      <c r="Z127" s="65">
        <f>YEAR(Tabela11[[#This Row],[Data]])</f>
        <v/>
      </c>
      <c r="AA127" s="78">
        <f>Tabela11[[#This Row],[Capital investido]]-A126</f>
        <v/>
      </c>
    </row>
    <row r="128" hidden="1" s="57">
      <c r="A128" s="85" t="n">
        <v>1060.229064931454</v>
      </c>
      <c r="B128" s="86" t="n">
        <v>798.1595805967255</v>
      </c>
      <c r="C128" s="86" t="n">
        <v>-262.0694843347281</v>
      </c>
      <c r="D128" s="86" t="n">
        <v>6.306999999999999</v>
      </c>
      <c r="E128" s="86" t="n"/>
      <c r="F128" s="86" t="n">
        <v>798.1595805967255</v>
      </c>
      <c r="G128" s="86" t="n">
        <v>359.9983375133333</v>
      </c>
      <c r="H128" s="86" t="n">
        <v>244.6390649314536</v>
      </c>
      <c r="I128" s="86" t="n"/>
      <c r="J128" s="86" t="n">
        <v>184.78</v>
      </c>
      <c r="K128" s="86" t="n">
        <v>228.5275156652718</v>
      </c>
      <c r="L128" s="86" t="n">
        <v>216.25</v>
      </c>
      <c r="M128" s="86" t="n">
        <v>7</v>
      </c>
      <c r="N128" s="86" t="n">
        <v>6.960000000000036</v>
      </c>
      <c r="O128" s="86" t="n">
        <v>6.539999999999964</v>
      </c>
      <c r="P128" s="86" t="n">
        <v>0</v>
      </c>
      <c r="Q128" s="86" t="n">
        <v>36.73</v>
      </c>
      <c r="R128" s="86" t="n">
        <v>39.76000000000001</v>
      </c>
      <c r="S128" s="86" t="n">
        <v>111.7</v>
      </c>
      <c r="T128" s="80" t="n">
        <v>0.09976994757459069</v>
      </c>
      <c r="U128" s="17" t="n">
        <v>45805</v>
      </c>
      <c r="V128" s="5" t="inlineStr">
        <is>
          <t>23:14:02</t>
        </is>
      </c>
      <c r="W128" s="88">
        <f>IFERROR(Tabela11[[#This Row],[Lucro]]*1/Tabela11[[#This Row],[Capital total]],"")</f>
        <v/>
      </c>
      <c r="X128" s="82">
        <f>Tabela11[[#This Row],[Lucro]]-C127</f>
        <v/>
      </c>
      <c r="Y128" s="65">
        <f>PROPER(TEXT(DATE(2024,MONTH(Tabela11[[#This Row],[Data]]),1),"mmmm"))</f>
        <v/>
      </c>
      <c r="Z128" s="65">
        <f>YEAR(Tabela11[[#This Row],[Data]])</f>
        <v/>
      </c>
      <c r="AA128" s="78">
        <f>Tabela11[[#This Row],[Capital investido]]-A127</f>
        <v/>
      </c>
    </row>
    <row r="129" hidden="1" s="57">
      <c r="A129" s="85" t="n">
        <v>1060.229064931454</v>
      </c>
      <c r="B129" s="86" t="n">
        <v>518.1323901437963</v>
      </c>
      <c r="C129" s="86" t="n">
        <v>-542.0966747876573</v>
      </c>
      <c r="D129" s="86" t="n">
        <v>6.306999999999999</v>
      </c>
      <c r="E129" s="86" t="n"/>
      <c r="F129" s="86" t="n">
        <v>518.1323901437963</v>
      </c>
      <c r="G129" s="86" t="n">
        <v>716.4035933333333</v>
      </c>
      <c r="H129" s="86" t="n">
        <v>244.6390649314535</v>
      </c>
      <c r="I129" s="86" t="n"/>
      <c r="J129" s="86" t="n">
        <v>183.15</v>
      </c>
      <c r="K129" s="86" t="n">
        <v>228.7203252123425</v>
      </c>
      <c r="L129" s="86" t="n">
        <v>213.41</v>
      </c>
      <c r="M129" s="86" t="n">
        <v>7</v>
      </c>
      <c r="N129" s="86" t="n">
        <v>6.960000000000036</v>
      </c>
      <c r="O129" s="86" t="n">
        <v>6.539999999999964</v>
      </c>
      <c r="P129" s="86" t="n">
        <v>0</v>
      </c>
      <c r="Q129" s="86" t="n">
        <v>36.69</v>
      </c>
      <c r="R129" s="86" t="n">
        <v>39.76000000000001</v>
      </c>
      <c r="S129" s="86" t="n">
        <v>111.7</v>
      </c>
      <c r="T129" s="80" t="n">
        <v>0.06476654876797454</v>
      </c>
      <c r="U129" s="17" t="n">
        <v>45811</v>
      </c>
      <c r="V129" s="5" t="inlineStr">
        <is>
          <t>10:12:44</t>
        </is>
      </c>
      <c r="W129" s="88">
        <f>IFERROR(Tabela11[[#This Row],[Lucro]]*1/Tabela11[[#This Row],[Capital total]],"")</f>
        <v/>
      </c>
      <c r="X129" s="82">
        <f>Tabela11[[#This Row],[Lucro]]-C128</f>
        <v/>
      </c>
      <c r="Y129" s="65">
        <f>PROPER(TEXT(DATE(2024,MONTH(Tabela11[[#This Row],[Data]]),1),"mmmm"))</f>
        <v/>
      </c>
      <c r="Z129" s="65">
        <f>YEAR(Tabela11[[#This Row],[Data]])</f>
        <v/>
      </c>
      <c r="AA129" s="78">
        <f>Tabela11[[#This Row],[Capital investido]]-A128</f>
        <v/>
      </c>
    </row>
    <row r="130" hidden="1" s="57">
      <c r="A130" s="85" t="n">
        <v>1060.229064931454</v>
      </c>
      <c r="B130" s="86" t="n">
        <v>518.1323901437963</v>
      </c>
      <c r="C130" s="86" t="n">
        <v>-542.0966747876573</v>
      </c>
      <c r="D130" s="86" t="n">
        <v>6.306999999999999</v>
      </c>
      <c r="E130" s="86" t="n"/>
      <c r="F130" s="86" t="n">
        <v>518.1323901437963</v>
      </c>
      <c r="G130" s="86" t="n">
        <v>716.4035933333333</v>
      </c>
      <c r="H130" s="86" t="n">
        <v>244.6390649314535</v>
      </c>
      <c r="I130" s="86" t="n"/>
      <c r="J130" s="86" t="n">
        <v>183.15</v>
      </c>
      <c r="K130" s="86" t="n">
        <v>228.7203252123425</v>
      </c>
      <c r="L130" s="86" t="n">
        <v>213.41</v>
      </c>
      <c r="M130" s="86" t="n">
        <v>7</v>
      </c>
      <c r="N130" s="86" t="n">
        <v>6.960000000000036</v>
      </c>
      <c r="O130" s="86" t="n">
        <v>6.539999999999964</v>
      </c>
      <c r="P130" s="86" t="n">
        <v>0</v>
      </c>
      <c r="Q130" s="86" t="n">
        <v>36.69</v>
      </c>
      <c r="R130" s="86" t="n">
        <v>39.76000000000001</v>
      </c>
      <c r="S130" s="86" t="n">
        <v>111.7</v>
      </c>
      <c r="T130" s="80" t="n">
        <v>0.06476654876797454</v>
      </c>
      <c r="U130" s="17" t="n">
        <v>45813</v>
      </c>
      <c r="V130" s="5" t="inlineStr">
        <is>
          <t>06:33:09</t>
        </is>
      </c>
      <c r="W130" s="88">
        <f>IFERROR(Tabela11[[#This Row],[Lucro]]*1/Tabela11[[#This Row],[Capital total]],"")</f>
        <v/>
      </c>
      <c r="X130" s="82">
        <f>Tabela11[[#This Row],[Lucro]]-C129</f>
        <v/>
      </c>
      <c r="Y130" s="65">
        <f>PROPER(TEXT(DATE(2024,MONTH(Tabela11[[#This Row],[Data]]),1),"mmmm"))</f>
        <v/>
      </c>
      <c r="Z130" s="65">
        <f>YEAR(Tabela11[[#This Row],[Data]])</f>
        <v/>
      </c>
      <c r="AA130" s="78">
        <f>Tabela11[[#This Row],[Capital investido]]-A129</f>
        <v/>
      </c>
    </row>
    <row r="131" hidden="1" s="57">
      <c r="A131" s="85" t="n">
        <v>1060.229064931454</v>
      </c>
      <c r="B131" s="86" t="n">
        <v>513.0544900577471</v>
      </c>
      <c r="C131" s="86" t="n">
        <v>-547.1745748737065</v>
      </c>
      <c r="D131" s="86" t="n">
        <v>6.306999999999999</v>
      </c>
      <c r="E131" s="86" t="n"/>
      <c r="F131" s="86" t="n">
        <v>513.0544900577471</v>
      </c>
      <c r="G131" s="86" t="n">
        <v>716.4035933333333</v>
      </c>
      <c r="H131" s="86" t="n">
        <v>244.6390649314535</v>
      </c>
      <c r="I131" s="86" t="n"/>
      <c r="J131" s="86" t="n">
        <v>180.77</v>
      </c>
      <c r="K131" s="86" t="n">
        <v>226.3624251262931</v>
      </c>
      <c r="L131" s="86" t="n">
        <v>212.88</v>
      </c>
      <c r="M131" s="86" t="n">
        <v>7</v>
      </c>
      <c r="N131" s="86" t="n">
        <v>6.960000000000036</v>
      </c>
      <c r="O131" s="86" t="n">
        <v>6.539999999999964</v>
      </c>
      <c r="P131" s="86" t="n">
        <v>0</v>
      </c>
      <c r="Q131" s="86" t="n">
        <v>36.67</v>
      </c>
      <c r="R131" s="86" t="n">
        <v>39.76000000000001</v>
      </c>
      <c r="S131" s="86" t="n">
        <v>111.7</v>
      </c>
      <c r="T131" s="80" t="n">
        <v>0.06413181125721838</v>
      </c>
      <c r="U131" s="17" t="n">
        <v>45813</v>
      </c>
      <c r="V131" s="5" t="inlineStr">
        <is>
          <t>06:34:48</t>
        </is>
      </c>
      <c r="W131" s="88">
        <f>IFERROR(Tabela11[[#This Row],[Lucro]]*1/Tabela11[[#This Row],[Capital total]],"")</f>
        <v/>
      </c>
      <c r="X131" s="82">
        <f>Tabela11[[#This Row],[Lucro]]-C130</f>
        <v/>
      </c>
      <c r="Y131" s="65">
        <f>PROPER(TEXT(DATE(2024,MONTH(Tabela11[[#This Row],[Data]]),1),"mmmm"))</f>
        <v/>
      </c>
      <c r="Z131" s="65">
        <f>YEAR(Tabela11[[#This Row],[Data]])</f>
        <v/>
      </c>
      <c r="AA131" s="78">
        <f>Tabela11[[#This Row],[Capital investido]]-A130</f>
        <v/>
      </c>
    </row>
    <row r="132" hidden="1" s="57">
      <c r="A132" s="85" t="n">
        <v>1060.229064931454</v>
      </c>
      <c r="B132" s="86" t="n">
        <v>508.6346813016298</v>
      </c>
      <c r="C132" s="86" t="n">
        <v>-551.5943836298238</v>
      </c>
      <c r="D132" s="86" t="n">
        <v>6.306999999999999</v>
      </c>
      <c r="E132" s="86" t="n"/>
      <c r="F132" s="86" t="n">
        <v>508.6346813016298</v>
      </c>
      <c r="G132" s="86" t="n">
        <v>716.4035933333333</v>
      </c>
      <c r="H132" s="86" t="n">
        <v>244.6390649314535</v>
      </c>
      <c r="I132" s="86" t="n"/>
      <c r="J132" s="86" t="n">
        <v>179.04</v>
      </c>
      <c r="K132" s="86" t="n">
        <v>224.5026163701759</v>
      </c>
      <c r="L132" s="86" t="n">
        <v>212.8199999999999</v>
      </c>
      <c r="M132" s="86" t="n">
        <v>7</v>
      </c>
      <c r="N132" s="86" t="n">
        <v>6.960000000000036</v>
      </c>
      <c r="O132" s="86" t="n">
        <v>6.539999999999964</v>
      </c>
      <c r="P132" s="86" t="n">
        <v>0</v>
      </c>
      <c r="Q132" s="86" t="n">
        <v>36.24</v>
      </c>
      <c r="R132" s="86" t="n">
        <v>39.76000000000001</v>
      </c>
      <c r="S132" s="86" t="n">
        <v>111.7</v>
      </c>
      <c r="T132" s="80" t="n">
        <v>0.06357933516270373</v>
      </c>
      <c r="U132" s="17" t="n">
        <v>45814</v>
      </c>
      <c r="V132" s="5" t="inlineStr">
        <is>
          <t>06:32:55</t>
        </is>
      </c>
      <c r="W132" s="88">
        <f>IFERROR(Tabela11[[#This Row],[Lucro]]*1/Tabela11[[#This Row],[Capital total]],"")</f>
        <v/>
      </c>
      <c r="X132" s="82">
        <f>Tabela11[[#This Row],[Lucro]]-C131</f>
        <v/>
      </c>
      <c r="Y132" s="65">
        <f>PROPER(TEXT(DATE(2024,MONTH(Tabela11[[#This Row],[Data]]),1),"mmmm"))</f>
        <v/>
      </c>
      <c r="Z132" s="65">
        <f>YEAR(Tabela11[[#This Row],[Data]])</f>
        <v/>
      </c>
      <c r="AA132" s="78">
        <f>Tabela11[[#This Row],[Capital investido]]-A131</f>
        <v/>
      </c>
    </row>
    <row r="133">
      <c r="A133" s="85" t="n">
        <v>1057.699064931453</v>
      </c>
      <c r="B133" s="86" t="n">
        <v>1054.077571035747</v>
      </c>
      <c r="C133" s="86" t="n">
        <v>-3.621493895706215</v>
      </c>
      <c r="D133" s="86" t="n">
        <v>6.306999999999999</v>
      </c>
      <c r="E133" s="86" t="n"/>
      <c r="F133" s="86" t="n">
        <v>1054.077571035747</v>
      </c>
      <c r="G133" s="86" t="n">
        <v>716.4035933333333</v>
      </c>
      <c r="H133" s="86" t="n">
        <v>244.6390649314535</v>
      </c>
      <c r="I133" s="86" t="n"/>
      <c r="J133" s="86" t="n">
        <v>173.6900000000001</v>
      </c>
      <c r="K133" s="86" t="n">
        <v>223.2855061042935</v>
      </c>
      <c r="L133" s="86" t="n">
        <v>212.9300000000001</v>
      </c>
      <c r="M133" s="86" t="n">
        <v>15.19000000000005</v>
      </c>
      <c r="N133" s="86" t="n">
        <v>6.960000000000036</v>
      </c>
      <c r="O133" s="86" t="n">
        <v>0</v>
      </c>
      <c r="P133" s="86" t="n">
        <v>0</v>
      </c>
      <c r="Q133" s="86" t="n">
        <v>36.39</v>
      </c>
      <c r="R133" s="86" t="n">
        <v>42.02</v>
      </c>
      <c r="S133" s="86" t="n">
        <v>108.06</v>
      </c>
      <c r="T133" s="80" t="n">
        <v>0.1317596963794684</v>
      </c>
      <c r="U133" s="17" t="n">
        <v>45816</v>
      </c>
      <c r="V133" s="5" t="inlineStr">
        <is>
          <t>10:19:29</t>
        </is>
      </c>
      <c r="W133" s="88">
        <f>IFERROR(Tabela11[[#This Row],[Lucro]]*1/Tabela11[[#This Row],[Capital total]],"")</f>
        <v/>
      </c>
      <c r="X133" s="82">
        <f>Tabela11[[#This Row],[Lucro]]-C132</f>
        <v/>
      </c>
      <c r="Y133" s="65">
        <f>PROPER(TEXT(DATE(2024,MONTH(Tabela11[[#This Row],[Data]]),1),"mmmm"))</f>
        <v/>
      </c>
      <c r="Z133" s="65">
        <f>YEAR(Tabela11[[#This Row],[Data]])</f>
        <v/>
      </c>
      <c r="AA133" s="78">
        <f>Tabela11[[#This Row],[Capital investido]]-A132</f>
        <v/>
      </c>
    </row>
    <row r="134">
      <c r="A134" s="85" t="n">
        <v>1057.699064931453</v>
      </c>
      <c r="B134" s="86" t="n">
        <v>1054.077571035747</v>
      </c>
      <c r="C134" s="86" t="n">
        <v>-3.621493895706215</v>
      </c>
      <c r="D134" s="86" t="n">
        <v>6.306999999999999</v>
      </c>
      <c r="E134" s="86" t="n"/>
      <c r="F134" s="86" t="n">
        <v>1054.077571035747</v>
      </c>
      <c r="G134" s="86" t="n">
        <v>716.4035933333333</v>
      </c>
      <c r="H134" s="86" t="n">
        <v>244.6390649314535</v>
      </c>
      <c r="I134" s="86" t="n"/>
      <c r="J134" s="86" t="n">
        <v>173.6900000000001</v>
      </c>
      <c r="K134" s="86" t="n">
        <v>223.2855061042935</v>
      </c>
      <c r="L134" s="86" t="n">
        <v>212.9300000000001</v>
      </c>
      <c r="M134" s="86" t="n">
        <v>15.19000000000005</v>
      </c>
      <c r="N134" s="86" t="n">
        <v>6.960000000000036</v>
      </c>
      <c r="O134" s="86" t="n">
        <v>0</v>
      </c>
      <c r="P134" s="86" t="n">
        <v>0</v>
      </c>
      <c r="Q134" s="86" t="n">
        <v>36.39</v>
      </c>
      <c r="R134" s="86" t="n">
        <v>42.02</v>
      </c>
      <c r="S134" s="86" t="n">
        <v>108.06</v>
      </c>
      <c r="T134" s="80" t="n">
        <v>0.1317596963794684</v>
      </c>
      <c r="U134" s="17" t="inlineStr">
        <is>
          <t>08/06/2025</t>
        </is>
      </c>
      <c r="V134" s="5" t="inlineStr">
        <is>
          <t>10:25:25</t>
        </is>
      </c>
      <c r="W134" s="88">
        <f>IFERROR(Tabela11[[#This Row],[Lucro]]*1/Tabela11[[#This Row],[Capital total]],"")</f>
        <v/>
      </c>
      <c r="X134" s="82">
        <f>Tabela11[[#This Row],[Lucro]]-C133</f>
        <v/>
      </c>
      <c r="Y134" s="65">
        <f>PROPER(TEXT(DATE(2024,MONTH(Tabela11[[#This Row],[Data]]),1),"mmmm"))</f>
        <v/>
      </c>
      <c r="Z134" s="65">
        <f>YEAR(Tabela11[[#This Row],[Data]])</f>
        <v/>
      </c>
      <c r="AA134" s="78">
        <f>Tabela11[[#This Row],[Capital investido]]-A133</f>
        <v/>
      </c>
    </row>
    <row r="135">
      <c r="A135" s="85" t="n">
        <v>1117.699064931453</v>
      </c>
      <c r="B135" s="86" t="n">
        <v>1102.54879382035</v>
      </c>
      <c r="C135" s="86" t="n">
        <v>-15.15027111110326</v>
      </c>
      <c r="D135" s="86" t="n">
        <v>7.968</v>
      </c>
      <c r="E135" s="86" t="n"/>
      <c r="F135" s="86" t="n">
        <v>1102.54879382035</v>
      </c>
      <c r="G135" s="86" t="n">
        <v>716.4035933333333</v>
      </c>
      <c r="H135" s="86" t="n">
        <v>244.6390649314535</v>
      </c>
      <c r="I135" s="86" t="n"/>
      <c r="J135" s="86" t="n">
        <v>172.3099999999999</v>
      </c>
      <c r="K135" s="86" t="n">
        <v>277.9077288888966</v>
      </c>
      <c r="L135" s="86" t="n">
        <v>210.72</v>
      </c>
      <c r="M135" s="86" t="n">
        <v>15.19000000000005</v>
      </c>
      <c r="N135" s="86" t="n">
        <v>6.960000000000036</v>
      </c>
      <c r="O135" s="86" t="n">
        <v>0</v>
      </c>
      <c r="P135" s="86" t="n">
        <v>0</v>
      </c>
      <c r="Q135" s="86" t="e">
        <v>#REF!</v>
      </c>
      <c r="R135" s="86" t="n">
        <v>42.02</v>
      </c>
      <c r="S135" s="86" t="n">
        <v>108.06</v>
      </c>
      <c r="T135" s="80" t="n">
        <v>0.1378185992275437</v>
      </c>
      <c r="U135" s="17" t="inlineStr">
        <is>
          <t>09/06/2025</t>
        </is>
      </c>
      <c r="V135" s="5" t="inlineStr">
        <is>
          <t>21:23:15</t>
        </is>
      </c>
      <c r="W135" s="88">
        <f>IFERROR(Tabela11[[#This Row],[Lucro]]*1/Tabela11[[#This Row],[Capital total]],"")</f>
        <v/>
      </c>
      <c r="X135" s="82">
        <f>Tabela11[[#This Row],[Lucro]]-C134</f>
        <v/>
      </c>
      <c r="Y135" s="65">
        <f>PROPER(TEXT(DATE(2024,MONTH(Tabela11[[#This Row],[Data]]),1),"mmmm"))</f>
        <v/>
      </c>
      <c r="Z135" s="65">
        <f>YEAR(Tabela11[[#This Row],[Data]])</f>
        <v/>
      </c>
      <c r="AA135" s="78">
        <f>Tabela11[[#This Row],[Capital investido]]-A134</f>
        <v/>
      </c>
    </row>
    <row r="136">
      <c r="A136" s="85" t="n">
        <v>1117.699064931453</v>
      </c>
      <c r="B136" s="86" t="n">
        <v>1102.54879382035</v>
      </c>
      <c r="C136" s="86" t="n">
        <v>-15.15027111110326</v>
      </c>
      <c r="D136" s="86" t="n">
        <v>7.968</v>
      </c>
      <c r="E136" s="86" t="n"/>
      <c r="F136" s="86" t="n">
        <v>1102.54879382035</v>
      </c>
      <c r="G136" s="86" t="n">
        <v>716.4035933333333</v>
      </c>
      <c r="H136" s="86" t="n">
        <v>244.6390649314535</v>
      </c>
      <c r="I136" s="86" t="n"/>
      <c r="J136" s="86" t="n">
        <v>172.3099999999999</v>
      </c>
      <c r="K136" s="86" t="n">
        <v>277.9077288888966</v>
      </c>
      <c r="L136" s="86" t="n">
        <v>210.72</v>
      </c>
      <c r="M136" s="86" t="n">
        <v>15.19000000000005</v>
      </c>
      <c r="N136" s="86" t="n">
        <v>6.960000000000036</v>
      </c>
      <c r="O136" s="86" t="n">
        <v>0</v>
      </c>
      <c r="P136" s="86" t="n">
        <v>0</v>
      </c>
      <c r="Q136" s="86" t="e">
        <v>#REF!</v>
      </c>
      <c r="R136" s="86" t="n">
        <v>42.02</v>
      </c>
      <c r="S136" s="86" t="n">
        <v>108.06</v>
      </c>
      <c r="T136" s="80" t="n">
        <v>0.1378185992275437</v>
      </c>
      <c r="U136" s="17" t="inlineStr">
        <is>
          <t>09/06/2025</t>
        </is>
      </c>
      <c r="V136" s="5" t="inlineStr">
        <is>
          <t>23:34:05</t>
        </is>
      </c>
      <c r="W136" s="88">
        <f>IFERROR(Tabela11[[#This Row],[Lucro]]*1/Tabela11[[#This Row],[Capital total]],"")</f>
        <v/>
      </c>
      <c r="X136" s="82">
        <f>Tabela11[[#This Row],[Lucro]]-C135</f>
        <v/>
      </c>
      <c r="Y136" s="65">
        <f>PROPER(TEXT(DATE(2024,MONTH(Tabela11[[#This Row],[Data]]),1),"mmmm"))</f>
        <v/>
      </c>
      <c r="Z136" s="65">
        <f>YEAR(Tabela11[[#This Row],[Data]])</f>
        <v/>
      </c>
      <c r="AA136" s="78">
        <f>Tabela11[[#This Row],[Capital investido]]-A135</f>
        <v/>
      </c>
    </row>
    <row r="137">
      <c r="A137" s="77" t="n">
        <v>1129.699064931453</v>
      </c>
      <c r="B137" s="78" t="n">
        <v>1114.54850990035</v>
      </c>
      <c r="C137" s="78" t="n">
        <v>-15.15055503110326</v>
      </c>
      <c r="D137" s="78" t="n">
        <v>7.968</v>
      </c>
      <c r="E137" s="78" t="n"/>
      <c r="F137" s="78" t="n">
        <v>1114.54850990035</v>
      </c>
      <c r="G137" s="86" t="n">
        <v>716.4035933333333</v>
      </c>
      <c r="H137" s="78" t="n">
        <v>244.6390649314535</v>
      </c>
      <c r="I137" s="78" t="n"/>
      <c r="J137" s="78" t="n">
        <v>172.3099999999999</v>
      </c>
      <c r="K137" s="78" t="n">
        <v>277.9077288888966</v>
      </c>
      <c r="L137" s="78" t="n">
        <v>210.72</v>
      </c>
      <c r="M137" s="78" t="n">
        <v>15.19000000000005</v>
      </c>
      <c r="N137" s="78" t="n">
        <v>6.960000000000036</v>
      </c>
      <c r="O137" s="78" t="n">
        <v>11.99971608</v>
      </c>
      <c r="P137" s="78" t="n">
        <v>0</v>
      </c>
      <c r="Q137" s="78" t="n">
        <v>36.31</v>
      </c>
      <c r="R137" s="78" t="n">
        <v>42.02</v>
      </c>
      <c r="S137" s="86" t="n">
        <v>108.06</v>
      </c>
      <c r="T137" s="80" t="n">
        <v>0.1393185637375438</v>
      </c>
      <c r="U137" s="18" t="inlineStr">
        <is>
          <t>09/06/2025</t>
        </is>
      </c>
      <c r="V137" s="4" t="inlineStr">
        <is>
          <t>23:42:30</t>
        </is>
      </c>
      <c r="W137" s="81">
        <f>IFERROR(Tabela11[[#This Row],[Lucro]]*1/Tabela11[[#This Row],[Capital total]],"")</f>
        <v/>
      </c>
      <c r="X137" s="82">
        <f>Tabela11[[#This Row],[Lucro]]-C136</f>
        <v/>
      </c>
      <c r="Y137" s="65">
        <f>PROPER(TEXT(DATE(2024,MONTH(Tabela11[[#This Row],[Data]]),1),"mmmm"))</f>
        <v/>
      </c>
      <c r="Z137" s="65">
        <f>YEAR(Tabela11[[#This Row],[Data]])</f>
        <v/>
      </c>
      <c r="AA137" s="78">
        <f>Tabela11[[#This Row],[Capital investido]]-A136</f>
        <v/>
      </c>
    </row>
    <row r="138">
      <c r="A138" s="85" t="n">
        <v>1129.829064931454</v>
      </c>
      <c r="B138" s="86" t="n">
        <v>1113.66626524035</v>
      </c>
      <c r="C138" s="86" t="n">
        <v>-16.16279969110326</v>
      </c>
      <c r="D138" s="86" t="n">
        <v>7.968</v>
      </c>
      <c r="E138" s="86" t="n"/>
      <c r="F138" s="86" t="n">
        <v>1113.66626524035</v>
      </c>
      <c r="G138" s="86" t="n">
        <v>716.4035933333333</v>
      </c>
      <c r="H138" s="86" t="n">
        <v>244.7690649314536</v>
      </c>
      <c r="I138" s="86" t="n"/>
      <c r="J138" s="86" t="n">
        <v>172.3099999999999</v>
      </c>
      <c r="K138" s="86" t="n">
        <v>277.9077288888966</v>
      </c>
      <c r="L138" s="86" t="n">
        <v>210.72</v>
      </c>
      <c r="M138" s="86" t="n">
        <v>15.19000000000005</v>
      </c>
      <c r="N138" s="86" t="n">
        <v>6.960000000000036</v>
      </c>
      <c r="O138" s="86" t="n">
        <v>11.99747142</v>
      </c>
      <c r="P138" s="86" t="n">
        <v>0</v>
      </c>
      <c r="Q138" s="86" t="n">
        <v>36.31</v>
      </c>
      <c r="R138" s="86" t="n">
        <v>42.02</v>
      </c>
      <c r="S138" s="90" t="n">
        <v>107.11</v>
      </c>
      <c r="T138" s="80" t="n">
        <v>0.1392082831550437</v>
      </c>
      <c r="U138" s="17" t="inlineStr">
        <is>
          <t>09/06/2025</t>
        </is>
      </c>
      <c r="V138" s="5" t="inlineStr">
        <is>
          <t>23:48:00</t>
        </is>
      </c>
      <c r="W138" s="88">
        <f>IFERROR(Tabela11[[#This Row],[Lucro]]*1/Tabela11[[#This Row],[Capital total]],"")</f>
        <v/>
      </c>
      <c r="X138" s="82">
        <f>Tabela11[[#This Row],[Lucro]]-C137</f>
        <v/>
      </c>
      <c r="Y138" s="65">
        <f>PROPER(TEXT(DATE(2024,MONTH(Tabela11[[#This Row],[Data]]),1),"mmmm"))</f>
        <v/>
      </c>
      <c r="Z138" s="65">
        <f>YEAR(Tabela11[[#This Row],[Data]])</f>
        <v/>
      </c>
      <c r="AA138" s="78">
        <f>Tabela11[[#This Row],[Capital investido]]-A137</f>
        <v/>
      </c>
    </row>
    <row r="139">
      <c r="A139" s="85" t="n">
        <v>1129.959064931453</v>
      </c>
      <c r="B139" s="86" t="n">
        <v>593.2899784214703</v>
      </c>
      <c r="C139" s="86" t="n">
        <v>-536.6690865099831</v>
      </c>
      <c r="D139" s="86" t="n">
        <v>7.968</v>
      </c>
      <c r="E139" s="86" t="n"/>
      <c r="F139" s="86" t="n">
        <v>593.2899784214703</v>
      </c>
      <c r="G139" s="86" t="n">
        <v>232.3632665866666</v>
      </c>
      <c r="H139" s="86" t="n">
        <v>244.8990649314535</v>
      </c>
      <c r="I139" s="86" t="n"/>
      <c r="J139" s="86" t="n">
        <v>174.38</v>
      </c>
      <c r="K139" s="86" t="n">
        <v>278.6826946700168</v>
      </c>
      <c r="L139" s="86" t="n">
        <v>209.9299999999999</v>
      </c>
      <c r="M139" s="86" t="n">
        <v>15.19000000000005</v>
      </c>
      <c r="N139" s="86" t="n">
        <v>6.960000000000036</v>
      </c>
      <c r="O139" s="86" t="n">
        <v>12.02621882</v>
      </c>
      <c r="P139" s="86" t="n">
        <v>0</v>
      </c>
      <c r="Q139" s="86" t="n">
        <v>36.51</v>
      </c>
      <c r="R139" s="86" t="n">
        <v>42.02</v>
      </c>
      <c r="S139" s="86" t="n">
        <v>107.11</v>
      </c>
      <c r="T139" s="80" t="n">
        <v>0.07416124730268379</v>
      </c>
      <c r="U139" s="17" t="inlineStr">
        <is>
          <t>10/06/2025</t>
        </is>
      </c>
      <c r="V139" s="5" t="inlineStr">
        <is>
          <t>23:48:28</t>
        </is>
      </c>
      <c r="W139" s="88">
        <f>IFERROR(Tabela11[[#This Row],[Lucro]]*1/Tabela11[[#This Row],[Capital total]],"")</f>
        <v/>
      </c>
      <c r="X139" s="82">
        <f>Tabela11[[#This Row],[Lucro]]-C138</f>
        <v/>
      </c>
      <c r="Y139" s="65">
        <f>PROPER(TEXT(DATE(2024,MONTH(Tabela11[[#This Row],[Data]]),1),"mmmm"))</f>
        <v/>
      </c>
      <c r="Z139" s="65">
        <f>YEAR(Tabela11[[#This Row],[Data]])</f>
        <v/>
      </c>
      <c r="AA139" s="78">
        <f>Tabela11[[#This Row],[Capital investido]]-A138</f>
        <v/>
      </c>
    </row>
    <row r="140">
      <c r="A140" s="85" t="n">
        <v>1130.009064931453</v>
      </c>
      <c r="B140" s="86" t="n">
        <v>593.3572567026508</v>
      </c>
      <c r="C140" s="86" t="n">
        <v>-536.6518082288026</v>
      </c>
      <c r="D140" s="86" t="n">
        <v>7.968</v>
      </c>
      <c r="E140" s="86" t="n"/>
      <c r="F140" s="86" t="n">
        <v>593.3572567026508</v>
      </c>
      <c r="G140" s="86" t="n">
        <v>232.3632665866666</v>
      </c>
      <c r="H140" s="86" t="n">
        <v>244.8990649314535</v>
      </c>
      <c r="I140" s="86" t="n"/>
      <c r="J140" s="86" t="n">
        <v>174.77</v>
      </c>
      <c r="K140" s="86" t="n">
        <v>277.8927295511976</v>
      </c>
      <c r="L140" s="86" t="n">
        <v>210.21</v>
      </c>
      <c r="M140" s="86" t="n">
        <v>15.19000000000005</v>
      </c>
      <c r="N140" s="86" t="n">
        <v>7.009999999999991</v>
      </c>
      <c r="O140" s="86" t="n">
        <v>12.02346222</v>
      </c>
      <c r="P140" s="86" t="n">
        <v>0</v>
      </c>
      <c r="Q140" s="86" t="n">
        <v>36.56</v>
      </c>
      <c r="R140" s="86" t="n">
        <v>42.02</v>
      </c>
      <c r="S140" s="86" t="n">
        <v>107.11</v>
      </c>
      <c r="T140" s="80" t="n">
        <v>0.07416965708783135</v>
      </c>
      <c r="U140" s="17" t="inlineStr">
        <is>
          <t>11/06/2025</t>
        </is>
      </c>
      <c r="V140" s="5" t="inlineStr">
        <is>
          <t>10:30:50</t>
        </is>
      </c>
      <c r="W140" s="88">
        <f>IFERROR(Tabela11[[#This Row],[Lucro]]*1/Tabela11[[#This Row],[Capital total]],"")</f>
        <v/>
      </c>
      <c r="X140" s="82">
        <f>Tabela11[[#This Row],[Lucro]]-C139</f>
        <v/>
      </c>
      <c r="Y140" s="65">
        <f>PROPER(TEXT(DATE(2024,MONTH(Tabela11[[#This Row],[Data]]),1),"mmmm"))</f>
        <v/>
      </c>
      <c r="Z140" s="65">
        <f>YEAR(Tabela11[[#This Row],[Data]])</f>
        <v/>
      </c>
      <c r="AA140" s="78">
        <f>Tabela11[[#This Row],[Capital investido]]-A139</f>
        <v/>
      </c>
    </row>
    <row r="141">
      <c r="A141" s="85" t="n">
        <v>1130.139064931454</v>
      </c>
      <c r="B141" s="86" t="n">
        <v>594.4096492060148</v>
      </c>
      <c r="C141" s="86" t="n">
        <v>-535.7294157254387</v>
      </c>
      <c r="D141" s="86" t="n">
        <v>7.968</v>
      </c>
      <c r="E141" s="86" t="n"/>
      <c r="F141" s="86" t="n">
        <v>594.4096492060148</v>
      </c>
      <c r="G141" s="86" t="n">
        <v>232.3632665866666</v>
      </c>
      <c r="H141" s="86" t="n">
        <v>245.0290649314536</v>
      </c>
      <c r="I141" s="86" t="n"/>
      <c r="J141" s="86" t="n">
        <v>177.48</v>
      </c>
      <c r="K141" s="86" t="n">
        <v>276.8277765745615</v>
      </c>
      <c r="L141" s="86" t="n">
        <v>210.12</v>
      </c>
      <c r="M141" s="86" t="n">
        <v>15.19000000000005</v>
      </c>
      <c r="N141" s="86" t="n">
        <v>7.009999999999991</v>
      </c>
      <c r="O141" s="86" t="n">
        <v>11.8008077</v>
      </c>
      <c r="P141" s="86" t="n">
        <v>0</v>
      </c>
      <c r="Q141" s="86" t="n">
        <v>36.29</v>
      </c>
      <c r="R141" s="86" t="n">
        <v>42.02</v>
      </c>
      <c r="S141" s="86" t="n">
        <v>106.27</v>
      </c>
      <c r="T141" s="80" t="n">
        <v>0.07430120615075185</v>
      </c>
      <c r="U141" s="17" t="inlineStr">
        <is>
          <t>12/06/2025</t>
        </is>
      </c>
      <c r="V141" s="5" t="inlineStr">
        <is>
          <t>00:21:44</t>
        </is>
      </c>
      <c r="W141" s="88">
        <f>IFERROR(Tabela11[[#This Row],[Lucro]]*1/Tabela11[[#This Row],[Capital total]],"")</f>
        <v/>
      </c>
      <c r="X141" s="82">
        <f>Tabela11[[#This Row],[Lucro]]-C140</f>
        <v/>
      </c>
      <c r="Y141" s="65">
        <f>PROPER(TEXT(DATE(2024,MONTH(Tabela11[[#This Row],[Data]]),1),"mmmm"))</f>
        <v/>
      </c>
      <c r="Z141" s="65">
        <f>YEAR(Tabela11[[#This Row],[Data]])</f>
        <v/>
      </c>
      <c r="AA141" s="78">
        <f>Tabela11[[#This Row],[Capital investido]]-A140</f>
        <v/>
      </c>
    </row>
    <row r="142">
      <c r="A142" s="85" t="n">
        <v>1130.139064931454</v>
      </c>
      <c r="B142" s="86" t="n">
        <v>594.4896197337139</v>
      </c>
      <c r="C142" s="86" t="n">
        <v>-535.6494451977396</v>
      </c>
      <c r="D142" s="86" t="n">
        <v>7.968</v>
      </c>
      <c r="E142" s="86" t="n"/>
      <c r="F142" s="86" t="n">
        <v>594.4896197337139</v>
      </c>
      <c r="G142" s="86" t="n">
        <v>232.3632665866666</v>
      </c>
      <c r="H142" s="86" t="n">
        <v>245.0290649314535</v>
      </c>
      <c r="I142" s="86" t="n"/>
      <c r="J142" s="86" t="n">
        <v>178.75</v>
      </c>
      <c r="K142" s="86" t="n">
        <v>276.8427759122605</v>
      </c>
      <c r="L142" s="86" t="n">
        <v>209.74</v>
      </c>
      <c r="M142" s="86" t="n">
        <v>15.19000000000005</v>
      </c>
      <c r="N142" s="86" t="n">
        <v>7.009999999999991</v>
      </c>
      <c r="O142" s="86" t="n">
        <v>11.29577889</v>
      </c>
      <c r="P142" s="86" t="n">
        <v>0</v>
      </c>
      <c r="Q142" s="86" t="n">
        <v>36.37</v>
      </c>
      <c r="R142" s="86" t="n">
        <v>42.02</v>
      </c>
      <c r="S142" s="86" t="n">
        <v>106.27</v>
      </c>
      <c r="T142" s="80" t="n">
        <v>0.07431120246671423</v>
      </c>
      <c r="U142" s="17" t="inlineStr">
        <is>
          <t>12/06/2025</t>
        </is>
      </c>
      <c r="V142" s="5" t="inlineStr">
        <is>
          <t>23:56:07</t>
        </is>
      </c>
      <c r="W142" s="88">
        <f>IFERROR(Tabela11[[#This Row],[Lucro]]*1/Tabela11[[#This Row],[Capital total]],"")</f>
        <v/>
      </c>
      <c r="X142" s="82">
        <f>Tabela11[[#This Row],[Lucro]]-C141</f>
        <v/>
      </c>
      <c r="Y142" s="65">
        <f>PROPER(TEXT(DATE(2024,MONTH(Tabela11[[#This Row],[Data]]),1),"mmmm"))</f>
        <v/>
      </c>
      <c r="Z142" s="65">
        <f>YEAR(Tabela11[[#This Row],[Data]])</f>
        <v/>
      </c>
      <c r="AA142" s="78">
        <f>Tabela11[[#This Row],[Capital investido]]-A141</f>
        <v/>
      </c>
    </row>
    <row r="143">
      <c r="A143" s="85" t="n">
        <v>1130.139064931454</v>
      </c>
      <c r="B143" s="86" t="n">
        <v>598.5162810130942</v>
      </c>
      <c r="C143" s="86" t="n">
        <v>-531.6227839183593</v>
      </c>
      <c r="D143" s="86" t="n">
        <v>7.968</v>
      </c>
      <c r="E143" s="86" t="n"/>
      <c r="F143" s="86" t="n">
        <v>598.5162810130942</v>
      </c>
      <c r="G143" s="86" t="n">
        <v>232.3632665866666</v>
      </c>
      <c r="H143" s="86" t="n">
        <v>245.0290649314535</v>
      </c>
      <c r="I143" s="86" t="n"/>
      <c r="J143" s="86" t="n">
        <v>179.11</v>
      </c>
      <c r="K143" s="86" t="n">
        <v>277.1727613416408</v>
      </c>
      <c r="L143" s="86" t="n">
        <v>212.6199999999999</v>
      </c>
      <c r="M143" s="86" t="n">
        <v>15.19000000000005</v>
      </c>
      <c r="N143" s="86" t="n">
        <v>7.009999999999991</v>
      </c>
      <c r="O143" s="86" t="n">
        <v>11.46245474</v>
      </c>
      <c r="P143" s="86" t="n">
        <v>0</v>
      </c>
      <c r="Q143" s="86" t="n">
        <v>36.16</v>
      </c>
      <c r="R143" s="86" t="n">
        <v>42.02</v>
      </c>
      <c r="S143" s="86" t="n">
        <v>106.27</v>
      </c>
      <c r="T143" s="80" t="n">
        <v>0.07481453512663677</v>
      </c>
      <c r="U143" s="17" t="inlineStr">
        <is>
          <t>14/06/2025</t>
        </is>
      </c>
      <c r="V143" s="5" t="inlineStr">
        <is>
          <t>17:40:31</t>
        </is>
      </c>
      <c r="W143" s="88">
        <f>IFERROR(Tabela11[[#This Row],[Lucro]]*1/Tabela11[[#This Row],[Capital total]],"")</f>
        <v/>
      </c>
      <c r="X143" s="82">
        <f>Tabela11[[#This Row],[Lucro]]-C142</f>
        <v/>
      </c>
      <c r="Y143" s="65">
        <f>PROPER(TEXT(DATE(2024,MONTH(Tabela11[[#This Row],[Data]]),1),"mmmm"))</f>
        <v/>
      </c>
      <c r="Z143" s="65">
        <f>YEAR(Tabela11[[#This Row],[Data]])</f>
        <v/>
      </c>
      <c r="AA143" s="78">
        <f>Tabela11[[#This Row],[Capital investido]]-A142</f>
        <v/>
      </c>
    </row>
    <row r="144">
      <c r="A144" s="85" t="n">
        <v>1131.619064931454</v>
      </c>
      <c r="B144" s="86" t="n">
        <v>601.5550803930942</v>
      </c>
      <c r="C144" s="86" t="n">
        <v>-530.0639845383594</v>
      </c>
      <c r="D144" s="86" t="n">
        <v>7.968</v>
      </c>
      <c r="E144" s="86" t="n"/>
      <c r="F144" s="86" t="n">
        <v>601.5550803930942</v>
      </c>
      <c r="G144" s="86" t="n">
        <v>232.3632665866666</v>
      </c>
      <c r="H144" s="86" t="n">
        <v>245.0290649314535</v>
      </c>
      <c r="I144" s="86" t="n"/>
      <c r="J144" s="86" t="n">
        <v>179.11</v>
      </c>
      <c r="K144" s="86" t="n">
        <v>277.1727613416408</v>
      </c>
      <c r="L144" s="86" t="n">
        <v>212.6199999999999</v>
      </c>
      <c r="M144" s="86" t="n">
        <v>15.19000000000005</v>
      </c>
      <c r="N144" s="86" t="n">
        <v>8.490000000000009</v>
      </c>
      <c r="O144" s="86" t="n">
        <v>11.54125412</v>
      </c>
      <c r="P144" s="86" t="n">
        <v>0</v>
      </c>
      <c r="Q144" s="86" t="n">
        <v>36.16</v>
      </c>
      <c r="R144" s="86" t="n">
        <v>42.02</v>
      </c>
      <c r="S144" s="86" t="n">
        <v>106.27</v>
      </c>
      <c r="T144" s="80" t="n">
        <v>0.07519438504913677</v>
      </c>
      <c r="U144" s="17" t="inlineStr">
        <is>
          <t>15/06/2025</t>
        </is>
      </c>
      <c r="V144" s="5" t="inlineStr">
        <is>
          <t>14:47:18</t>
        </is>
      </c>
      <c r="W144" s="88">
        <f>IFERROR(Tabela11[[#This Row],[Lucro]]*1/Tabela11[[#This Row],[Capital total]],"")</f>
        <v/>
      </c>
      <c r="X144" s="82">
        <f>Tabela11[[#This Row],[Lucro]]-C143</f>
        <v/>
      </c>
      <c r="Y144" s="65">
        <f>PROPER(TEXT(DATE(2024,MONTH(Tabela11[[#This Row],[Data]]),1),"mmmm"))</f>
        <v/>
      </c>
      <c r="Z144" s="65">
        <f>YEAR(Tabela11[[#This Row],[Data]])</f>
        <v/>
      </c>
      <c r="AA144" s="78">
        <f>Tabela11[[#This Row],[Capital investido]]-A143</f>
        <v/>
      </c>
    </row>
    <row r="145">
      <c r="A145" s="85" t="n">
        <v>1131.619064931454</v>
      </c>
      <c r="B145" s="86" t="n">
        <v>701.5404347646595</v>
      </c>
      <c r="C145" s="86" t="n">
        <v>-430.0786301667941</v>
      </c>
      <c r="D145" s="86" t="n">
        <v>7.968</v>
      </c>
      <c r="E145" s="86" t="n"/>
      <c r="F145" s="86" t="n">
        <v>701.5404347646595</v>
      </c>
      <c r="G145" s="86" t="e">
        <v>#REF!</v>
      </c>
      <c r="H145" s="86" t="n">
        <v>245.0290649314535</v>
      </c>
      <c r="I145" s="86" t="n"/>
      <c r="J145" s="86" t="n">
        <v>176.4200000000001</v>
      </c>
      <c r="K145" s="86" t="n">
        <v>275.5328337532061</v>
      </c>
      <c r="L145" s="86" t="n">
        <v>214.0899999999999</v>
      </c>
      <c r="M145" s="86" t="n">
        <v>15.19000000000005</v>
      </c>
      <c r="N145" s="86" t="n">
        <v>8.490000000000009</v>
      </c>
      <c r="O145" s="86" t="n">
        <v>11.56653608</v>
      </c>
      <c r="P145" s="86" t="n">
        <v>0</v>
      </c>
      <c r="Q145" s="86" t="n">
        <v>36.5</v>
      </c>
      <c r="R145" s="86" t="n">
        <v>42.02</v>
      </c>
      <c r="S145" s="86" t="n">
        <v>106.27</v>
      </c>
      <c r="T145" s="80" t="n">
        <v>0.08769255434558244</v>
      </c>
      <c r="U145" s="17" t="inlineStr">
        <is>
          <t>24/06/2025</t>
        </is>
      </c>
      <c r="V145" s="5" t="inlineStr">
        <is>
          <t>23:53:42</t>
        </is>
      </c>
      <c r="W145" s="88">
        <f>IFERROR(Tabela11[[#This Row],[Lucro]]*1/Tabela11[[#This Row],[Capital total]],"")</f>
        <v/>
      </c>
      <c r="X145" s="82">
        <f>Tabela11[[#This Row],[Lucro]]-C144</f>
        <v/>
      </c>
      <c r="Y145" s="65">
        <f>PROPER(TEXT(DATE(2024,MONTH(Tabela11[[#This Row],[Data]]),1),"mmmm"))</f>
        <v/>
      </c>
      <c r="Z145" s="65">
        <f>YEAR(Tabela11[[#This Row],[Data]])</f>
        <v/>
      </c>
      <c r="AA145" s="78">
        <f>Tabela11[[#This Row],[Capital investido]]-A144</f>
        <v/>
      </c>
    </row>
    <row r="146">
      <c r="A146" s="85" t="n">
        <v>1131.619064931454</v>
      </c>
      <c r="B146" s="86" t="n">
        <v>550.7645297919796</v>
      </c>
      <c r="C146" s="86" t="n">
        <v>-580.8545351394739</v>
      </c>
      <c r="D146" s="86" t="n">
        <v>7.968</v>
      </c>
      <c r="E146" s="86" t="n"/>
      <c r="F146" s="86" t="n">
        <v>550.7645297919796</v>
      </c>
      <c r="G146" s="86" t="e">
        <v>#REF!</v>
      </c>
      <c r="H146" s="86" t="n">
        <v>245.0290649314535</v>
      </c>
      <c r="I146" s="86" t="n"/>
      <c r="J146" s="86" t="n">
        <v>182.9300000000001</v>
      </c>
      <c r="K146" s="86" t="n">
        <v>271.3130200805264</v>
      </c>
      <c r="L146" s="86" t="n">
        <v>214.99</v>
      </c>
      <c r="M146" s="86" t="n">
        <v>15.19000000000005</v>
      </c>
      <c r="N146" s="86" t="n">
        <v>8.490000000000009</v>
      </c>
      <c r="O146" s="86" t="n">
        <v>11.61044478</v>
      </c>
      <c r="P146" s="86" t="n">
        <v>0</v>
      </c>
      <c r="Q146" s="86" t="n">
        <v>36.64</v>
      </c>
      <c r="R146" s="86" t="n">
        <v>42.02</v>
      </c>
      <c r="S146" s="86" t="n">
        <v>106.27</v>
      </c>
      <c r="T146" s="80" t="n">
        <v>0.06884556622399746</v>
      </c>
      <c r="U146" s="17" t="inlineStr">
        <is>
          <t>02/07/2025</t>
        </is>
      </c>
      <c r="V146" s="5" t="inlineStr">
        <is>
          <t>23:40:46</t>
        </is>
      </c>
      <c r="W146" s="88">
        <f>IFERROR(Tabela11[[#This Row],[Lucro]]*1/Tabela11[[#This Row],[Capital total]],"")</f>
        <v/>
      </c>
      <c r="X146" s="82">
        <f>Tabela11[[#This Row],[Lucro]]-C145</f>
        <v/>
      </c>
      <c r="Y146" s="65">
        <f>PROPER(TEXT(DATE(2024,MONTH(Tabela11[[#This Row],[Data]]),1),"mmmm"))</f>
        <v/>
      </c>
      <c r="Z146" s="65">
        <f>YEAR(Tabela11[[#This Row],[Data]])</f>
        <v/>
      </c>
      <c r="AA146" s="78">
        <f>Tabela11[[#This Row],[Capital investido]]-A145</f>
        <v/>
      </c>
    </row>
    <row r="147">
      <c r="A147" s="85" t="n">
        <v>1131.619064931454</v>
      </c>
      <c r="B147" s="86" t="n">
        <v>851.2459402726292</v>
      </c>
      <c r="C147" s="86" t="n">
        <v>-280.3731246588243</v>
      </c>
      <c r="D147" s="86" t="n">
        <v>7.968</v>
      </c>
      <c r="E147" s="86" t="n"/>
      <c r="F147" s="86" t="n">
        <v>851.2459402726292</v>
      </c>
      <c r="G147" s="86" t="n">
        <v>203.421388</v>
      </c>
      <c r="H147" s="86" t="n">
        <v>245.0290649314536</v>
      </c>
      <c r="I147" s="86" t="n"/>
      <c r="J147" s="86" t="n">
        <v>184.1600000000001</v>
      </c>
      <c r="K147" s="86" t="n">
        <v>271.0480317811755</v>
      </c>
      <c r="L147" s="86" t="n">
        <v>215.3900000000001</v>
      </c>
      <c r="M147" s="86" t="n">
        <v>15.19000000000005</v>
      </c>
      <c r="N147" s="86" t="n">
        <v>8.490000000000009</v>
      </c>
      <c r="O147" s="86" t="n">
        <v>11.53684356</v>
      </c>
      <c r="P147" s="86" t="n">
        <v>0</v>
      </c>
      <c r="Q147" s="86" t="n">
        <v>36.79000000000001</v>
      </c>
      <c r="R147" s="86" t="n">
        <v>42.02</v>
      </c>
      <c r="S147" s="86" t="n">
        <v>106.27</v>
      </c>
      <c r="T147" s="80" t="n">
        <v>0.1064057425340787</v>
      </c>
      <c r="U147" s="17" t="inlineStr">
        <is>
          <t>04/07/2025</t>
        </is>
      </c>
      <c r="V147" s="5" t="inlineStr">
        <is>
          <t>21:06:13</t>
        </is>
      </c>
      <c r="W147" s="88">
        <f>IFERROR(Tabela11[[#This Row],[Lucro]]*1/Tabela11[[#This Row],[Capital total]],"")</f>
        <v/>
      </c>
      <c r="X147" s="82">
        <f>Tabela11[[#This Row],[Lucro]]-C146</f>
        <v/>
      </c>
      <c r="Y147" s="65">
        <f>PROPER(TEXT(DATE(2024,MONTH(Tabela11[[#This Row],[Data]]),1),"mmmm"))</f>
        <v/>
      </c>
      <c r="Z147" s="65">
        <f>YEAR(Tabela11[[#This Row],[Data]])</f>
        <v/>
      </c>
      <c r="AA147" s="78">
        <f>Tabela11[[#This Row],[Capital investido]]-A146</f>
        <v/>
      </c>
    </row>
    <row r="148">
      <c r="A148" s="85" t="n">
        <v>1131.619064931454</v>
      </c>
      <c r="B148" s="86" t="n">
        <v>854.7121401026291</v>
      </c>
      <c r="C148" s="86" t="n">
        <v>-276.9069248288244</v>
      </c>
      <c r="D148" s="86" t="n">
        <v>7.968</v>
      </c>
      <c r="E148" s="86" t="n"/>
      <c r="F148" s="86" t="n">
        <v>854.7121401026291</v>
      </c>
      <c r="G148" s="86" t="n">
        <v>203.421388</v>
      </c>
      <c r="H148" s="86" t="n">
        <v>245.0290649314536</v>
      </c>
      <c r="I148" s="86" t="n"/>
      <c r="J148" s="86" t="n">
        <v>184.1600000000001</v>
      </c>
      <c r="K148" s="86" t="n">
        <v>271.0480317811755</v>
      </c>
      <c r="L148" s="86" t="n">
        <v>215.3900000000001</v>
      </c>
      <c r="M148" s="86" t="n">
        <v>15.19000000000005</v>
      </c>
      <c r="N148" s="86" t="n">
        <v>8.490000000000009</v>
      </c>
      <c r="O148" s="86" t="n">
        <v>11.53304339</v>
      </c>
      <c r="P148" s="86" t="n">
        <v>0</v>
      </c>
      <c r="Q148" s="86" t="n">
        <v>36.79000000000001</v>
      </c>
      <c r="R148" s="86" t="n">
        <v>42.02</v>
      </c>
      <c r="S148" s="86" t="n">
        <v>106.27</v>
      </c>
      <c r="T148" s="80" t="n">
        <v>0.1068390175128286</v>
      </c>
      <c r="U148" s="17" t="inlineStr">
        <is>
          <t>04/07/2025</t>
        </is>
      </c>
      <c r="V148" s="5" t="inlineStr">
        <is>
          <t>21:16:49</t>
        </is>
      </c>
      <c r="W148" s="88">
        <f>IFERROR(Tabela11[[#This Row],[Lucro]]*1/Tabela11[[#This Row],[Capital total]],"")</f>
        <v/>
      </c>
      <c r="X148" s="82">
        <f>Tabela11[[#This Row],[Lucro]]-C147</f>
        <v/>
      </c>
      <c r="Y148" s="65">
        <f>PROPER(TEXT(DATE(2024,MONTH(Tabela11[[#This Row],[Data]]),1),"mmmm"))</f>
        <v/>
      </c>
      <c r="Z148" s="65">
        <f>YEAR(Tabela11[[#This Row],[Data]])</f>
        <v/>
      </c>
      <c r="AA148" s="78">
        <f>Tabela11[[#This Row],[Capital investido]]-A147</f>
        <v/>
      </c>
    </row>
    <row r="149">
      <c r="A149" s="77" t="n">
        <v>1137.649064931453</v>
      </c>
      <c r="B149" s="78" t="n">
        <v>593.3832539564564</v>
      </c>
      <c r="C149" s="78" t="n">
        <v>-544.2658109749971</v>
      </c>
      <c r="D149" s="78" t="n">
        <v>7.968</v>
      </c>
      <c r="E149" s="78" t="n"/>
      <c r="F149" s="78" t="n">
        <v>593.3832539564564</v>
      </c>
      <c r="G149" s="78" t="n">
        <v>489.4636328</v>
      </c>
      <c r="H149" s="78" t="n">
        <v>245.0290649314535</v>
      </c>
      <c r="I149" s="78" t="n"/>
      <c r="J149" s="78" t="n">
        <v>182.23</v>
      </c>
      <c r="K149" s="78" t="n">
        <v>277.8027335250031</v>
      </c>
      <c r="L149" s="78" t="n">
        <v>215.75</v>
      </c>
      <c r="M149" s="78" t="n">
        <v>21.22000000000003</v>
      </c>
      <c r="N149" s="78" t="n">
        <v>8.490000000000009</v>
      </c>
      <c r="O149" s="78" t="n">
        <v>13.3094555</v>
      </c>
      <c r="P149" s="78" t="n">
        <v>0</v>
      </c>
      <c r="Q149" s="78" t="n">
        <v>37.66</v>
      </c>
      <c r="R149" s="78" t="n">
        <v>42.02</v>
      </c>
      <c r="S149" s="86" t="n">
        <v>106.27</v>
      </c>
      <c r="T149" s="80" t="n">
        <v>0.07417290674455705</v>
      </c>
      <c r="U149" s="18" t="inlineStr">
        <is>
          <t>14/07/2025</t>
        </is>
      </c>
      <c r="V149" s="4" t="inlineStr">
        <is>
          <t>10:33:01</t>
        </is>
      </c>
      <c r="W149" s="81">
        <f>IFERROR(Tabela11[[#This Row],[Lucro]]*1/Tabela11[[#This Row],[Capital total]],"")</f>
        <v/>
      </c>
      <c r="X149" s="82">
        <f>Tabela11[[#This Row],[Lucro]]-C148</f>
        <v/>
      </c>
      <c r="Y149" s="65">
        <f>PROPER(TEXT(DATE(2024,MONTH(Tabela11[[#This Row],[Data]]),1),"mmmm"))</f>
        <v/>
      </c>
      <c r="Z149" s="65">
        <f>YEAR(Tabela11[[#This Row],[Data]])</f>
        <v/>
      </c>
      <c r="AA149" s="78">
        <f>Tabela11[[#This Row],[Capital investido]]-A148</f>
        <v/>
      </c>
    </row>
    <row r="150">
      <c r="A150" s="77" t="n">
        <v>1137.649064931453</v>
      </c>
      <c r="B150" s="78" t="n">
        <v>591.9825391862798</v>
      </c>
      <c r="C150" s="78" t="n">
        <v>-545.6665257451737</v>
      </c>
      <c r="D150" s="78" t="n">
        <v>7.968</v>
      </c>
      <c r="E150" s="78" t="n"/>
      <c r="F150" s="78" t="n">
        <v>591.9825391862798</v>
      </c>
      <c r="G150" s="78" t="e">
        <v>#REF!</v>
      </c>
      <c r="H150" s="78" t="n">
        <v>245.0290649314535</v>
      </c>
      <c r="I150" s="78" t="n"/>
      <c r="J150" s="78" t="n">
        <v>179.0699999999999</v>
      </c>
      <c r="K150" s="78" t="n">
        <v>277.4127507448264</v>
      </c>
      <c r="L150" s="78" t="n">
        <v>217.24</v>
      </c>
      <c r="M150" s="78" t="n">
        <v>21.22000000000003</v>
      </c>
      <c r="N150" s="78" t="n">
        <v>8.490000000000009</v>
      </c>
      <c r="O150" s="78" t="n">
        <v>13.13872351</v>
      </c>
      <c r="P150" s="78" t="n">
        <v>0</v>
      </c>
      <c r="Q150" s="78" t="n">
        <v>37.96</v>
      </c>
      <c r="R150" s="78" t="n">
        <v>42.02</v>
      </c>
      <c r="S150" s="90" t="n">
        <v>106.27</v>
      </c>
      <c r="T150" s="80" t="n">
        <v>0.07399781739828498</v>
      </c>
      <c r="U150" s="18" t="inlineStr">
        <is>
          <t>18/07/2025</t>
        </is>
      </c>
      <c r="V150" s="4" t="inlineStr">
        <is>
          <t>01:05:53</t>
        </is>
      </c>
      <c r="W150" s="81">
        <f>IFERROR(Tabela11[[#This Row],[Lucro]]*1/Tabela11[[#This Row],[Capital total]],"")</f>
        <v/>
      </c>
      <c r="X150" s="82">
        <f>Tabela11[[#This Row],[Lucro]]-C149</f>
        <v/>
      </c>
      <c r="Y150" s="65">
        <f>PROPER(TEXT(DATE(2024,MONTH(Tabela11[[#This Row],[Data]]),1),"mmmm"))</f>
        <v/>
      </c>
      <c r="Z150" s="65">
        <f>YEAR(Tabela11[[#This Row],[Data]])</f>
        <v/>
      </c>
      <c r="AA150" s="78">
        <f>Tabela11[[#This Row],[Capital investido]]-A149</f>
        <v/>
      </c>
    </row>
    <row r="151">
      <c r="A151" s="85" t="n">
        <v>1137.649064931453</v>
      </c>
      <c r="B151" s="86" t="n">
        <v>183.2348702962931</v>
      </c>
      <c r="C151" s="86" t="n">
        <v>-954.4141946351604</v>
      </c>
      <c r="D151" s="86" t="n">
        <v>7.968</v>
      </c>
      <c r="E151" s="86" t="n"/>
      <c r="F151" s="86" t="n">
        <v>183.2348702962931</v>
      </c>
      <c r="G151" s="86" t="n">
        <v>0</v>
      </c>
      <c r="H151" s="86" t="n">
        <v>245.0290649314535</v>
      </c>
      <c r="I151" s="86" t="n"/>
      <c r="J151" s="86" t="n">
        <v>184.67</v>
      </c>
      <c r="K151" s="86" t="n">
        <v>265.5482746248396</v>
      </c>
      <c r="L151" s="86" t="n">
        <v>214.9399999999999</v>
      </c>
      <c r="M151" s="86" t="n">
        <v>21.22</v>
      </c>
      <c r="N151" s="86" t="n">
        <v>8.490000000000009</v>
      </c>
      <c r="O151" s="86" t="n">
        <v>13.04553074</v>
      </c>
      <c r="P151" s="86" t="n">
        <v>0</v>
      </c>
      <c r="Q151" s="86" t="n">
        <v>38.63</v>
      </c>
      <c r="R151" s="86" t="n">
        <v>42.02</v>
      </c>
      <c r="S151" s="90" t="n">
        <v>106.27</v>
      </c>
      <c r="T151" s="80" t="n">
        <v>0.02290435878703664</v>
      </c>
      <c r="U151" s="17" t="inlineStr">
        <is>
          <t>06/10/2025</t>
        </is>
      </c>
      <c r="V151" s="5" t="inlineStr">
        <is>
          <t>21:34:52</t>
        </is>
      </c>
      <c r="W151" s="88">
        <f>IFERROR(Tabela11[[#This Row],[Lucro]]*1/Tabela11[[#This Row],[Capital total]],"")</f>
        <v/>
      </c>
      <c r="X151" s="82">
        <f>Tabela11[[#This Row],[Lucro]]-C150</f>
        <v/>
      </c>
      <c r="Y151" s="65">
        <f>PROPER(TEXT(DATE(2024,MONTH(Tabela11[[#This Row],[Data]]),1),"mmmm"))</f>
        <v/>
      </c>
      <c r="Z151" s="65">
        <f>YEAR(Tabela11[[#This Row],[Data]])</f>
        <v/>
      </c>
      <c r="AA151" s="78">
        <f>Tabela11[[#This Row],[Capital investido]]-A150</f>
        <v/>
      </c>
    </row>
    <row r="152">
      <c r="A152" s="85" t="n">
        <v>1137.649064931453</v>
      </c>
      <c r="B152" s="86" t="n">
        <v>196.8051776959969</v>
      </c>
      <c r="C152" s="86" t="n">
        <v>-940.8438872354566</v>
      </c>
      <c r="D152" s="86" t="n">
        <v>7.968</v>
      </c>
      <c r="E152" s="86" t="n"/>
      <c r="F152" s="86" t="n">
        <v>196.8051776959969</v>
      </c>
      <c r="G152" s="86" t="n">
        <v>0</v>
      </c>
      <c r="H152" s="86" t="n">
        <v>245.0290649314535</v>
      </c>
      <c r="I152" s="86" t="n"/>
      <c r="J152" s="86" t="n">
        <v>198.31</v>
      </c>
      <c r="K152" s="86" t="n">
        <v>266.5932284845434</v>
      </c>
      <c r="L152" s="86" t="n">
        <v>215.4699999999999</v>
      </c>
      <c r="M152" s="86" t="n">
        <v>21.22</v>
      </c>
      <c r="N152" s="86" t="n">
        <v>8.490000000000009</v>
      </c>
      <c r="O152" s="86" t="n">
        <v>11.01088428</v>
      </c>
      <c r="P152" s="86" t="n">
        <v>0</v>
      </c>
      <c r="Q152" s="86" t="n">
        <v>38.77</v>
      </c>
      <c r="R152" s="86" t="n">
        <v>42.02</v>
      </c>
      <c r="S152" s="86" t="n">
        <v>106.27</v>
      </c>
      <c r="T152" s="80" t="n">
        <v>0.02460064721199961</v>
      </c>
      <c r="U152" s="17" t="inlineStr">
        <is>
          <t>09/11/2025</t>
        </is>
      </c>
      <c r="V152" s="5" t="inlineStr">
        <is>
          <t>17:03:40</t>
        </is>
      </c>
      <c r="W152" s="88">
        <f>IFERROR(Tabela11[[#This Row],[Lucro]]*1/Tabela11[[#This Row],[Capital total]],"")</f>
        <v/>
      </c>
      <c r="X152" s="82">
        <f>Tabela11[[#This Row],[Lucro]]-C151</f>
        <v/>
      </c>
      <c r="Y152" s="65">
        <f>PROPER(TEXT(DATE(2024,MONTH(Tabela11[[#This Row],[Data]]),1),"mmmm"))</f>
        <v/>
      </c>
      <c r="Z152" s="65">
        <f>YEAR(Tabela11[[#This Row],[Data]])</f>
        <v/>
      </c>
      <c r="AA152" s="78">
        <f>Tabela11[[#This Row],[Capital investido]]-A151</f>
        <v/>
      </c>
    </row>
    <row r="153">
      <c r="A153" s="85" t="n">
        <v>1137.649064931453</v>
      </c>
      <c r="B153" s="86" t="n">
        <v>284.2003657759967</v>
      </c>
      <c r="C153" s="86" t="n">
        <v>-853.4486991554568</v>
      </c>
      <c r="D153" s="86" t="n">
        <v>7.968</v>
      </c>
      <c r="E153" s="86" t="n"/>
      <c r="F153" s="86" t="n">
        <v>284.2003657759967</v>
      </c>
      <c r="G153" s="86" t="n">
        <v>0</v>
      </c>
      <c r="H153" s="86" t="n">
        <v>245.0290649314535</v>
      </c>
      <c r="I153" s="86" t="n"/>
      <c r="J153" s="86" t="n">
        <v>198.31</v>
      </c>
      <c r="K153" s="86" t="n">
        <v>266.5932284845434</v>
      </c>
      <c r="L153" s="86" t="n">
        <v>215.4699999999999</v>
      </c>
      <c r="M153" s="86" t="n">
        <v>21.22000000000003</v>
      </c>
      <c r="N153" s="86" t="n">
        <v>8.490000000000009</v>
      </c>
      <c r="O153" s="86" t="n">
        <v>10.97607236</v>
      </c>
      <c r="P153" s="86" t="n">
        <v>0</v>
      </c>
      <c r="Q153" s="86" t="n">
        <v>38.77</v>
      </c>
      <c r="R153" s="86" t="n">
        <v>42.02</v>
      </c>
      <c r="S153" s="86" t="n">
        <v>106.27</v>
      </c>
      <c r="T153" s="80" t="n">
        <v>0.03552504572199959</v>
      </c>
      <c r="U153" s="17" t="inlineStr">
        <is>
          <t>09/11/2025</t>
        </is>
      </c>
      <c r="V153" s="5" t="inlineStr">
        <is>
          <t>17:20:30</t>
        </is>
      </c>
      <c r="W153" s="88">
        <f>IFERROR(Tabela11[[#This Row],[Lucro]]*1/Tabela11[[#This Row],[Capital total]],"")</f>
        <v/>
      </c>
      <c r="X153" s="82">
        <f>Tabela11[[#This Row],[Lucro]]-C152</f>
        <v/>
      </c>
      <c r="Y153" s="65">
        <f>PROPER(TEXT(DATE(2024,MONTH(Tabela11[[#This Row],[Data]]),1),"mmmm"))</f>
        <v/>
      </c>
      <c r="Z153" s="65">
        <f>YEAR(Tabela11[[#This Row],[Data]])</f>
        <v/>
      </c>
      <c r="AA153" s="78">
        <f>Tabela11[[#This Row],[Capital investido]]-A152</f>
        <v/>
      </c>
    </row>
    <row r="154">
      <c r="A154" s="85" t="n">
        <v>1244.605066841197</v>
      </c>
      <c r="B154" s="86" t="n">
        <v>393.8689423526151</v>
      </c>
      <c r="C154" s="86" t="n">
        <v>-850.7361244885816</v>
      </c>
      <c r="D154" s="86" t="n">
        <v>7.968</v>
      </c>
      <c r="E154" s="86" t="n"/>
      <c r="F154" s="86" t="n">
        <v>393.8689423526151</v>
      </c>
      <c r="G154" s="86" t="e">
        <v>#REF!</v>
      </c>
      <c r="H154" s="86" t="n">
        <v>351.9850668411966</v>
      </c>
      <c r="I154" s="86" t="n"/>
      <c r="J154" s="86" t="n">
        <v>202.3100000000001</v>
      </c>
      <c r="K154" s="86" t="n">
        <v>264.7883081814185</v>
      </c>
      <c r="L154" s="86" t="n">
        <v>214.9399999999999</v>
      </c>
      <c r="M154" s="86" t="n">
        <v>21.22000000000003</v>
      </c>
      <c r="N154" s="86" t="n">
        <v>8.490000000000009</v>
      </c>
      <c r="O154" s="86" t="n">
        <v>10.64356733</v>
      </c>
      <c r="P154" s="86" t="n">
        <v>0</v>
      </c>
      <c r="Q154" s="86" t="n">
        <v>39.11</v>
      </c>
      <c r="R154" s="86" t="n">
        <v>42.02</v>
      </c>
      <c r="S154" s="86" t="n">
        <v>106.27</v>
      </c>
      <c r="T154" s="80" t="n">
        <v>0.04923361779407689</v>
      </c>
      <c r="U154" s="17" t="inlineStr">
        <is>
          <t>16/11/2025</t>
        </is>
      </c>
      <c r="V154" s="5" t="inlineStr">
        <is>
          <t>10:24:17</t>
        </is>
      </c>
      <c r="W154" s="88">
        <f>IFERROR(Tabela11[[#This Row],[Lucro]]*1/Tabela11[[#This Row],[Capital total]],"")</f>
        <v/>
      </c>
      <c r="X154" s="82">
        <f>Tabela11[[#This Row],[Lucro]]-C153</f>
        <v/>
      </c>
      <c r="Y154" s="65">
        <f>PROPER(TEXT(DATE(2024,MONTH(Tabela11[[#This Row],[Data]]),1),"mmmm"))</f>
        <v/>
      </c>
      <c r="Z154" s="65">
        <f>YEAR(Tabela11[[#This Row],[Data]])</f>
        <v/>
      </c>
      <c r="AA154" s="78">
        <f>Tabela11[[#This Row],[Capital investido]]-A153</f>
        <v/>
      </c>
    </row>
    <row r="155">
      <c r="A155" s="85" t="n">
        <v>1246.075066841197</v>
      </c>
      <c r="B155" s="86" t="n">
        <v>407.699462175852</v>
      </c>
      <c r="C155" s="86" t="n">
        <v>-838.3756046653446</v>
      </c>
      <c r="D155" s="86" t="n">
        <v>7.968</v>
      </c>
      <c r="E155" s="86" t="n"/>
      <c r="F155" s="86" t="n">
        <v>407.699462175852</v>
      </c>
      <c r="G155" s="86" t="n">
        <v>1292.54216448</v>
      </c>
      <c r="H155" s="86" t="n">
        <v>353.4550668411966</v>
      </c>
      <c r="I155" s="86" t="n"/>
      <c r="J155" s="86" t="n">
        <v>201.33</v>
      </c>
      <c r="K155" s="86" t="n">
        <v>271.9379924846555</v>
      </c>
      <c r="L155" s="86" t="n">
        <v>213.9</v>
      </c>
      <c r="M155" s="86" t="n">
        <v>21.22000000000003</v>
      </c>
      <c r="N155" s="86" t="n">
        <v>8.490000000000009</v>
      </c>
      <c r="O155" s="86" t="n">
        <v>9.58440285</v>
      </c>
      <c r="P155" s="86" t="n">
        <v>0</v>
      </c>
      <c r="Q155" s="86" t="n">
        <v>40.33</v>
      </c>
      <c r="R155" s="86" t="n">
        <v>42.02</v>
      </c>
      <c r="S155" s="86" t="n">
        <v>106.27</v>
      </c>
      <c r="T155" s="80" t="n">
        <v>0.05096243277198149</v>
      </c>
      <c r="U155" s="17" t="inlineStr">
        <is>
          <t>06/12/2025</t>
        </is>
      </c>
      <c r="V155" s="5" t="inlineStr">
        <is>
          <t>21:52:13</t>
        </is>
      </c>
      <c r="W155" s="88">
        <f>IFERROR(Tabela11[[#This Row],[Lucro]]*1/Tabela11[[#This Row],[Capital total]],"")</f>
        <v/>
      </c>
      <c r="X155" s="82">
        <f>Tabela11[[#This Row],[Lucro]]-C154</f>
        <v/>
      </c>
      <c r="Y155" s="65">
        <f>PROPER(TEXT(DATE(2024,MONTH(Tabela11[[#This Row],[Data]]),1),"mmmm"))</f>
        <v/>
      </c>
      <c r="Z155" s="65">
        <f>YEAR(Tabela11[[#This Row],[Data]])</f>
        <v/>
      </c>
      <c r="AA155" s="78">
        <f>Tabela11[[#This Row],[Capital investido]]-A154</f>
        <v/>
      </c>
    </row>
    <row r="156">
      <c r="A156" s="85" t="n">
        <v>1246.075066841197</v>
      </c>
      <c r="B156" s="86" t="n">
        <v>996.4976787658521</v>
      </c>
      <c r="C156" s="86" t="n">
        <v>-249.5773880753444</v>
      </c>
      <c r="D156" s="86" t="n">
        <v>7.968</v>
      </c>
      <c r="E156" s="86" t="n"/>
      <c r="F156" s="86" t="n">
        <v>376.3570668411966</v>
      </c>
      <c r="G156" s="86" t="e">
        <v>#REF!</v>
      </c>
      <c r="H156" s="86" t="n">
        <v>353.4550668411965</v>
      </c>
      <c r="I156" s="86" t="n"/>
      <c r="J156" s="86" t="n">
        <v>201.33</v>
      </c>
      <c r="K156" s="86" t="n">
        <v>271.9379924846554</v>
      </c>
      <c r="L156" s="86" t="n">
        <v>213.9</v>
      </c>
      <c r="M156" s="86" t="n">
        <v>21.22000000000003</v>
      </c>
      <c r="N156" s="86" t="n">
        <v>8.490000000000009</v>
      </c>
      <c r="O156" s="86" t="n">
        <v>9.584619439999999</v>
      </c>
      <c r="P156" s="86" t="n">
        <v>0</v>
      </c>
      <c r="Q156" s="86" t="n">
        <v>40.33</v>
      </c>
      <c r="R156" s="86" t="n">
        <v>42.02</v>
      </c>
      <c r="S156" s="86" t="n">
        <v>106.27</v>
      </c>
      <c r="T156" s="80" t="n">
        <v>0.1245622098457315</v>
      </c>
      <c r="U156" s="17" t="inlineStr">
        <is>
          <t>06/12/2025</t>
        </is>
      </c>
      <c r="V156" s="5" t="inlineStr">
        <is>
          <t>22:14:44</t>
        </is>
      </c>
      <c r="W156" s="88">
        <f>IFERROR(Tabela11[[#This Row],[Lucro]]*1/Tabela11[[#This Row],[Capital total]],"")</f>
        <v/>
      </c>
      <c r="X156" s="82">
        <f>Tabela11[[#This Row],[Lucro]]-C155</f>
        <v/>
      </c>
      <c r="Y156" s="65">
        <f>PROPER(TEXT(DATE(2024,MONTH(Tabela11[[#This Row],[Data]]),1),"mmmm"))</f>
        <v/>
      </c>
      <c r="Z156" s="65">
        <f>YEAR(Tabela11[[#This Row],[Data]])</f>
        <v/>
      </c>
      <c r="AA156" s="78">
        <f>Tabela11[[#This Row],[Capital investido]]-A155</f>
        <v/>
      </c>
    </row>
    <row r="157">
      <c r="A157" s="77" t="n">
        <v>1246.075066841197</v>
      </c>
      <c r="B157" s="78" t="n">
        <v>996.4442204158521</v>
      </c>
      <c r="C157" s="78" t="n">
        <v>-249.6308464253444</v>
      </c>
      <c r="D157" s="78" t="n">
        <v>7.968</v>
      </c>
      <c r="E157" s="78" t="n"/>
      <c r="F157" s="78" t="n">
        <v>376.3570668411966</v>
      </c>
      <c r="G157" s="78" t="e">
        <v>#REF!</v>
      </c>
      <c r="H157" s="78" t="n">
        <v>353.4550668411968</v>
      </c>
      <c r="I157" s="78" t="n"/>
      <c r="J157" s="78" t="n">
        <v>201.33</v>
      </c>
      <c r="K157" s="78" t="n">
        <v>271.9379924846554</v>
      </c>
      <c r="L157" s="78" t="n">
        <v>213.9</v>
      </c>
      <c r="M157" s="78" t="n">
        <v>21.22000000000003</v>
      </c>
      <c r="N157" s="78" t="n">
        <v>8.490000000000009</v>
      </c>
      <c r="O157" s="78" t="n">
        <v>9.531161089999999</v>
      </c>
      <c r="P157" s="78" t="n">
        <v>0</v>
      </c>
      <c r="Q157" s="78" t="n">
        <v>40.33</v>
      </c>
      <c r="R157" s="78" t="n">
        <v>42.02</v>
      </c>
      <c r="S157" s="86" t="n">
        <v>106.27</v>
      </c>
      <c r="T157" s="80" t="n">
        <v>0.1245555275519815</v>
      </c>
      <c r="U157" s="18" t="inlineStr">
        <is>
          <t>07/12/2025</t>
        </is>
      </c>
      <c r="V157" s="4" t="inlineStr">
        <is>
          <t>10:47:51</t>
        </is>
      </c>
      <c r="W157" s="81">
        <f>IFERROR(Tabela11[[#This Row],[Lucro]]*1/Tabela11[[#This Row],[Capital total]],"")</f>
        <v/>
      </c>
      <c r="X157" s="82">
        <f>Tabela11[[#This Row],[Lucro]]-C156</f>
        <v/>
      </c>
      <c r="Y157" s="65">
        <f>PROPER(TEXT(DATE(2024,MONTH(Tabela11[[#This Row],[Data]]),1),"mmmm"))</f>
        <v/>
      </c>
      <c r="Z157" s="65">
        <f>YEAR(Tabela11[[#This Row],[Data]])</f>
        <v/>
      </c>
      <c r="AA157" s="78">
        <f>Tabela11[[#This Row],[Capital investido]]-A156</f>
        <v/>
      </c>
    </row>
    <row r="158">
      <c r="A158" s="85" t="n">
        <v>1246.075066841197</v>
      </c>
      <c r="B158" s="86" t="n">
        <v>996.4442204158521</v>
      </c>
      <c r="C158" s="86" t="n">
        <v>-249.6308464253444</v>
      </c>
      <c r="D158" s="86" t="n">
        <v>7.968</v>
      </c>
      <c r="E158" s="86" t="n"/>
      <c r="F158" s="86" t="n">
        <v>376.3570668411966</v>
      </c>
      <c r="G158" s="86" t="e">
        <v>#REF!</v>
      </c>
      <c r="H158" s="86" t="n">
        <v>353.4550668411968</v>
      </c>
      <c r="I158" s="86" t="n"/>
      <c r="J158" s="86" t="n">
        <v>201.33</v>
      </c>
      <c r="K158" s="86" t="n">
        <v>271.9379924846554</v>
      </c>
      <c r="L158" s="86" t="n">
        <v>213.9</v>
      </c>
      <c r="M158" s="86" t="n">
        <v>21.22000000000003</v>
      </c>
      <c r="N158" s="86" t="n">
        <v>8.490000000000009</v>
      </c>
      <c r="O158" s="86" t="n">
        <v>9.531161089999999</v>
      </c>
      <c r="P158" s="86" t="n">
        <v>0</v>
      </c>
      <c r="Q158" s="86" t="n">
        <v>40.33</v>
      </c>
      <c r="R158" s="86" t="n">
        <v>42.02</v>
      </c>
      <c r="S158" s="90" t="n">
        <v>106.27</v>
      </c>
      <c r="T158" s="80" t="n">
        <v>0.1245555275519815</v>
      </c>
      <c r="U158" s="17" t="inlineStr">
        <is>
          <t>07/12/2025</t>
        </is>
      </c>
      <c r="V158" s="5" t="inlineStr">
        <is>
          <t>10:49:31</t>
        </is>
      </c>
      <c r="W158" s="88">
        <f>IFERROR(Tabela11[[#This Row],[Lucro]]*1/Tabela11[[#This Row],[Capital total]],"")</f>
        <v/>
      </c>
      <c r="X158" s="82">
        <f>Tabela11[[#This Row],[Lucro]]-C157</f>
        <v/>
      </c>
      <c r="Y158" s="65">
        <f>PROPER(TEXT(DATE(2024,MONTH(Tabela11[[#This Row],[Data]]),1),"mmmm"))</f>
        <v/>
      </c>
      <c r="Z158" s="65">
        <f>YEAR(Tabela11[[#This Row],[Data]])</f>
        <v/>
      </c>
      <c r="AA158" s="78">
        <f>Tabela11[[#This Row],[Capital investido]]-A157</f>
        <v/>
      </c>
    </row>
    <row r="159">
      <c r="A159" s="85" t="n">
        <v>1224.083276786147</v>
      </c>
      <c r="B159" s="86" t="n">
        <v>382.0352767861473</v>
      </c>
      <c r="C159" s="86" t="n">
        <v>-842.0479999999995</v>
      </c>
      <c r="D159" s="86" t="n"/>
      <c r="E159" s="86" t="n"/>
      <c r="F159" s="86" t="n"/>
      <c r="G159" s="86" t="n"/>
      <c r="H159" s="86" t="n">
        <v>361.173276786147</v>
      </c>
      <c r="I159" s="86" t="n"/>
      <c r="J159" s="86" t="n">
        <v>201.33</v>
      </c>
      <c r="K159" s="86" t="n">
        <v>271.9379924846555</v>
      </c>
      <c r="L159" s="86" t="n">
        <v>213.9</v>
      </c>
      <c r="M159" s="86" t="n"/>
      <c r="N159" s="86" t="n"/>
      <c r="O159" s="86" t="n">
        <v>9.68509751</v>
      </c>
      <c r="P159" s="86" t="n"/>
      <c r="Q159" s="86" t="n">
        <v>40.33</v>
      </c>
      <c r="R159" s="86" t="n">
        <v>43.67</v>
      </c>
      <c r="S159" s="86" t="n">
        <v>106.27</v>
      </c>
      <c r="T159" s="80" t="n">
        <v>0.04775440959826841</v>
      </c>
      <c r="U159" s="26" t="inlineStr">
        <is>
          <t>09/12/2025</t>
        </is>
      </c>
      <c r="V159" s="4" t="n"/>
      <c r="W159" s="88">
        <f>IFERROR(Tabela11[[#This Row],[Lucro]]*1/Tabela11[[#This Row],[Capital total]],"")</f>
        <v/>
      </c>
      <c r="X159" s="82">
        <f>Tabela11[[#This Row],[Lucro]]-C158</f>
        <v/>
      </c>
      <c r="Y159" s="65">
        <f>PROPER(TEXT(DATE(2024,MONTH(Tabela11[[#This Row],[Data]]),1),"mmmm"))</f>
        <v/>
      </c>
      <c r="Z159" s="65">
        <f>YEAR(Tabela11[[#This Row],[Data]])</f>
        <v/>
      </c>
      <c r="AA159" s="78">
        <f>Tabela11[[#This Row],[Capital investido]]-A158</f>
        <v/>
      </c>
    </row>
    <row r="160">
      <c r="A160" s="85" t="n">
        <v>1224.083276786147</v>
      </c>
      <c r="B160" s="86" t="n">
        <v>382.0352767861473</v>
      </c>
      <c r="C160" s="86" t="n">
        <v>-842.0479999999995</v>
      </c>
      <c r="D160" s="86" t="n"/>
      <c r="E160" s="86" t="n"/>
      <c r="F160" s="86" t="n"/>
      <c r="G160" s="86" t="n"/>
      <c r="H160" s="86" t="n">
        <v>361.173276786147</v>
      </c>
      <c r="I160" s="86" t="n"/>
      <c r="J160" s="86" t="n">
        <v>201.33</v>
      </c>
      <c r="K160" s="86" t="n">
        <v>271.9379924846555</v>
      </c>
      <c r="L160" s="86" t="n">
        <v>213.9</v>
      </c>
      <c r="M160" s="86" t="n"/>
      <c r="N160" s="86" t="n"/>
      <c r="O160" s="86" t="n">
        <v>9.68509751</v>
      </c>
      <c r="P160" s="86" t="n"/>
      <c r="Q160" s="86" t="n">
        <v>40.33</v>
      </c>
      <c r="R160" s="86" t="n">
        <v>43.67</v>
      </c>
      <c r="S160" s="86" t="n">
        <v>106.27</v>
      </c>
      <c r="T160" s="80" t="n">
        <v>0.04775440959826841</v>
      </c>
      <c r="U160" s="17" t="inlineStr">
        <is>
          <t>09/12/2025</t>
        </is>
      </c>
      <c r="V160" s="5" t="inlineStr">
        <is>
          <t>23:09:26</t>
        </is>
      </c>
      <c r="W160" s="88">
        <f>IFERROR(Tabela11[[#This Row],[Lucro]]*1/Tabela11[[#This Row],[Capital total]],"")</f>
        <v/>
      </c>
      <c r="X160" s="82">
        <f>Tabela11[[#This Row],[Lucro]]-C159</f>
        <v/>
      </c>
      <c r="Y160" s="65">
        <f>PROPER(TEXT(DATE(2024,MONTH(Tabela11[[#This Row],[Data]]),1),"mmmm"))</f>
        <v/>
      </c>
      <c r="Z160" s="65">
        <f>YEAR(Tabela11[[#This Row],[Data]])</f>
        <v/>
      </c>
      <c r="AA160" s="78">
        <f>Tabela11[[#This Row],[Capital investido]]-A159</f>
        <v/>
      </c>
    </row>
    <row r="161">
      <c r="A161" s="77" t="n">
        <v>1235.300779843976</v>
      </c>
      <c r="B161" s="78" t="n">
        <v>393.2527798439764</v>
      </c>
      <c r="C161" s="78" t="n">
        <v>-842.0479999999998</v>
      </c>
      <c r="D161" s="78" t="n"/>
      <c r="E161" s="78" t="n"/>
      <c r="F161" s="78" t="n"/>
      <c r="G161" s="78" t="n"/>
      <c r="H161" s="78" t="n">
        <v>372.3907798439764</v>
      </c>
      <c r="I161" s="78" t="n"/>
      <c r="J161" s="78" t="n">
        <v>201.65</v>
      </c>
      <c r="K161" s="78" t="n">
        <v>271.6430055099065</v>
      </c>
      <c r="L161" s="78" t="n">
        <v>214.57</v>
      </c>
      <c r="M161" s="78" t="n"/>
      <c r="N161" s="78" t="n"/>
      <c r="O161" s="78" t="n">
        <v>9.89832052</v>
      </c>
      <c r="P161" s="78" t="n"/>
      <c r="Q161" s="78" t="n">
        <v>40.23</v>
      </c>
      <c r="R161" s="78" t="n">
        <v>43.67</v>
      </c>
      <c r="S161" s="86" t="n">
        <v>106.27</v>
      </c>
      <c r="T161" s="80" t="n">
        <v>0.04915659748049705</v>
      </c>
      <c r="U161" s="18" t="inlineStr">
        <is>
          <t>11/12/2025</t>
        </is>
      </c>
      <c r="V161" s="4" t="inlineStr">
        <is>
          <t>21:15:54</t>
        </is>
      </c>
      <c r="W161" s="88">
        <f>IFERROR(Tabela11[[#This Row],[Lucro]]*1/Tabela11[[#This Row],[Capital total]],"")</f>
        <v/>
      </c>
      <c r="X161" s="82">
        <f>Tabela11[[#This Row],[Lucro]]-C160</f>
        <v/>
      </c>
      <c r="Y161" s="65">
        <f>PROPER(TEXT(DATE(2024,MONTH(Tabela11[[#This Row],[Data]]),1),"mmmm"))</f>
        <v/>
      </c>
      <c r="Z161" s="65">
        <f>YEAR(Tabela11[[#This Row],[Data]])</f>
        <v/>
      </c>
      <c r="AA161" s="78">
        <f>Tabela11[[#This Row],[Capital investido]]-A160</f>
        <v/>
      </c>
    </row>
    <row r="162">
      <c r="A162" s="77" t="n">
        <v>1235.300779843976</v>
      </c>
      <c r="B162" s="78" t="n">
        <v>393.2527798439764</v>
      </c>
      <c r="C162" s="78" t="n">
        <v>-842.0479999999998</v>
      </c>
      <c r="D162" s="78" t="n"/>
      <c r="E162" s="78" t="n"/>
      <c r="F162" s="78" t="n"/>
      <c r="G162" s="78" t="n"/>
      <c r="H162" s="78" t="n">
        <v>372.3907798439764</v>
      </c>
      <c r="I162" s="78" t="n"/>
      <c r="J162" s="78" t="n">
        <v>201.65</v>
      </c>
      <c r="K162" s="78" t="n">
        <v>271.6430055099065</v>
      </c>
      <c r="L162" s="78" t="n">
        <v>214.57</v>
      </c>
      <c r="M162" s="78" t="n"/>
      <c r="N162" s="78" t="n"/>
      <c r="O162" s="78" t="n">
        <v>9.89832052</v>
      </c>
      <c r="P162" s="78" t="n"/>
      <c r="Q162" s="78" t="n">
        <v>40.23</v>
      </c>
      <c r="R162" s="78" t="n">
        <v>43.67</v>
      </c>
      <c r="S162" s="86" t="n">
        <v>106.27</v>
      </c>
      <c r="T162" s="80" t="n">
        <v>0.04915659748049705</v>
      </c>
      <c r="U162" s="18" t="inlineStr">
        <is>
          <t>11/12/2025</t>
        </is>
      </c>
      <c r="V162" s="4" t="inlineStr">
        <is>
          <t>21:23:35</t>
        </is>
      </c>
      <c r="W162" s="88">
        <f>IFERROR(Tabela11[[#This Row],[Lucro]]*1/Tabela11[[#This Row],[Capital total]],"")</f>
        <v/>
      </c>
      <c r="X162" s="82">
        <f>Tabela11[[#This Row],[Lucro]]-C161</f>
        <v/>
      </c>
      <c r="Y162" s="65">
        <f>PROPER(TEXT(DATE(2024,MONTH(Tabela11[[#This Row],[Data]]),1),"mmmm"))</f>
        <v/>
      </c>
      <c r="Z162" s="65">
        <f>YEAR(Tabela11[[#This Row],[Data]])</f>
        <v/>
      </c>
      <c r="AA162" s="78">
        <f>Tabela11[[#This Row],[Capital investido]]-A161</f>
        <v/>
      </c>
    </row>
    <row r="163">
      <c r="A163" s="85" t="n">
        <v>1235.300779843976</v>
      </c>
      <c r="B163" s="86" t="n">
        <v>393.2527798439764</v>
      </c>
      <c r="C163" s="86" t="n">
        <v>-842.0479999999998</v>
      </c>
      <c r="D163" s="86" t="inlineStr">
        <is>
          <t>FII</t>
        </is>
      </c>
      <c r="E163" s="86" t="n"/>
      <c r="F163" s="86" t="n"/>
      <c r="G163" s="86" t="n"/>
      <c r="H163" s="86" t="n">
        <v>372.3907798439764</v>
      </c>
      <c r="I163" s="86" t="n"/>
      <c r="J163" s="86" t="n">
        <v>201.65</v>
      </c>
      <c r="K163" s="86" t="n">
        <v>271.6430055099065</v>
      </c>
      <c r="L163" s="86" t="n">
        <v>214.57</v>
      </c>
      <c r="M163" s="86" t="n"/>
      <c r="N163" s="86" t="n"/>
      <c r="O163" s="86" t="n">
        <v>9.89832052</v>
      </c>
      <c r="P163" s="86" t="n"/>
      <c r="Q163" s="86" t="n">
        <v>40.23</v>
      </c>
      <c r="R163" s="86" t="n">
        <v>43.67</v>
      </c>
      <c r="S163" s="90" t="n">
        <v>106.27</v>
      </c>
      <c r="T163" s="80" t="n">
        <v>0.04915659748049705</v>
      </c>
      <c r="U163" s="17" t="inlineStr">
        <is>
          <t>11/12/2025</t>
        </is>
      </c>
      <c r="V163" s="5" t="inlineStr">
        <is>
          <t>21:33:23</t>
        </is>
      </c>
      <c r="W163" s="88">
        <f>IFERROR(Tabela11[[#This Row],[Lucro]]*1/Tabela11[[#This Row],[Capital total]],"")</f>
        <v/>
      </c>
      <c r="X163" s="82">
        <f>Tabela11[[#This Row],[Lucro]]-C162</f>
        <v/>
      </c>
      <c r="Y163" s="69">
        <f>PROPER(TEXT(DATE(2024,MONTH(Tabela11[[#This Row],[Data]]),1),"mmmm"))</f>
        <v/>
      </c>
      <c r="Z163" s="69">
        <f>YEAR(Tabela11[[#This Row],[Data]])</f>
        <v/>
      </c>
      <c r="AA163" s="78">
        <f>Tabela11[[#This Row],[Capital investido]]-A162</f>
        <v/>
      </c>
    </row>
    <row r="164">
      <c r="A164" s="85" t="n">
        <v>1235.300779843976</v>
      </c>
      <c r="B164" s="86" t="n">
        <v>393.2527798439764</v>
      </c>
      <c r="C164" s="86" t="n">
        <v>-842.0479999999998</v>
      </c>
      <c r="D164" s="86" t="n">
        <v>208.07</v>
      </c>
      <c r="E164" s="86" t="n"/>
      <c r="F164" s="86" t="n"/>
      <c r="G164" s="86" t="n"/>
      <c r="H164" s="86" t="n">
        <v>372.3907798439764</v>
      </c>
      <c r="I164" s="86" t="n"/>
      <c r="J164" s="86" t="n">
        <v>201.65</v>
      </c>
      <c r="K164" s="86" t="n">
        <v>271.6430055099065</v>
      </c>
      <c r="L164" s="86" t="n">
        <v>214.57</v>
      </c>
      <c r="M164" s="86" t="n"/>
      <c r="N164" s="86" t="n"/>
      <c r="O164" s="86" t="n">
        <v>9.89832052</v>
      </c>
      <c r="P164" s="86" t="n"/>
      <c r="Q164" s="86" t="n">
        <v>40.23</v>
      </c>
      <c r="R164" s="86" t="n">
        <v>43.67</v>
      </c>
      <c r="S164" s="86" t="n">
        <v>106.27</v>
      </c>
      <c r="T164" s="80" t="n">
        <v>0.04915659748049705</v>
      </c>
      <c r="U164" s="17" t="inlineStr">
        <is>
          <t>11/12/2025</t>
        </is>
      </c>
      <c r="V164" s="5" t="inlineStr">
        <is>
          <t>21:50:13</t>
        </is>
      </c>
      <c r="W164" s="88">
        <f>IFERROR(Tabela11[[#This Row],[Lucro]]*1/Tabela11[[#This Row],[Capital total]],"")</f>
        <v/>
      </c>
      <c r="X164" s="82">
        <f>Tabela11[[#This Row],[Lucro]]-C163</f>
        <v/>
      </c>
      <c r="Y164" s="69">
        <f>PROPER(TEXT(DATE(2024,MONTH(Tabela11[[#This Row],[Data]]),1),"mmmm"))</f>
        <v/>
      </c>
      <c r="Z164" s="69">
        <f>YEAR(Tabela11[[#This Row],[Data]])</f>
        <v/>
      </c>
      <c r="AA164" s="78">
        <f>Tabela11[[#This Row],[Capital investido]]-A163</f>
        <v/>
      </c>
    </row>
    <row r="165">
      <c r="A165" s="85" t="n">
        <v>1246.608292505481</v>
      </c>
      <c r="B165" s="86" t="n">
        <v>404.9702925054812</v>
      </c>
      <c r="C165" s="86" t="n">
        <v>-841.6380000000001</v>
      </c>
      <c r="D165" s="86" t="n">
        <v>361.173276786147</v>
      </c>
      <c r="E165" s="86" t="n"/>
      <c r="F165" s="86" t="n">
        <v>296.74</v>
      </c>
      <c r="G165" s="86" t="n">
        <v>208.07</v>
      </c>
      <c r="H165" s="86" t="n">
        <v>383.6982925054813</v>
      </c>
      <c r="I165" s="86" t="n"/>
      <c r="J165" s="86" t="n">
        <v>204.44</v>
      </c>
      <c r="K165" s="86" t="n">
        <v>270.2530668831234</v>
      </c>
      <c r="L165" s="86" t="n">
        <v>214.83</v>
      </c>
      <c r="M165" s="86" t="inlineStr">
        <is>
          <t>07/12/2025</t>
        </is>
      </c>
      <c r="N165" s="86" t="n"/>
      <c r="O165" s="86" t="n">
        <v>9.767913650000001</v>
      </c>
      <c r="P165" s="86" t="n"/>
      <c r="Q165" s="86" t="n">
        <v>40.36</v>
      </c>
      <c r="R165" s="86" t="n">
        <v>43.67</v>
      </c>
      <c r="S165" s="86" t="n">
        <v>106.27</v>
      </c>
      <c r="T165" s="80" t="n">
        <v>0.05062128656318515</v>
      </c>
      <c r="U165" s="17" t="inlineStr">
        <is>
          <t>11/12/2025</t>
        </is>
      </c>
      <c r="V165" s="5" t="inlineStr">
        <is>
          <t>22:18:58</t>
        </is>
      </c>
      <c r="W165" s="88">
        <f>IFERROR(Tabela11[[#This Row],[Lucro]]*1/Tabela11[[#This Row],[Capital total]],"")</f>
        <v/>
      </c>
      <c r="X165" s="82">
        <f>Tabela11[[#This Row],[Lucro]]-C164</f>
        <v/>
      </c>
      <c r="Y165" s="69">
        <f>PROPER(TEXT(DATE(2024,MONTH(Tabela11[[#This Row],[Data]]),1),"mmmm"))</f>
        <v/>
      </c>
      <c r="Z165" s="69">
        <f>YEAR(Tabela11[[#This Row],[Data]])</f>
        <v/>
      </c>
      <c r="AA165" s="78">
        <f>Tabela11[[#This Row],[Capital investido]]-A164</f>
        <v/>
      </c>
    </row>
    <row r="166" hidden="1" s="57">
      <c r="A166" s="85" t="n">
        <v>1252.296027911759</v>
      </c>
      <c r="B166" s="86" t="n">
        <v>411.0780279117585</v>
      </c>
      <c r="C166" s="86" t="n">
        <v>-841.2180000000005</v>
      </c>
      <c r="D166" s="86" t="n">
        <v>361.173276786147</v>
      </c>
      <c r="E166" s="86" t="n"/>
      <c r="F166" s="86" t="n">
        <v>296.74</v>
      </c>
      <c r="G166" s="86" t="n">
        <v>208.07</v>
      </c>
      <c r="H166" s="86" t="n">
        <v>389.3860279117591</v>
      </c>
      <c r="I166" s="86" t="n"/>
      <c r="J166" s="86" t="n">
        <v>202.1</v>
      </c>
      <c r="K166" s="86" t="n">
        <v>270.9180375211168</v>
      </c>
      <c r="L166" s="86" t="n">
        <v>215.57</v>
      </c>
      <c r="M166" s="86" t="n"/>
      <c r="N166" s="86" t="n"/>
      <c r="O166" s="86" t="n">
        <v>9.63890477</v>
      </c>
      <c r="P166" s="86" t="n"/>
      <c r="Q166" s="86" t="n">
        <v>40.16</v>
      </c>
      <c r="R166" s="86" t="n">
        <v>43.67</v>
      </c>
      <c r="S166" s="86" t="n">
        <v>106.27</v>
      </c>
      <c r="T166" s="80" t="n">
        <v>0.05138475348896981</v>
      </c>
      <c r="U166" s="17" t="n">
        <v>46003</v>
      </c>
      <c r="V166" s="5" t="inlineStr">
        <is>
          <t>19:30:25</t>
        </is>
      </c>
      <c r="W166" s="88">
        <f>IFERROR(Tabela11[[#This Row],[Lucro]]*1/Tabela11[[#This Row],[Capital total]],"")</f>
        <v/>
      </c>
      <c r="X166" s="82">
        <f>Tabela11[[#This Row],[Lucro]]-C165</f>
        <v/>
      </c>
      <c r="Y166" s="69">
        <f>PROPER(TEXT(DATE(2024,MONTH(Tabela11[[#This Row],[Data]]),1),"mmmm"))</f>
        <v/>
      </c>
      <c r="Z166" s="69">
        <f>YEAR(Tabela11[[#This Row],[Data]])</f>
        <v/>
      </c>
      <c r="AA166" s="78">
        <f>Tabela11[[#This Row],[Capital investido]]-A165</f>
        <v/>
      </c>
    </row>
    <row r="167" hidden="1" s="57">
      <c r="A167" s="85" t="n">
        <v>1263.73991098788</v>
      </c>
      <c r="B167" s="86" t="n">
        <v>422.7619109878792</v>
      </c>
      <c r="C167" s="86" t="n">
        <v>-840.9780000000005</v>
      </c>
      <c r="D167" s="86" t="n">
        <v>361.173276786147</v>
      </c>
      <c r="E167" s="86" t="n"/>
      <c r="F167" s="86" t="n">
        <v>296.74</v>
      </c>
      <c r="G167" s="86" t="n">
        <v>208.07</v>
      </c>
      <c r="H167" s="86" t="n">
        <v>400.8299109878799</v>
      </c>
      <c r="I167" s="86" t="n"/>
      <c r="J167" s="86" t="n">
        <v>202.27</v>
      </c>
      <c r="K167" s="86" t="n">
        <v>270.9180375211168</v>
      </c>
      <c r="L167" s="86" t="n">
        <v>215.68</v>
      </c>
      <c r="M167" s="86" t="n"/>
      <c r="N167" s="86" t="n"/>
      <c r="O167" s="86" t="n">
        <v>9.518067240000001</v>
      </c>
      <c r="P167" s="86" t="n"/>
      <c r="Q167" s="86" t="n">
        <v>40.16</v>
      </c>
      <c r="R167" s="86" t="n">
        <v>43.67</v>
      </c>
      <c r="S167" s="86" t="n">
        <v>106.27</v>
      </c>
      <c r="T167" s="80" t="n">
        <v>0.05284523887348491</v>
      </c>
      <c r="U167" s="17" t="n">
        <v>46005</v>
      </c>
      <c r="V167" s="5" t="inlineStr">
        <is>
          <t>08:51:54</t>
        </is>
      </c>
      <c r="W167" s="88">
        <f>IFERROR(Tabela11[[#This Row],[Lucro]]*1/Tabela11[[#This Row],[Capital total]],"")</f>
        <v/>
      </c>
      <c r="X167" s="82">
        <f>Tabela11[[#This Row],[Lucro]]-C166</f>
        <v/>
      </c>
      <c r="Y167" s="69">
        <f>PROPER(TEXT(DATE(2024,MONTH(Tabela11[[#This Row],[Data]]),1),"mmmm"))</f>
        <v/>
      </c>
      <c r="Z167" s="69">
        <f>YEAR(Tabela11[[#This Row],[Data]])</f>
        <v/>
      </c>
      <c r="AA167" s="78">
        <f>Tabela11[[#This Row],[Capital investido]]-A166</f>
        <v/>
      </c>
    </row>
    <row r="168" hidden="1" s="57">
      <c r="A168" s="85" t="n">
        <v>1269.496241394561</v>
      </c>
      <c r="B168" s="86" t="n">
        <v>428.5182413945608</v>
      </c>
      <c r="C168" s="86" t="n">
        <v>-840.9780000000003</v>
      </c>
      <c r="D168" s="86" t="n"/>
      <c r="E168" s="86" t="n"/>
      <c r="F168" s="86" t="n"/>
      <c r="G168" s="86" t="n"/>
      <c r="H168" s="86" t="n">
        <v>406.5862413945612</v>
      </c>
      <c r="I168" s="86" t="n"/>
      <c r="J168" s="86" t="n">
        <v>203.6</v>
      </c>
      <c r="K168" s="86" t="n">
        <v>270.7030470140963</v>
      </c>
      <c r="L168" s="86" t="n">
        <v>215.71</v>
      </c>
      <c r="M168" s="86" t="n">
        <v>12</v>
      </c>
      <c r="N168" s="86" t="n">
        <v>34.75</v>
      </c>
      <c r="O168" s="86" t="n">
        <v>9.15925637</v>
      </c>
      <c r="P168" s="86" t="n">
        <v>102</v>
      </c>
      <c r="Q168" s="86" t="n">
        <v>40.3</v>
      </c>
      <c r="R168" s="86" t="n">
        <v>43.67</v>
      </c>
      <c r="S168" s="86" t="n">
        <v>106.27</v>
      </c>
      <c r="T168" s="80" t="n">
        <v>0.0535647801743201</v>
      </c>
      <c r="U168" s="17" t="n">
        <v>46006</v>
      </c>
      <c r="V168" s="5" t="inlineStr">
        <is>
          <t>23:13:30</t>
        </is>
      </c>
      <c r="W168" s="88">
        <f>IFERROR(Tabela11[[#This Row],[Lucro]]*1/Tabela11[[#This Row],[Capital total]],"")</f>
        <v/>
      </c>
      <c r="X168" s="82">
        <f>Tabela11[[#This Row],[Lucro]]-C167</f>
        <v/>
      </c>
      <c r="Y168" s="69">
        <f>PROPER(TEXT(DATE(2024,MONTH(Tabela11[[#This Row],[Data]]),1),"mmmm"))</f>
        <v/>
      </c>
      <c r="Z168" s="69">
        <f>YEAR(Tabela11[[#This Row],[Data]])</f>
        <v/>
      </c>
      <c r="AA168" s="78">
        <f>Tabela11[[#This Row],[Capital investido]]-A167</f>
        <v/>
      </c>
    </row>
    <row r="169" hidden="1" s="57">
      <c r="A169" s="85" t="n">
        <v>1723.958299364214</v>
      </c>
      <c r="B169" s="86" t="n">
        <v>882.9802993642138</v>
      </c>
      <c r="C169" s="86" t="n">
        <v>-840.9780000000003</v>
      </c>
      <c r="D169" s="86" t="n"/>
      <c r="E169" s="86" t="n"/>
      <c r="F169" s="86" t="n"/>
      <c r="G169" s="86" t="n"/>
      <c r="H169" s="86" t="n">
        <v>861.0482993642141</v>
      </c>
      <c r="I169" s="86" t="n"/>
      <c r="J169" s="86" t="n">
        <v>199.69</v>
      </c>
      <c r="K169" s="86" t="n">
        <v>275.4278383893124</v>
      </c>
      <c r="L169" s="86" t="n">
        <v>215.78</v>
      </c>
      <c r="M169" s="86" t="n"/>
      <c r="N169" s="86" t="n"/>
      <c r="O169" s="86" t="n">
        <v>9.491406979999999</v>
      </c>
      <c r="P169" s="86" t="inlineStr">
        <is>
          <t>18:55:09</t>
        </is>
      </c>
      <c r="Q169" s="86" t="n">
        <v>40.38</v>
      </c>
      <c r="R169" s="86" t="n">
        <v>43.67</v>
      </c>
      <c r="S169" s="86" t="n">
        <v>106.27</v>
      </c>
      <c r="T169" s="80" t="n">
        <v>0.1103725374205267</v>
      </c>
      <c r="U169" s="17" t="n">
        <v>46007</v>
      </c>
      <c r="V169" s="5" t="inlineStr">
        <is>
          <t>23:11:12</t>
        </is>
      </c>
      <c r="W169" s="88">
        <f>IFERROR(Tabela11[[#This Row],[Lucro]]*1/Tabela11[[#This Row],[Capital total]],"")</f>
        <v/>
      </c>
      <c r="X169" s="82">
        <f>Tabela11[[#This Row],[Lucro]]-C168</f>
        <v/>
      </c>
      <c r="Y169" s="69">
        <f>PROPER(TEXT(DATE(2024,MONTH(Tabela11[[#This Row],[Data]]),1),"mmmm"))</f>
        <v/>
      </c>
      <c r="Z169" s="69">
        <f>YEAR(Tabela11[[#This Row],[Data]])</f>
        <v/>
      </c>
      <c r="AA169" s="78">
        <f>Tabela11[[#This Row],[Capital investido]]-A168</f>
        <v/>
      </c>
    </row>
    <row r="170" hidden="1" s="57">
      <c r="A170" s="85" t="n">
        <v>1731.557344197954</v>
      </c>
      <c r="B170" s="86" t="n">
        <v>890.9993441979536</v>
      </c>
      <c r="C170" s="86" t="n">
        <v>-840.5580000000004</v>
      </c>
      <c r="D170" s="86" t="n"/>
      <c r="E170" s="86" t="n"/>
      <c r="F170" s="86" t="n"/>
      <c r="G170" s="86" t="n"/>
      <c r="H170" s="86" t="n">
        <v>868.6473441979542</v>
      </c>
      <c r="I170" s="86" t="n"/>
      <c r="J170" s="86" t="n">
        <v>199.82</v>
      </c>
      <c r="K170" s="86" t="n">
        <v>276.4027953397538</v>
      </c>
      <c r="L170" s="86" t="n">
        <v>215.79</v>
      </c>
      <c r="M170" s="86" t="n">
        <v>9.68509751</v>
      </c>
      <c r="N170" s="86" t="n">
        <v>40.33</v>
      </c>
      <c r="O170" s="86" t="n">
        <v>9.545652929999999</v>
      </c>
      <c r="P170" s="86" t="n">
        <v>106.27</v>
      </c>
      <c r="Q170" s="86" t="n">
        <v>40.73</v>
      </c>
      <c r="R170" s="86" t="n">
        <v>43.67</v>
      </c>
      <c r="S170" s="86" t="n">
        <v>106.27</v>
      </c>
      <c r="T170" s="80" t="n">
        <v>0.1113749180247442</v>
      </c>
      <c r="U170" s="17" t="n">
        <v>46008</v>
      </c>
      <c r="V170" s="5" t="inlineStr">
        <is>
          <t>13:09:52</t>
        </is>
      </c>
      <c r="W170" s="88">
        <f>IFERROR(Tabela11[[#This Row],[Lucro]]*1/Tabela11[[#This Row],[Capital total]],"")</f>
        <v/>
      </c>
      <c r="X170" s="82">
        <f>Tabela11[[#This Row],[Lucro]]-C169</f>
        <v/>
      </c>
      <c r="Y170" s="69">
        <f>PROPER(TEXT(DATE(2024,MONTH(Tabela11[[#This Row],[Data]]),1),"mmmm"))</f>
        <v/>
      </c>
      <c r="Z170" s="69">
        <f>YEAR(Tabela11[[#This Row],[Data]])</f>
        <v/>
      </c>
      <c r="AA170" s="78">
        <f>Tabela11[[#This Row],[Capital investido]]-A169</f>
        <v/>
      </c>
    </row>
    <row r="171" hidden="1" s="57">
      <c r="A171" s="85" t="n">
        <v>1785.609458772553</v>
      </c>
      <c r="B171" s="86" t="n">
        <v>947.9914587725521</v>
      </c>
      <c r="C171" s="86" t="n">
        <v>-837.6180000000008</v>
      </c>
      <c r="D171" s="86" t="n"/>
      <c r="E171" s="86" t="n"/>
      <c r="F171" s="86" t="n"/>
      <c r="G171" s="86" t="n"/>
      <c r="H171" s="86" t="n">
        <v>922.699458772553</v>
      </c>
      <c r="I171" s="86" t="n"/>
      <c r="J171" s="86" t="n">
        <v>199.82</v>
      </c>
      <c r="K171" s="86" t="n">
        <v>276.4027953397538</v>
      </c>
      <c r="L171" s="86" t="n">
        <v>215.79</v>
      </c>
      <c r="M171" s="86" t="n">
        <v>9.68509751</v>
      </c>
      <c r="N171" s="86" t="n">
        <v>40.33</v>
      </c>
      <c r="O171" s="86" t="n">
        <v>9.545652929999999</v>
      </c>
      <c r="P171" s="86" t="n">
        <v>106.27</v>
      </c>
      <c r="Q171" s="86" t="n">
        <v>40.73</v>
      </c>
      <c r="R171" s="86" t="n">
        <v>43.67</v>
      </c>
      <c r="S171" s="86" t="n">
        <v>106.27</v>
      </c>
      <c r="T171" s="80" t="n">
        <v>0.118498932346569</v>
      </c>
      <c r="U171" s="17" t="n">
        <v>46022</v>
      </c>
      <c r="V171" s="5" t="inlineStr">
        <is>
          <t>19:29:32</t>
        </is>
      </c>
      <c r="W171" s="88">
        <f>IFERROR(Tabela11[[#This Row],[Lucro]]*1/Tabela11[[#This Row],[Capital total]],"")</f>
        <v/>
      </c>
      <c r="X171" s="82">
        <f>Tabela11[[#This Row],[Lucro]]-C170</f>
        <v/>
      </c>
      <c r="Y171" s="69">
        <f>PROPER(TEXT(DATE(2024,MONTH(Tabela11[[#This Row],[Data]]),1),"mmmm"))</f>
        <v/>
      </c>
      <c r="Z171" s="69">
        <f>YEAR(Tabela11[[#This Row],[Data]])</f>
        <v/>
      </c>
      <c r="AA171" s="78">
        <f>Tabela11[[#This Row],[Capital investido]]-A170</f>
        <v/>
      </c>
    </row>
    <row r="172" hidden="1" s="57">
      <c r="A172" s="85" t="n">
        <v>1805.2831413157</v>
      </c>
      <c r="B172" s="86" t="n">
        <v>417.6651413156997</v>
      </c>
      <c r="C172" s="86" t="n">
        <v>-1387.618</v>
      </c>
      <c r="D172" s="86" t="n"/>
      <c r="E172" s="86" t="n"/>
      <c r="F172" s="86" t="n"/>
      <c r="G172" s="86" t="n"/>
      <c r="H172" s="86" t="n">
        <v>948.7631413157</v>
      </c>
      <c r="I172" s="86" t="n"/>
      <c r="J172" s="86" t="n">
        <v>202.06</v>
      </c>
      <c r="K172" s="86" t="n">
        <v>273.8379085932079</v>
      </c>
      <c r="L172" s="86" t="n">
        <v>219.26</v>
      </c>
      <c r="M172" s="86" t="n">
        <v>9.68509751</v>
      </c>
      <c r="N172" s="86" t="n">
        <v>40.33</v>
      </c>
      <c r="O172" s="86" t="n">
        <v>9.44021298</v>
      </c>
      <c r="P172" s="86" t="n">
        <v>106.27</v>
      </c>
      <c r="Q172" s="86" t="n">
        <v>41.54</v>
      </c>
      <c r="R172" s="86" t="n">
        <v>43.67</v>
      </c>
      <c r="S172" s="86" t="n">
        <v>106.27</v>
      </c>
      <c r="T172" s="80" t="n">
        <v>0.05220814266446246</v>
      </c>
      <c r="U172" s="17" t="n">
        <v>46022</v>
      </c>
      <c r="V172" s="5" t="inlineStr">
        <is>
          <t>20:07:19</t>
        </is>
      </c>
      <c r="W172" s="88">
        <f>IFERROR(Tabela11[[#This Row],[Lucro]]*1/Tabela11[[#This Row],[Capital total]],"")</f>
        <v/>
      </c>
      <c r="X172" s="82">
        <f>Tabela11[[#This Row],[Lucro]]-C171</f>
        <v/>
      </c>
      <c r="Y172" s="69">
        <f>PROPER(TEXT(DATE(2024,MONTH(Tabela11[[#This Row],[Data]]),1),"mmmm"))</f>
        <v/>
      </c>
      <c r="Z172" s="69">
        <f>YEAR(Tabela11[[#This Row],[Data]])</f>
        <v/>
      </c>
      <c r="AA172" s="78">
        <f>Tabela11[[#This Row],[Capital investido]]-A171</f>
        <v/>
      </c>
    </row>
    <row r="173" hidden="1" s="57">
      <c r="A173" s="85" t="n">
        <v>1813.209790004801</v>
      </c>
      <c r="B173" s="86" t="n">
        <v>425.5917900048007</v>
      </c>
      <c r="C173" s="86" t="n">
        <v>-1387.618</v>
      </c>
      <c r="D173" s="86" t="n"/>
      <c r="E173" s="86" t="n"/>
      <c r="F173" s="86" t="n"/>
      <c r="G173" s="86" t="n"/>
      <c r="H173" s="86" t="n">
        <v>956.6897900048009</v>
      </c>
      <c r="I173" s="86" t="n"/>
      <c r="J173" s="86" t="n">
        <v>202.06</v>
      </c>
      <c r="K173" s="86" t="n">
        <v>273.8379085932079</v>
      </c>
      <c r="L173" s="86" t="n">
        <v>219.26</v>
      </c>
      <c r="M173" s="86" t="n"/>
      <c r="N173" s="86" t="n"/>
      <c r="O173" s="86" t="n">
        <v>9.451239380000001</v>
      </c>
      <c r="P173" s="86" t="n"/>
      <c r="Q173" s="86" t="n">
        <v>41.54</v>
      </c>
      <c r="R173" s="86" t="n">
        <v>43.67</v>
      </c>
      <c r="S173" s="86" t="n">
        <v>106.27</v>
      </c>
      <c r="T173" s="80" t="n">
        <v>0.05319897375060009</v>
      </c>
      <c r="U173" s="17" t="n">
        <v>46024</v>
      </c>
      <c r="V173" s="5" t="inlineStr">
        <is>
          <t>01:03:38</t>
        </is>
      </c>
      <c r="W173" s="88">
        <f>IFERROR(Tabela11[[#This Row],[Lucro]]*1/Tabela11[[#This Row],[Capital total]],"")</f>
        <v/>
      </c>
      <c r="X173" s="82">
        <f>Tabela11[[#This Row],[Lucro]]-C172</f>
        <v/>
      </c>
      <c r="Y173" s="69">
        <f>PROPER(TEXT(DATE(2024,MONTH(Tabela11[[#This Row],[Data]]),1),"mmmm"))</f>
        <v/>
      </c>
      <c r="Z173" s="69">
        <f>YEAR(Tabela11[[#This Row],[Data]])</f>
        <v/>
      </c>
      <c r="AA173" s="78">
        <f>Tabela11[[#This Row],[Capital investido]]-A172</f>
        <v/>
      </c>
    </row>
    <row r="174" hidden="1" s="57">
      <c r="A174" s="85" t="n">
        <v>1831.202334399944</v>
      </c>
      <c r="B174" s="86" t="n">
        <v>3442.146728224945</v>
      </c>
      <c r="C174" s="86" t="n">
        <v>296.5923938250003</v>
      </c>
      <c r="D174" s="86" t="n"/>
      <c r="E174" s="86" t="n"/>
      <c r="F174" s="86" t="n">
        <v>669.6543343999447</v>
      </c>
      <c r="G174" s="86" t="n"/>
      <c r="H174" s="86" t="n">
        <v>972.6623343999445</v>
      </c>
      <c r="I174" s="86" t="n">
        <v>2.02</v>
      </c>
      <c r="J174" s="86" t="n">
        <v>205.92</v>
      </c>
      <c r="K174" s="86" t="n">
        <v>269.3781055173427</v>
      </c>
      <c r="L174" s="86" t="n"/>
      <c r="M174" s="86" t="n"/>
      <c r="N174" s="86" t="n">
        <v>216.37</v>
      </c>
      <c r="O174" s="86" t="n"/>
      <c r="P174" s="86" t="n">
        <v>9.67875733</v>
      </c>
      <c r="Q174" s="86" t="n">
        <v>40.78</v>
      </c>
      <c r="R174" s="86" t="n">
        <v>43.67</v>
      </c>
      <c r="S174" s="86" t="n"/>
      <c r="T174" s="80" t="n">
        <v>0.4302683410281181</v>
      </c>
      <c r="U174" s="17" t="n">
        <v>46030</v>
      </c>
      <c r="V174" s="5" t="inlineStr">
        <is>
          <t>22:11:22</t>
        </is>
      </c>
      <c r="W174" s="88">
        <f>IFERROR(Tabela11[[#This Row],[Lucro]]*1/Tabela11[[#This Row],[Capital total]],"")</f>
        <v/>
      </c>
      <c r="X174" s="82">
        <f>Tabela11[[#This Row],[Lucro]]-C173</f>
        <v/>
      </c>
      <c r="Y174" s="69">
        <f>PROPER(TEXT(DATE(2024,MONTH(Tabela11[[#This Row],[Data]]),1),"mmmm"))</f>
        <v/>
      </c>
      <c r="Z174" s="69">
        <f>YEAR(Tabela11[[#This Row],[Data]])</f>
        <v/>
      </c>
      <c r="AA174" s="78">
        <f>Tabela11[[#This Row],[Capital investido]]-A173</f>
        <v/>
      </c>
    </row>
    <row r="175" hidden="1" s="57">
      <c r="A175" s="85" t="n">
        <v>1831.202334399944</v>
      </c>
      <c r="B175" s="86" t="n">
        <v>3442.146728224945</v>
      </c>
      <c r="C175" s="86" t="n">
        <v>296.5923938250003</v>
      </c>
      <c r="D175" s="86" t="n"/>
      <c r="E175" s="86" t="n"/>
      <c r="F175" s="86" t="n">
        <v>669.6543343999447</v>
      </c>
      <c r="G175" s="86" t="n">
        <v>361.173276786147</v>
      </c>
      <c r="H175" s="86" t="n">
        <v>972.6623343999445</v>
      </c>
      <c r="I175" s="86" t="n">
        <v>2.02</v>
      </c>
      <c r="J175" s="86" t="n">
        <v>205.92</v>
      </c>
      <c r="K175" s="86" t="n">
        <v>269.3781055173427</v>
      </c>
      <c r="L175" s="86" t="n"/>
      <c r="M175" s="86" t="n">
        <v>40.33</v>
      </c>
      <c r="N175" s="86" t="n">
        <v>216.37</v>
      </c>
      <c r="O175" s="86" t="n">
        <v>106.27</v>
      </c>
      <c r="P175" s="86" t="n">
        <v>9.67924958</v>
      </c>
      <c r="Q175" s="86" t="n">
        <v>40.78</v>
      </c>
      <c r="R175" s="86" t="n">
        <v>43.67</v>
      </c>
      <c r="S175" s="86" t="n">
        <v>106.27</v>
      </c>
      <c r="T175" s="80" t="n">
        <v>0.4302683410281181</v>
      </c>
      <c r="U175" s="17" t="n">
        <v>46030</v>
      </c>
      <c r="V175" s="5" t="inlineStr">
        <is>
          <t>22:17:19</t>
        </is>
      </c>
      <c r="W175" s="88">
        <f>IFERROR(Tabela11[[#This Row],[Lucro]]*1/Tabela11[[#This Row],[Capital total]],"")</f>
        <v/>
      </c>
      <c r="X175" s="82">
        <f>Tabela11[[#This Row],[Lucro]]-C174</f>
        <v/>
      </c>
      <c r="Y175" s="69">
        <f>PROPER(TEXT(DATE(2024,MONTH(Tabela11[[#This Row],[Data]]),1),"mmmm"))</f>
        <v/>
      </c>
      <c r="Z175" s="69">
        <f>YEAR(Tabela11[[#This Row],[Data]])</f>
        <v/>
      </c>
      <c r="AA175" s="78">
        <f>Tabela11[[#This Row],[Capital investido]]-A174</f>
        <v/>
      </c>
    </row>
    <row r="176" hidden="1" s="57">
      <c r="A176" s="85" t="n">
        <v>1839.332960807836</v>
      </c>
      <c r="B176" s="86" t="n">
        <v>3450.277354632836</v>
      </c>
      <c r="C176" s="86" t="n">
        <v>296.5923938250003</v>
      </c>
      <c r="D176" s="86" t="n"/>
      <c r="E176" s="86" t="n"/>
      <c r="F176" s="86" t="n">
        <v>677.7849608078359</v>
      </c>
      <c r="G176" s="86" t="n">
        <v>361.173276786147</v>
      </c>
      <c r="H176" s="86" t="n">
        <v>972.6623343999445</v>
      </c>
      <c r="I176" s="86" t="n">
        <v>10.15062640789141</v>
      </c>
      <c r="J176" s="86" t="n">
        <v>205.4</v>
      </c>
      <c r="K176" s="86" t="n">
        <v>268.5281430477271</v>
      </c>
      <c r="L176" s="86" t="n"/>
      <c r="M176" s="86" t="n">
        <v>40.33</v>
      </c>
      <c r="N176" s="86" t="n">
        <v>217.12</v>
      </c>
      <c r="O176" s="86" t="n">
        <v>106.27</v>
      </c>
      <c r="P176" s="86" t="n">
        <v>9.58304424</v>
      </c>
      <c r="Q176" s="86" t="n">
        <v>41.13</v>
      </c>
      <c r="R176" s="86" t="n">
        <v>43.67</v>
      </c>
      <c r="S176" s="86" t="n">
        <v>106.27</v>
      </c>
      <c r="T176" s="80" t="n">
        <v>0.4312846693291045</v>
      </c>
      <c r="U176" s="17" t="n">
        <v>46031</v>
      </c>
      <c r="V176" s="5" t="inlineStr">
        <is>
          <t>23:05:27</t>
        </is>
      </c>
      <c r="W176" s="88">
        <f>IFERROR(Tabela11[[#This Row],[Lucro]]*1/Tabela11[[#This Row],[Capital total]],"")</f>
        <v/>
      </c>
      <c r="X176" s="82">
        <f>Tabela11[[#This Row],[Lucro]]-C175</f>
        <v/>
      </c>
      <c r="Y176" s="69">
        <f>PROPER(TEXT(DATE(2024,MONTH(Tabela11[[#This Row],[Data]]),1),"mmmm"))</f>
        <v/>
      </c>
      <c r="Z176" s="69">
        <f>YEAR(Tabela11[[#This Row],[Data]])</f>
        <v/>
      </c>
      <c r="AA176" s="78">
        <f>Tabela11[[#This Row],[Capital investido]]-A175</f>
        <v/>
      </c>
    </row>
    <row r="177">
      <c r="A177" s="85" t="n">
        <v>1863.335072117836</v>
      </c>
      <c r="B177" s="86" t="n">
        <v>3474.279465942836</v>
      </c>
      <c r="C177" s="86" t="n">
        <v>296.5923938250003</v>
      </c>
      <c r="D177" s="86" t="n"/>
      <c r="E177" s="86" t="n"/>
      <c r="F177" s="86" t="n">
        <v>701.787072117836</v>
      </c>
      <c r="G177" s="86" t="n">
        <v>361.173276786147</v>
      </c>
      <c r="H177" s="86" t="n">
        <v>972.6623343999445</v>
      </c>
      <c r="I177" s="86" t="n">
        <v>10.15062640789141</v>
      </c>
      <c r="J177" s="86" t="n">
        <v>205.4</v>
      </c>
      <c r="K177" s="86" t="n">
        <v>268.5281430477271</v>
      </c>
      <c r="L177" s="86" t="n">
        <v>9.68509751</v>
      </c>
      <c r="M177" s="86" t="n">
        <v>40.33</v>
      </c>
      <c r="N177" s="86" t="n">
        <v>217.12</v>
      </c>
      <c r="O177" s="86" t="n">
        <v>106.27</v>
      </c>
      <c r="P177" s="86" t="n">
        <v>33.36972124</v>
      </c>
      <c r="Q177" s="86" t="n">
        <v>41.13</v>
      </c>
      <c r="R177" s="86" t="n">
        <v>43.67</v>
      </c>
      <c r="S177" s="86" t="n">
        <v>106.27</v>
      </c>
      <c r="T177" s="80" t="n">
        <v>0.4342849332428545</v>
      </c>
      <c r="U177" s="17" t="inlineStr">
        <is>
          <t>10/01/2026</t>
        </is>
      </c>
      <c r="V177" s="5" t="inlineStr">
        <is>
          <t>21:35:12</t>
        </is>
      </c>
      <c r="W177" s="88">
        <f>IFERROR(Tabela11[[#This Row],[Lucro]]*1/Tabela11[[#This Row],[Capital total]],"")</f>
        <v/>
      </c>
      <c r="X177" s="82">
        <f>Tabela11[[#This Row],[Lucro]]-C176</f>
        <v/>
      </c>
      <c r="Y177" s="69">
        <f>PROPER(TEXT(DATE(2024,MONTH(Tabela11[[#This Row],[Data]]),1),"mmmm"))</f>
        <v/>
      </c>
      <c r="Z177" s="69">
        <f>YEAR(Tabela11[[#This Row],[Data]])</f>
        <v/>
      </c>
      <c r="AA177" s="78">
        <f>Tabela11[[#This Row],[Capital investido]]-A176</f>
        <v/>
      </c>
    </row>
    <row r="178">
      <c r="A178" s="85" t="n">
        <v>1867.43093869129</v>
      </c>
      <c r="B178" s="86" t="n">
        <v>3478.785332516291</v>
      </c>
      <c r="C178" s="86" t="n">
        <v>296.5923938250003</v>
      </c>
      <c r="D178" s="86" t="n"/>
      <c r="E178" s="86" t="n"/>
      <c r="F178" s="86" t="n">
        <v>706.2929386912901</v>
      </c>
      <c r="G178" s="86" t="n">
        <v>361.173276786147</v>
      </c>
      <c r="H178" s="86" t="n">
        <v>972.6623343999445</v>
      </c>
      <c r="I178" s="86" t="n">
        <v>14.24649298134591</v>
      </c>
      <c r="J178" s="86" t="n">
        <v>205.4</v>
      </c>
      <c r="K178" s="86" t="n">
        <v>268.5281430477271</v>
      </c>
      <c r="L178" s="86" t="n">
        <v>9.68509751</v>
      </c>
      <c r="M178" s="86" t="n">
        <v>40.33</v>
      </c>
      <c r="N178" s="86" t="n">
        <v>217.12</v>
      </c>
      <c r="O178" s="86" t="n">
        <v>106.27</v>
      </c>
      <c r="P178" s="86" t="n">
        <v>33.83372552</v>
      </c>
      <c r="Q178" s="86" t="n">
        <v>41.13</v>
      </c>
      <c r="R178" s="86" t="n">
        <v>43.67</v>
      </c>
      <c r="S178" s="86" t="n">
        <v>106.27</v>
      </c>
      <c r="T178" s="80" t="n">
        <v>0.4348481665645364</v>
      </c>
      <c r="U178" s="17" t="inlineStr">
        <is>
          <t>11/01/2026</t>
        </is>
      </c>
      <c r="V178" s="5" t="inlineStr">
        <is>
          <t>23:41:10</t>
        </is>
      </c>
      <c r="W178" s="88">
        <f>IFERROR(Tabela11[[#This Row],[Lucro]]*1/Tabela11[[#This Row],[Capital total]],"")</f>
        <v/>
      </c>
      <c r="X178" s="82">
        <f>Tabela11[[#This Row],[Lucro]]-C177</f>
        <v/>
      </c>
      <c r="Y178" s="69">
        <f>PROPER(TEXT(DATE(2024,MONTH(Tabela11[[#This Row],[Data]]),1),"mmmm"))</f>
        <v/>
      </c>
      <c r="Z178" s="69">
        <f>YEAR(Tabela11[[#This Row],[Data]])</f>
        <v/>
      </c>
      <c r="AA178" s="78">
        <f>Tabela11[[#This Row],[Capital investido]]-A177</f>
        <v/>
      </c>
    </row>
    <row r="179">
      <c r="A179" s="85" t="n">
        <v>1867.43093869129</v>
      </c>
      <c r="B179" s="86" t="n">
        <v>3415.255332516291</v>
      </c>
      <c r="C179" s="86" t="n">
        <v>296.5923938250003</v>
      </c>
      <c r="D179" s="86" t="n"/>
      <c r="E179" s="86" t="n"/>
      <c r="F179" s="86" t="n">
        <v>642.7629386912904</v>
      </c>
      <c r="G179" s="86" t="n">
        <v>361.173276786147</v>
      </c>
      <c r="H179" s="86" t="n">
        <v>972.6623343999445</v>
      </c>
      <c r="I179" s="86" t="n">
        <v>14.24649298134591</v>
      </c>
      <c r="J179" s="86" t="n">
        <v>205.15</v>
      </c>
      <c r="K179" s="86" t="n">
        <v>268.7481333339805</v>
      </c>
      <c r="L179" s="86" t="n"/>
      <c r="M179" s="86" t="n"/>
      <c r="N179" s="86" t="n">
        <v>216.94</v>
      </c>
      <c r="O179" s="86" t="n">
        <v>40.33</v>
      </c>
      <c r="P179" s="86" t="n">
        <v>33.667431</v>
      </c>
      <c r="Q179" s="86" t="n">
        <v>41.24</v>
      </c>
      <c r="R179" s="86" t="n">
        <v>43.67</v>
      </c>
      <c r="S179" s="86" t="n">
        <v>106.27</v>
      </c>
      <c r="T179" s="80" t="n">
        <v>0.4269069165645364</v>
      </c>
      <c r="U179" s="17" t="inlineStr">
        <is>
          <t>12/01/2026</t>
        </is>
      </c>
      <c r="V179" s="5" t="inlineStr">
        <is>
          <t>23:09:14</t>
        </is>
      </c>
      <c r="W179" s="88">
        <f>IFERROR(Tabela11[[#This Row],[Lucro]]*1/Tabela11[[#This Row],[Capital total]],"")</f>
        <v/>
      </c>
      <c r="X179" s="82">
        <f>Tabela11[[#This Row],[Lucro]]-C178</f>
        <v/>
      </c>
      <c r="Y179" s="69">
        <f>PROPER(TEXT(DATE(2024,MONTH(Tabela11[[#This Row],[Data]]),1),"mmmm"))</f>
        <v/>
      </c>
      <c r="Z179" s="69">
        <f>YEAR(Tabela11[[#This Row],[Data]])</f>
        <v/>
      </c>
      <c r="AA179" s="78">
        <f>Tabela11[[#This Row],[Capital investido]]-A178</f>
        <v/>
      </c>
    </row>
    <row r="180">
      <c r="A180" s="85" t="n">
        <v>1871.547310196778</v>
      </c>
      <c r="B180" s="86" t="n">
        <v>3419.371704021779</v>
      </c>
      <c r="C180" s="86" t="n">
        <v>296.5923938250003</v>
      </c>
      <c r="D180" s="86" t="n"/>
      <c r="E180" s="86" t="n"/>
      <c r="F180" s="86" t="n">
        <v>646.8793101967785</v>
      </c>
      <c r="G180" s="86" t="n">
        <v>361.173276786147</v>
      </c>
      <c r="H180" s="86" t="n">
        <v>972.6623343999445</v>
      </c>
      <c r="I180" s="86" t="n">
        <v>18.36286448683378</v>
      </c>
      <c r="J180" s="86" t="n">
        <v>206.51</v>
      </c>
      <c r="K180" s="86" t="n">
        <v>268.6031397362226</v>
      </c>
      <c r="L180" s="86" t="n"/>
      <c r="M180" s="86" t="n"/>
      <c r="N180" s="86" t="n">
        <v>216.86</v>
      </c>
      <c r="O180" s="86" t="n"/>
      <c r="P180" s="86" t="n">
        <v>35.05841394</v>
      </c>
      <c r="Q180" s="86" t="n">
        <v>41.13</v>
      </c>
      <c r="R180" s="86" t="n">
        <v>43.67</v>
      </c>
      <c r="S180" s="86" t="n">
        <v>106.27</v>
      </c>
      <c r="T180" s="80" t="n">
        <v>0.4274214630027224</v>
      </c>
      <c r="U180" s="17" t="inlineStr">
        <is>
          <t>14/01/2026</t>
        </is>
      </c>
      <c r="V180" s="5" t="inlineStr">
        <is>
          <t>06:32:36</t>
        </is>
      </c>
      <c r="W180" s="88">
        <f>IFERROR(Tabela11[[#This Row],[Lucro]]*1/Tabela11[[#This Row],[Capital total]],"")</f>
        <v/>
      </c>
      <c r="X180" s="82">
        <f>Tabela11[[#This Row],[Lucro]]-C179</f>
        <v/>
      </c>
      <c r="Y180" s="69">
        <f>PROPER(TEXT(DATE(2024,MONTH(Tabela11[[#This Row],[Data]]),1),"mmmm"))</f>
        <v/>
      </c>
      <c r="Z180" s="69">
        <f>YEAR(Tabela11[[#This Row],[Data]])</f>
        <v/>
      </c>
      <c r="AA180" s="78">
        <f>Tabela11[[#This Row],[Capital investido]]-A179</f>
        <v/>
      </c>
    </row>
    <row r="181">
      <c r="A181" s="85" t="n">
        <v>1875.684289287115</v>
      </c>
      <c r="B181" s="86" t="n">
        <v>3423.508683112116</v>
      </c>
      <c r="C181" s="86" t="n">
        <v>296.5923938250003</v>
      </c>
      <c r="D181" s="86" t="n"/>
      <c r="E181" s="86" t="n"/>
      <c r="F181" s="86" t="n">
        <v>651.0162892871158</v>
      </c>
      <c r="G181" s="86" t="n"/>
      <c r="H181" s="86" t="n">
        <v>972.6623343999445</v>
      </c>
      <c r="I181" s="86" t="n">
        <v>22.49984357717099</v>
      </c>
      <c r="J181" s="86" t="n">
        <v>214.09</v>
      </c>
      <c r="K181" s="86" t="n">
        <v>268.4081483461343</v>
      </c>
      <c r="L181" s="86" t="n"/>
      <c r="M181" s="86" t="n"/>
      <c r="N181" s="86" t="n">
        <v>217.5700000000001</v>
      </c>
      <c r="O181" s="86" t="n"/>
      <c r="P181" s="86" t="n">
        <v>34.99243168</v>
      </c>
      <c r="Q181" s="86" t="n">
        <v>41.27</v>
      </c>
      <c r="R181" s="86" t="n">
        <v>43.67</v>
      </c>
      <c r="S181" s="86" t="n">
        <v>106.27</v>
      </c>
      <c r="T181" s="80" t="n">
        <v>0.4279385853890145</v>
      </c>
      <c r="U181" s="17" t="inlineStr">
        <is>
          <t>16/01/2026</t>
        </is>
      </c>
      <c r="V181" s="5" t="inlineStr">
        <is>
          <t>16:02:05</t>
        </is>
      </c>
      <c r="W181" s="88">
        <f>IFERROR(Tabela11[[#This Row],[Lucro]]*1/Tabela11[[#This Row],[Capital total]],"")</f>
        <v/>
      </c>
      <c r="X181" s="82">
        <f>Tabela11[[#This Row],[Lucro]]-C180</f>
        <v/>
      </c>
      <c r="Y181" s="69">
        <f>PROPER(TEXT(DATE(2024,MONTH(Tabela11[[#This Row],[Data]]),1),"mmmm"))</f>
        <v/>
      </c>
      <c r="Z181" s="69">
        <f>YEAR(Tabela11[[#This Row],[Data]])</f>
        <v/>
      </c>
      <c r="AA181" s="78">
        <f>Tabela11[[#This Row],[Capital investido]]-A180</f>
        <v/>
      </c>
    </row>
    <row r="182">
      <c r="A182" s="85" t="n">
        <v>1877.760538896058</v>
      </c>
      <c r="B182" s="86" t="n">
        <v>3425.614932721059</v>
      </c>
      <c r="C182" s="86" t="n">
        <v>296.5923938250003</v>
      </c>
      <c r="D182" s="86" t="n"/>
      <c r="E182" s="86" t="n"/>
      <c r="F182" s="86" t="n">
        <v>653.1225388960584</v>
      </c>
      <c r="G182" s="86" t="n"/>
      <c r="H182" s="86" t="n">
        <v>972.6623343999445</v>
      </c>
      <c r="I182" s="86" t="n">
        <v>24.57609318611391</v>
      </c>
      <c r="J182" s="86" t="n">
        <v>214.93</v>
      </c>
      <c r="K182" s="86" t="n">
        <v>268.4581461384646</v>
      </c>
      <c r="L182" s="86" t="n"/>
      <c r="M182" s="86" t="n"/>
      <c r="N182" s="86" t="n">
        <v>217.23</v>
      </c>
      <c r="O182" s="86" t="n"/>
      <c r="P182" s="86" t="n">
        <v>35.06438736</v>
      </c>
      <c r="Q182" s="86" t="n">
        <v>41.22</v>
      </c>
      <c r="R182" s="86" t="n">
        <v>43.67</v>
      </c>
      <c r="S182" s="86" t="n">
        <v>106.27</v>
      </c>
      <c r="T182" s="80" t="n">
        <v>0.4282018665901324</v>
      </c>
      <c r="U182" s="17" t="inlineStr">
        <is>
          <t>17/01/2026</t>
        </is>
      </c>
      <c r="V182" s="5" t="inlineStr">
        <is>
          <t>21:48:22</t>
        </is>
      </c>
      <c r="W182" s="88">
        <f>IFERROR(Tabela11[[#This Row],[Lucro]]*1/Tabela11[[#This Row],[Capital total]],"")</f>
        <v/>
      </c>
      <c r="X182" s="82">
        <f>Tabela11[[#This Row],[Lucro]]-C181</f>
        <v/>
      </c>
      <c r="Y182" s="69">
        <f>PROPER(TEXT(DATE(2024,MONTH(Tabela11[[#This Row],[Data]]),1),"mmmm"))</f>
        <v/>
      </c>
      <c r="Z182" s="69">
        <f>YEAR(Tabela11[[#This Row],[Data]])</f>
        <v/>
      </c>
      <c r="AA182" s="78">
        <f>Tabela11[[#This Row],[Capital investido]]-A181</f>
        <v/>
      </c>
    </row>
    <row r="183">
      <c r="A183" s="85" t="n">
        <v>1879.841979129023</v>
      </c>
      <c r="B183" s="86" t="n">
        <v>4295.137729689023</v>
      </c>
      <c r="C183" s="86" t="n">
        <v>967.4437505599999</v>
      </c>
      <c r="D183" s="86" t="n"/>
      <c r="E183" s="86" t="n"/>
      <c r="F183" s="86" t="n">
        <v>555.2039791290235</v>
      </c>
      <c r="G183" s="86" t="n"/>
      <c r="H183" s="86" t="n">
        <v>972.6623343999445</v>
      </c>
      <c r="I183" s="86" t="n">
        <v>26.6575334190792</v>
      </c>
      <c r="J183" s="86" t="n">
        <v>214.93</v>
      </c>
      <c r="K183" s="86" t="n">
        <v>268.4581461384646</v>
      </c>
      <c r="L183" s="86" t="n"/>
      <c r="M183" s="86" t="n"/>
      <c r="N183" s="86" t="n">
        <v>217.23</v>
      </c>
      <c r="O183" s="86" t="n"/>
      <c r="P183" s="86" t="n">
        <v>35.07331316</v>
      </c>
      <c r="Q183" s="86" t="n">
        <v>41.22</v>
      </c>
      <c r="R183" s="86" t="n">
        <v>43.67</v>
      </c>
      <c r="S183" s="86" t="n">
        <v>106.27</v>
      </c>
      <c r="T183" s="80" t="n">
        <v>0.5368922162111279</v>
      </c>
      <c r="U183" s="17" t="n">
        <v>46040</v>
      </c>
      <c r="V183" s="5" t="inlineStr">
        <is>
          <t>13:58:35</t>
        </is>
      </c>
      <c r="W183" s="88">
        <f>IFERROR(Tabela11[[#This Row],[Lucro]]*1/Tabela11[[#This Row],[Capital total]],"")</f>
        <v/>
      </c>
      <c r="X183" s="82">
        <f>Tabela11[[#This Row],[Lucro]]-C182</f>
        <v/>
      </c>
      <c r="Y183" s="69">
        <f>PROPER(TEXT(DATE(2024,MONTH(Tabela11[[#This Row],[Data]]),1),"mmmm"))</f>
        <v/>
      </c>
      <c r="Z183" s="69">
        <f>YEAR(Tabela11[[#This Row],[Data]])</f>
        <v/>
      </c>
      <c r="AA183" s="78">
        <f>Tabela11[[#This Row],[Capital investido]]-A182</f>
        <v/>
      </c>
    </row>
    <row r="184">
      <c r="A184" s="85" t="n">
        <v>1879.841979129023</v>
      </c>
      <c r="B184" s="86" t="n">
        <v>4295.137729689023</v>
      </c>
      <c r="C184" s="86" t="n">
        <v>967.4437505599999</v>
      </c>
      <c r="D184" s="86" t="n"/>
      <c r="E184" s="86" t="n"/>
      <c r="F184" s="86" t="n">
        <v>555.2039791290235</v>
      </c>
      <c r="G184" s="86" t="n"/>
      <c r="H184" s="86" t="n">
        <v>972.6623343999445</v>
      </c>
      <c r="I184" s="86" t="n">
        <v>26.6575334190792</v>
      </c>
      <c r="J184" s="86" t="n">
        <v>214.93</v>
      </c>
      <c r="K184" s="86" t="n">
        <v>268.4131481253673</v>
      </c>
      <c r="L184" s="86" t="n"/>
      <c r="M184" s="86" t="n"/>
      <c r="N184" s="86" t="n">
        <v>217.23</v>
      </c>
      <c r="O184" s="86" t="n"/>
      <c r="P184" s="86" t="n">
        <v>35.09858004</v>
      </c>
      <c r="Q184" s="86" t="n">
        <v>41.22</v>
      </c>
      <c r="R184" s="86" t="n">
        <v>43.67</v>
      </c>
      <c r="S184" s="86" t="n">
        <v>106.27</v>
      </c>
      <c r="T184" s="80" t="n">
        <v>0.5368922162111279</v>
      </c>
      <c r="U184" s="17" t="inlineStr">
        <is>
          <t>18/01/2026</t>
        </is>
      </c>
      <c r="V184" s="5" t="inlineStr">
        <is>
          <t>15:15:39</t>
        </is>
      </c>
      <c r="W184" s="88">
        <f>IFERROR(Tabela11[[#This Row],[Lucro]]*1/Tabela11[[#This Row],[Capital total]],"")</f>
        <v/>
      </c>
      <c r="X184" s="82">
        <f>Tabela11[[#This Row],[Lucro]]-C183</f>
        <v/>
      </c>
      <c r="Y184" s="69">
        <f>PROPER(TEXT(DATE(2024,MONTH(Tabela11[[#This Row],[Data]]),1),"mmmm"))</f>
        <v/>
      </c>
      <c r="Z184" s="69">
        <f>YEAR(Tabela11[[#This Row],[Data]])</f>
        <v/>
      </c>
      <c r="AA184" s="78">
        <f>Tabela11[[#This Row],[Capital investido]]-A183</f>
        <v/>
      </c>
    </row>
    <row r="185">
      <c r="A185" s="77" t="n">
        <v>1879.841979129023</v>
      </c>
      <c r="B185" s="78" t="n">
        <v>4295.137729689023</v>
      </c>
      <c r="C185" s="78" t="n">
        <v>967.4437505599999</v>
      </c>
      <c r="D185" s="78" t="n"/>
      <c r="E185" s="78" t="n"/>
      <c r="F185" s="78" t="n">
        <v>555.2039791290235</v>
      </c>
      <c r="G185" s="78" t="n"/>
      <c r="H185" s="78" t="n">
        <v>972.6623343999445</v>
      </c>
      <c r="I185" s="86" t="n">
        <v>26.6575334190792</v>
      </c>
      <c r="J185" s="78" t="n">
        <v>214.93</v>
      </c>
      <c r="K185" s="78" t="n">
        <v>268.5281430477271</v>
      </c>
      <c r="L185" s="78" t="n"/>
      <c r="M185" s="78" t="n"/>
      <c r="N185" s="78" t="n">
        <v>217.23</v>
      </c>
      <c r="O185" s="78" t="n"/>
      <c r="P185" s="78" t="n">
        <v>34.33061794</v>
      </c>
      <c r="Q185" s="78" t="n">
        <v>41.22</v>
      </c>
      <c r="R185" s="78" t="n">
        <v>43.67</v>
      </c>
      <c r="S185" s="86" t="n">
        <v>106.27</v>
      </c>
      <c r="T185" s="80" t="n">
        <v>0.5368922162111279</v>
      </c>
      <c r="U185" s="18" t="inlineStr">
        <is>
          <t>19/01/2026</t>
        </is>
      </c>
      <c r="V185" s="4" t="inlineStr">
        <is>
          <t>09:16:08</t>
        </is>
      </c>
      <c r="W185" s="81">
        <f>IFERROR(Tabela11[[#This Row],[Lucro]]*1/Tabela11[[#This Row],[Capital total]],"")</f>
        <v/>
      </c>
      <c r="X185" s="82">
        <f>Tabela11[[#This Row],[Lucro]]-C184</f>
        <v/>
      </c>
      <c r="Y185" s="65">
        <f>PROPER(TEXT(DATE(2024,MONTH(Tabela11[[#This Row],[Data]]),1),"mmmm"))</f>
        <v/>
      </c>
      <c r="Z185" s="65">
        <f>YEAR(Tabela11[[#This Row],[Data]])</f>
        <v/>
      </c>
      <c r="AA185" s="78">
        <f>Tabela11[[#This Row],[Capital investido]]-A184</f>
        <v/>
      </c>
    </row>
    <row r="186">
      <c r="A186" s="85" t="n">
        <v>1896.681927477932</v>
      </c>
      <c r="B186" s="86" t="n">
        <v>4311.977678037932</v>
      </c>
      <c r="C186" s="86" t="n">
        <v>967.4437505599999</v>
      </c>
      <c r="D186" s="86" t="n"/>
      <c r="E186" s="86" t="n"/>
      <c r="F186" s="86" t="n">
        <v>572.0439274779328</v>
      </c>
      <c r="G186" s="86" t="n"/>
      <c r="H186" s="86" t="n">
        <v>972.6623343999445</v>
      </c>
      <c r="I186" s="90" t="n">
        <v>43.49748176798781</v>
      </c>
      <c r="J186" s="86" t="n">
        <v>232.11</v>
      </c>
      <c r="K186" s="86" t="n">
        <v>264.0383412964636</v>
      </c>
      <c r="L186" s="86" t="n"/>
      <c r="M186" s="86" t="n"/>
      <c r="N186" s="86" t="n">
        <v>220.94</v>
      </c>
      <c r="O186" s="86" t="n"/>
      <c r="P186" s="86" t="n">
        <v>32.03428424</v>
      </c>
      <c r="Q186" s="86" t="n">
        <v>40.96000000000001</v>
      </c>
      <c r="R186" s="86" t="n">
        <v>43.67</v>
      </c>
      <c r="S186" s="90" t="n">
        <v>106.27</v>
      </c>
      <c r="T186" s="92" t="n">
        <v>0.5389972097547415</v>
      </c>
      <c r="U186" s="17" t="inlineStr">
        <is>
          <t>26/01/2026</t>
        </is>
      </c>
      <c r="V186" s="5" t="inlineStr">
        <is>
          <t>21:15:03</t>
        </is>
      </c>
      <c r="W186" s="88">
        <f>IFERROR(Tabela11[[#This Row],[Lucro]]*1/Tabela11[[#This Row],[Capital total]],"")</f>
        <v/>
      </c>
      <c r="X186" s="82">
        <f>Tabela11[[#This Row],[Lucro]]-C185</f>
        <v/>
      </c>
      <c r="Y186" s="69">
        <f>PROPER(TEXT(DATE(2024,MONTH(Tabela11[[#This Row],[Data]]),1),"mmmm"))</f>
        <v/>
      </c>
      <c r="Z186" s="69">
        <f>YEAR(Tabela11[[#This Row],[Data]])</f>
        <v/>
      </c>
      <c r="AA186" s="78">
        <f>Tabela11[[#This Row],[Capital investido]]-A185</f>
        <v/>
      </c>
    </row>
    <row r="187">
      <c r="A187" s="85" t="n">
        <v>1903.084137473623</v>
      </c>
      <c r="B187" s="86" t="n">
        <v>12166.96746947362</v>
      </c>
      <c r="C187" s="86" t="n">
        <v>9516.031332</v>
      </c>
      <c r="D187" s="86" t="n"/>
      <c r="E187" s="86" t="n"/>
      <c r="F187" s="86" t="n">
        <v>355.6419637389664</v>
      </c>
      <c r="G187" s="86" t="n"/>
      <c r="H187" s="86" t="n">
        <v>972.6623343999445</v>
      </c>
      <c r="I187" s="86" t="n">
        <v>49.89969176367902</v>
      </c>
      <c r="J187" s="86" t="n">
        <v>244.33</v>
      </c>
      <c r="K187" s="86" t="n">
        <v>261.9784322524541</v>
      </c>
      <c r="L187" s="86" t="n"/>
      <c r="M187" s="86" t="n"/>
      <c r="N187" s="86" t="n">
        <v>221.84</v>
      </c>
      <c r="O187" s="86" t="n"/>
      <c r="P187" s="86" t="n">
        <v>30.42688498</v>
      </c>
      <c r="Q187" s="86" t="n">
        <v>40.54</v>
      </c>
      <c r="R187" s="86" t="n">
        <v>43.67</v>
      </c>
      <c r="S187" s="86" t="n">
        <v>106.27</v>
      </c>
      <c r="T187" s="92" t="n">
        <v>1.520870933684203</v>
      </c>
      <c r="U187" s="17" t="inlineStr">
        <is>
          <t>29/01/2026</t>
        </is>
      </c>
      <c r="V187" s="5" t="inlineStr">
        <is>
          <t>12:56:56</t>
        </is>
      </c>
      <c r="W187" s="88">
        <f>IFERROR(Tabela11[[#This Row],[Lucro]]*1/Tabela11[[#This Row],[Capital total]],"")</f>
        <v/>
      </c>
      <c r="X187" s="82">
        <f>Tabela11[[#This Row],[Lucro]]-C186</f>
        <v/>
      </c>
      <c r="Y187" s="69">
        <f>PROPER(TEXT(DATE(2024,MONTH(Tabela11[[#This Row],[Data]]),1),"mmmm"))</f>
        <v/>
      </c>
      <c r="Z187" s="69">
        <f>YEAR(Tabela11[[#This Row],[Data]])</f>
        <v/>
      </c>
      <c r="AA187" s="78">
        <f>Tabela11[[#This Row],[Capital investido]]-A186</f>
        <v/>
      </c>
    </row>
    <row r="188" hidden="1" s="57">
      <c r="A188" s="85" t="n">
        <v>1905.228886703032</v>
      </c>
      <c r="B188" s="86" t="n">
        <v>12169.11221870303</v>
      </c>
      <c r="C188" s="86" t="n">
        <v>9516.031332000002</v>
      </c>
      <c r="D188" s="86" t="n"/>
      <c r="E188" s="86" t="n"/>
      <c r="F188" s="86" t="n">
        <v>247.4434015021534</v>
      </c>
      <c r="G188" s="86" t="n"/>
      <c r="H188" s="86" t="n">
        <v>972.6623343999445</v>
      </c>
      <c r="I188" s="86" t="n">
        <v>52.04444099308822</v>
      </c>
      <c r="J188" s="86" t="n">
        <v>244.38</v>
      </c>
      <c r="K188" s="86" t="n">
        <v>261.5434514591802</v>
      </c>
      <c r="L188" s="86" t="n"/>
      <c r="M188" s="86" t="n"/>
      <c r="N188" s="86" t="n">
        <v>223.36</v>
      </c>
      <c r="O188" s="86" t="n"/>
      <c r="P188" s="86" t="n">
        <v>29.74873016</v>
      </c>
      <c r="Q188" s="86" t="n">
        <v>40.75</v>
      </c>
      <c r="R188" s="86" t="n">
        <v>43.67</v>
      </c>
      <c r="S188" s="86" t="n">
        <v>106.27</v>
      </c>
      <c r="T188" s="92" t="n">
        <v>1.521139027337879</v>
      </c>
      <c r="U188" s="17" t="n">
        <v>46052</v>
      </c>
      <c r="V188" s="5" t="inlineStr">
        <is>
          <t>12:59:36</t>
        </is>
      </c>
      <c r="W188" s="88">
        <f>IFERROR(Tabela11[[#This Row],[Lucro]]*1/Tabela11[[#This Row],[Capital total]],"")</f>
        <v/>
      </c>
      <c r="X188" s="82">
        <f>Tabela11[[#This Row],[Lucro]]-C187</f>
        <v/>
      </c>
      <c r="Y188" s="69">
        <f>PROPER(TEXT(DATE(2024,MONTH(Tabela11[[#This Row],[Data]]),1),"mmmm"))</f>
        <v/>
      </c>
      <c r="Z188" s="69">
        <f>YEAR(Tabela11[[#This Row],[Data]])</f>
        <v/>
      </c>
      <c r="AA188" s="78">
        <f>Tabela11[[#This Row],[Capital investido]]-A187</f>
        <v/>
      </c>
    </row>
    <row r="189">
      <c r="A189" s="85" t="n">
        <v>1909.518422570735</v>
      </c>
      <c r="B189" s="86" t="n">
        <v>13036.30853857074</v>
      </c>
      <c r="C189" s="86" t="n">
        <v>9628.938116000001</v>
      </c>
      <c r="D189" s="86" t="n"/>
      <c r="E189" s="86" t="n"/>
      <c r="F189" s="86" t="n">
        <v>139.24</v>
      </c>
      <c r="G189" s="86" t="n"/>
      <c r="H189" s="86" t="n">
        <v>972.6623343999445</v>
      </c>
      <c r="I189" s="86" t="n">
        <v>56.33397686079025</v>
      </c>
      <c r="J189" s="86" t="n">
        <v>239.56</v>
      </c>
      <c r="K189" s="86" t="n">
        <v>262.8433940597688</v>
      </c>
      <c r="L189" s="86" t="n"/>
      <c r="M189" s="86" t="n"/>
      <c r="N189" s="86" t="n">
        <v>223.6899999999999</v>
      </c>
      <c r="O189" s="86" t="n"/>
      <c r="P189" s="86" t="n">
        <v>27.71179394</v>
      </c>
      <c r="Q189" s="86" t="n">
        <v>40.62</v>
      </c>
      <c r="R189" s="86" t="n">
        <v>43.67</v>
      </c>
      <c r="S189" s="86" t="n">
        <v>106.27</v>
      </c>
      <c r="T189" s="92" t="n">
        <v>1.629538567321342</v>
      </c>
      <c r="U189" s="17" t="inlineStr">
        <is>
          <t>01/02/2026</t>
        </is>
      </c>
      <c r="V189" s="5" t="inlineStr">
        <is>
          <t>20:33:54</t>
        </is>
      </c>
      <c r="W189" s="88">
        <f>IFERROR(Tabela11[[#This Row],[Lucro]]*1/Tabela11[[#This Row],[Capital total]],"")</f>
        <v/>
      </c>
      <c r="X189" s="82">
        <f>Tabela11[[#This Row],[Lucro]]-C188</f>
        <v/>
      </c>
      <c r="Y189" s="69">
        <f>PROPER(TEXT(DATE(2024,MONTH(Tabela11[[#This Row],[Data]]),1),"mmmm"))</f>
        <v/>
      </c>
      <c r="Z189" s="69">
        <f>YEAR(Tabela11[[#This Row],[Data]])</f>
        <v/>
      </c>
      <c r="AA189" s="78">
        <f>Tabela11[[#This Row],[Capital investido]]-A188</f>
        <v/>
      </c>
    </row>
    <row r="190">
      <c r="A190" s="85" t="n">
        <v>1911.67283926534</v>
      </c>
      <c r="B190" s="86" t="n">
        <v>12540.67295526534</v>
      </c>
      <c r="C190" s="86" t="n">
        <v>9628.938116000001</v>
      </c>
      <c r="D190" s="86" t="n"/>
      <c r="E190" s="86" t="n">
        <v>48.65894495028151</v>
      </c>
      <c r="F190" s="86" t="n">
        <v>139.2448392653405</v>
      </c>
      <c r="G190" s="86" t="n"/>
      <c r="H190" s="86" t="n">
        <v>972.6623343999445</v>
      </c>
      <c r="I190" s="86" t="n">
        <v>58.48839355539582</v>
      </c>
      <c r="J190" s="86" t="n">
        <v>239.71</v>
      </c>
      <c r="K190" s="86" t="n">
        <v>263.0333856706241</v>
      </c>
      <c r="L190" s="86" t="n"/>
      <c r="M190" s="86" t="n"/>
      <c r="N190" s="86" t="n">
        <v>219.52</v>
      </c>
      <c r="O190" s="86" t="n"/>
      <c r="P190" s="86" t="n">
        <v>28.40931088</v>
      </c>
      <c r="Q190" s="86" t="n">
        <v>40.8</v>
      </c>
      <c r="R190" s="86" t="n">
        <v>43.67</v>
      </c>
      <c r="S190" s="86" t="n">
        <v>106.27</v>
      </c>
      <c r="T190" s="92" t="n">
        <v>1.567584119408168</v>
      </c>
      <c r="U190" s="17" t="inlineStr">
        <is>
          <t>02/02/2026</t>
        </is>
      </c>
      <c r="V190" s="5" t="inlineStr">
        <is>
          <t>12:59:38</t>
        </is>
      </c>
      <c r="W190" s="88">
        <f>IFERROR(Tabela11[[#This Row],[Lucro]]*1/Tabela11[[#This Row],[Capital total]],"")</f>
        <v/>
      </c>
      <c r="X190" s="82">
        <f>Tabela11[[#This Row],[Lucro]]-C189</f>
        <v/>
      </c>
      <c r="Y190" s="69">
        <f>PROPER(TEXT(DATE(2024,MONTH(Tabela11[[#This Row],[Data]]),1),"mmmm"))</f>
        <v/>
      </c>
      <c r="Z190" s="69">
        <f>YEAR(Tabela11[[#This Row],[Data]])</f>
        <v/>
      </c>
      <c r="AA190" s="78">
        <f>Tabela11[[#This Row],[Capital investido]]-A189</f>
        <v/>
      </c>
    </row>
    <row r="191">
      <c r="A191" s="85" t="n">
        <v>1911.67283926534</v>
      </c>
      <c r="B191" s="86" t="n">
        <v>12540.67295526534</v>
      </c>
      <c r="C191" s="86" t="n">
        <v>9628.938116000001</v>
      </c>
      <c r="D191" s="86" t="n"/>
      <c r="E191" s="86" t="n">
        <v>48.65894495028151</v>
      </c>
      <c r="F191" s="86" t="n">
        <v>139.2448392653405</v>
      </c>
      <c r="G191" s="86" t="n"/>
      <c r="H191" s="86" t="n">
        <v>972.6623343999445</v>
      </c>
      <c r="I191" s="86" t="n">
        <v>58.48839355539582</v>
      </c>
      <c r="J191" s="86" t="n">
        <v>240.39</v>
      </c>
      <c r="K191" s="86" t="n">
        <v>263.0083867744588</v>
      </c>
      <c r="L191" s="86" t="n"/>
      <c r="M191" s="86" t="n"/>
      <c r="N191" s="86" t="n">
        <v>218.57</v>
      </c>
      <c r="O191" s="86" t="n"/>
      <c r="P191" s="86" t="n">
        <v>28.35060658</v>
      </c>
      <c r="Q191" s="86" t="n">
        <v>40.75</v>
      </c>
      <c r="R191" s="86" t="n">
        <v>43.67</v>
      </c>
      <c r="S191" s="86" t="n">
        <v>106.27</v>
      </c>
      <c r="T191" s="92" t="n">
        <v>1.567584119408168</v>
      </c>
      <c r="U191" s="17" t="inlineStr">
        <is>
          <t>02/02/2026</t>
        </is>
      </c>
      <c r="V191" s="5" t="inlineStr">
        <is>
          <t>19:03:52</t>
        </is>
      </c>
      <c r="W191" s="88">
        <f>IFERROR(Tabela11[[#This Row],[Lucro]]*1/Tabela11[[#This Row],[Capital total]],"")</f>
        <v/>
      </c>
      <c r="X191" s="82">
        <f>Tabela11[[#This Row],[Lucro]]-C190</f>
        <v/>
      </c>
      <c r="Y191" s="69">
        <f>PROPER(TEXT(DATE(2024,MONTH(Tabela11[[#This Row],[Data]]),1),"mmmm"))</f>
        <v/>
      </c>
      <c r="Z191" s="69">
        <f>YEAR(Tabela11[[#This Row],[Data]])</f>
        <v/>
      </c>
      <c r="AA191" s="78">
        <f>Tabela11[[#This Row],[Capital investido]]-A190</f>
        <v/>
      </c>
    </row>
    <row r="192">
      <c r="A192" s="85" t="n">
        <v>1913.831564793335</v>
      </c>
      <c r="B192" s="86" t="n">
        <v>12542.88168079334</v>
      </c>
      <c r="C192" s="86" t="n">
        <v>9628.938116000001</v>
      </c>
      <c r="D192" s="86" t="n"/>
      <c r="E192" s="86" t="n">
        <v>48.65894495028151</v>
      </c>
      <c r="F192" s="86" t="n">
        <v>141.4535647933353</v>
      </c>
      <c r="G192" s="86" t="n"/>
      <c r="H192" s="86" t="n">
        <v>972.7123343999446</v>
      </c>
      <c r="I192" s="86" t="n">
        <v>60.64711908339061</v>
      </c>
      <c r="J192" s="86" t="n">
        <v>245.64</v>
      </c>
      <c r="K192" s="86" t="n">
        <v>261.9234346808907</v>
      </c>
      <c r="L192" s="86" t="n"/>
      <c r="M192" s="86" t="n"/>
      <c r="N192" s="86" t="n">
        <v>220.13</v>
      </c>
      <c r="O192" s="86" t="n"/>
      <c r="P192" s="86" t="n">
        <v>27.2892603</v>
      </c>
      <c r="Q192" s="86" t="n">
        <v>40.39</v>
      </c>
      <c r="R192" s="86" t="n">
        <v>43.67</v>
      </c>
      <c r="S192" s="86" t="n">
        <v>106.27</v>
      </c>
      <c r="T192" s="92" t="n">
        <v>1.567860210099167</v>
      </c>
      <c r="U192" s="17" t="inlineStr">
        <is>
          <t>03/02/2026</t>
        </is>
      </c>
      <c r="V192" s="5" t="inlineStr">
        <is>
          <t>20:29:49</t>
        </is>
      </c>
      <c r="W192" s="88">
        <f>IFERROR(Tabela11[[#This Row],[Lucro]]*1/Tabela11[[#This Row],[Capital total]],"")</f>
        <v/>
      </c>
      <c r="X192" s="82">
        <f>Tabela11[[#This Row],[Lucro]]-C191</f>
        <v/>
      </c>
      <c r="Y192" s="69">
        <f>PROPER(TEXT(DATE(2024,MONTH(Tabela11[[#This Row],[Data]]),1),"mmmm"))</f>
        <v/>
      </c>
      <c r="Z192" s="69">
        <f>YEAR(Tabela11[[#This Row],[Data]])</f>
        <v/>
      </c>
      <c r="AA192" s="78">
        <f>Tabela11[[#This Row],[Capital investido]]-A191</f>
        <v/>
      </c>
    </row>
    <row r="193">
      <c r="A193" s="77" t="n">
        <v>1913.831564793335</v>
      </c>
      <c r="B193" s="78" t="n">
        <v>12542.88168079334</v>
      </c>
      <c r="C193" s="78" t="n">
        <v>9628.938116000001</v>
      </c>
      <c r="D193" s="78" t="n"/>
      <c r="E193" s="78" t="n">
        <v>48.00859618192464</v>
      </c>
      <c r="F193" s="78" t="n">
        <v>141.4535647933353</v>
      </c>
      <c r="G193" s="78" t="n"/>
      <c r="H193" s="78" t="n">
        <v>972.7123343999446</v>
      </c>
      <c r="I193" s="86" t="n">
        <v>60.64711908339061</v>
      </c>
      <c r="J193" s="78" t="n">
        <v>245.64</v>
      </c>
      <c r="K193" s="78" t="n">
        <v>261.9234346808907</v>
      </c>
      <c r="L193" s="78" t="n"/>
      <c r="M193" s="78" t="n"/>
      <c r="N193" s="78" t="n">
        <v>220.13</v>
      </c>
      <c r="O193" s="78" t="n"/>
      <c r="P193" s="78" t="n">
        <v>27.27875532</v>
      </c>
      <c r="Q193" s="78" t="n">
        <v>40.39</v>
      </c>
      <c r="R193" s="78" t="n">
        <v>43.67</v>
      </c>
      <c r="S193" s="86" t="n">
        <v>106.27</v>
      </c>
      <c r="T193" s="80" t="n">
        <v>1.567860210099167</v>
      </c>
      <c r="U193" s="18" t="inlineStr">
        <is>
          <t>03/02/2026</t>
        </is>
      </c>
      <c r="V193" s="4" t="inlineStr">
        <is>
          <t>21:59:47</t>
        </is>
      </c>
      <c r="W193" s="81">
        <f>IFERROR(Tabela11[[#This Row],[Lucro]]*1/Tabela11[[#This Row],[Capital total]],"")</f>
        <v/>
      </c>
      <c r="X193" s="82">
        <f>Tabela11[[#This Row],[Lucro]]-C192</f>
        <v/>
      </c>
      <c r="Y193" s="65">
        <f>PROPER(TEXT(DATE(2024,MONTH(Tabela11[[#This Row],[Data]]),1),"mmmm"))</f>
        <v/>
      </c>
      <c r="Z193" s="65">
        <f>YEAR(Tabela11[[#This Row],[Data]])</f>
        <v/>
      </c>
      <c r="AA193" s="78">
        <f>Tabela11[[#This Row],[Capital investido]]-A192</f>
        <v/>
      </c>
    </row>
    <row r="194" hidden="1" s="57">
      <c r="A194" s="85" t="n">
        <v>1915.994607772386</v>
      </c>
      <c r="B194" s="86" t="n">
        <v>12545.04472377239</v>
      </c>
      <c r="C194" s="86" t="n">
        <v>9628.938116000001</v>
      </c>
      <c r="D194" s="86" t="n"/>
      <c r="E194" s="86" t="n">
        <v>48.00859618192464</v>
      </c>
      <c r="F194" s="86" t="n">
        <v>143.6166077723865</v>
      </c>
      <c r="G194" s="86" t="n"/>
      <c r="H194" s="86" t="n">
        <v>972.7123343999446</v>
      </c>
      <c r="I194" s="90" t="n">
        <v>62.81016206244138</v>
      </c>
      <c r="J194" s="86" t="n">
        <v>243.18</v>
      </c>
      <c r="K194" s="86" t="n">
        <v>261.9384340185898</v>
      </c>
      <c r="L194" s="86" t="n"/>
      <c r="M194" s="86" t="n"/>
      <c r="N194" s="86" t="n">
        <v>220.12</v>
      </c>
      <c r="O194" s="86" t="n"/>
      <c r="P194" s="86" t="n">
        <v>26.30000702</v>
      </c>
      <c r="Q194" s="86" t="n">
        <v>40.31</v>
      </c>
      <c r="R194" s="86" t="n">
        <v>43.67</v>
      </c>
      <c r="S194" s="90" t="n">
        <v>106.27</v>
      </c>
      <c r="T194" s="92" t="n">
        <v>1.568130590471548</v>
      </c>
      <c r="U194" s="17" t="n">
        <v>46057</v>
      </c>
      <c r="V194" s="5" t="inlineStr">
        <is>
          <t>20:29:38</t>
        </is>
      </c>
      <c r="W194" s="88">
        <f>IFERROR(Tabela11[[#This Row],[Lucro]]*1/Tabela11[[#This Row],[Capital total]],"")</f>
        <v/>
      </c>
      <c r="X194" s="82">
        <f>Tabela11[[#This Row],[Lucro]]-C193</f>
        <v/>
      </c>
      <c r="Y194" s="69">
        <f>PROPER(TEXT(DATE(2024,MONTH(Tabela11[[#This Row],[Data]]),1),"mmmm"))</f>
        <v/>
      </c>
      <c r="Z194" s="69">
        <f>YEAR(Tabela11[[#This Row],[Data]])</f>
        <v/>
      </c>
      <c r="AA194" s="78">
        <f>Tabela11[[#This Row],[Capital investido]]-A193</f>
        <v/>
      </c>
    </row>
    <row r="195" hidden="1" s="57">
      <c r="A195" s="85" t="n">
        <v>1915.994607772386</v>
      </c>
      <c r="B195" s="86" t="n">
        <v>12545.04472377239</v>
      </c>
      <c r="C195" s="86" t="n">
        <v>9628.938116000001</v>
      </c>
      <c r="D195" s="86" t="n"/>
      <c r="E195" s="86" t="n">
        <v>48.00859618192464</v>
      </c>
      <c r="F195" s="86" t="n">
        <v>143.6166077723865</v>
      </c>
      <c r="G195" s="86" t="n"/>
      <c r="H195" s="86" t="n">
        <v>972.7123343999446</v>
      </c>
      <c r="I195" s="86" t="n">
        <v>62.81016206244138</v>
      </c>
      <c r="J195" s="86" t="n">
        <v>243.18</v>
      </c>
      <c r="K195" s="86" t="n">
        <v>261.9384340185898</v>
      </c>
      <c r="L195" s="86" t="n"/>
      <c r="M195" s="86" t="n"/>
      <c r="N195" s="86" t="n">
        <v>220.12</v>
      </c>
      <c r="O195" s="86" t="n"/>
      <c r="P195" s="86" t="n">
        <v>26.30000702</v>
      </c>
      <c r="Q195" s="86" t="n">
        <v>40.31</v>
      </c>
      <c r="R195" s="86" t="n">
        <v>43.67</v>
      </c>
      <c r="S195" s="86" t="n">
        <v>106.27</v>
      </c>
      <c r="T195" s="92" t="n">
        <v>1.568130590471548</v>
      </c>
      <c r="U195" s="17" t="n">
        <v>46057</v>
      </c>
      <c r="V195" s="5" t="inlineStr">
        <is>
          <t>20:32:54</t>
        </is>
      </c>
      <c r="W195" s="88">
        <f>IFERROR(Tabela11[[#This Row],[Lucro]]*1/Tabela11[[#This Row],[Capital total]],"")</f>
        <v/>
      </c>
      <c r="X195" s="82">
        <f>Tabela11[[#This Row],[Lucro]]-C194</f>
        <v/>
      </c>
      <c r="Y195" s="69">
        <f>PROPER(TEXT(DATE(2024,MONTH(Tabela11[[#This Row],[Data]]),1),"mmmm"))</f>
        <v/>
      </c>
      <c r="Z195" s="69">
        <f>YEAR(Tabela11[[#This Row],[Data]])</f>
        <v/>
      </c>
      <c r="AA195" s="78">
        <f>Tabela11[[#This Row],[Capital investido]]-A194</f>
        <v/>
      </c>
    </row>
    <row r="196" hidden="1" s="57">
      <c r="A196" s="85" t="n">
        <v>1915.994607772386</v>
      </c>
      <c r="B196" s="86" t="n">
        <v>12545.04472377239</v>
      </c>
      <c r="C196" s="86" t="n">
        <v>9628.938116000001</v>
      </c>
      <c r="D196" s="86" t="n"/>
      <c r="E196" s="86" t="n">
        <v>48.00859618192464</v>
      </c>
      <c r="F196" s="86" t="n">
        <v>143.6166077723865</v>
      </c>
      <c r="G196" s="86" t="n"/>
      <c r="H196" s="86" t="n">
        <v>972.7123343999446</v>
      </c>
      <c r="I196" s="86" t="n">
        <v>62.81016206244138</v>
      </c>
      <c r="J196" s="86" t="n">
        <v>243.18</v>
      </c>
      <c r="K196" s="86" t="n">
        <v>261.9384340185898</v>
      </c>
      <c r="L196" s="86" t="n"/>
      <c r="M196" s="86" t="n"/>
      <c r="N196" s="86" t="n">
        <v>220.12</v>
      </c>
      <c r="O196" s="86" t="n"/>
      <c r="P196" s="86" t="n">
        <v>26.30000702</v>
      </c>
      <c r="Q196" s="86" t="n">
        <v>40.31</v>
      </c>
      <c r="R196" s="86" t="n">
        <v>43.67</v>
      </c>
      <c r="S196" s="86" t="n">
        <v>106.27</v>
      </c>
      <c r="T196" s="92" t="n">
        <v>1.568130590471548</v>
      </c>
      <c r="U196" s="17" t="n">
        <v>46057</v>
      </c>
      <c r="V196" s="5" t="inlineStr">
        <is>
          <t>20:34:11</t>
        </is>
      </c>
      <c r="W196" s="88">
        <f>IFERROR(Tabela11[[#This Row],[Lucro]]*1/Tabela11[[#This Row],[Capital total]],"")</f>
        <v/>
      </c>
      <c r="X196" s="82">
        <f>Tabela11[[#This Row],[Lucro]]-C195</f>
        <v/>
      </c>
      <c r="Y196" s="69">
        <f>PROPER(TEXT(DATE(2024,MONTH(Tabela11[[#This Row],[Data]]),1),"mmmm"))</f>
        <v/>
      </c>
      <c r="Z196" s="69">
        <f>YEAR(Tabela11[[#This Row],[Data]])</f>
        <v/>
      </c>
      <c r="AA196" s="78">
        <f>Tabela11[[#This Row],[Capital investido]]-A195</f>
        <v/>
      </c>
    </row>
    <row r="197" hidden="1" s="57">
      <c r="A197" s="85" t="n">
        <v>1920.333680640533</v>
      </c>
      <c r="B197" s="86" t="n">
        <v>11718.14998733333</v>
      </c>
      <c r="C197" s="86">
        <f>Tabela11[[#This Row],[Capital total]]-Tabela11[[#This Row],[Capital investido]]</f>
        <v/>
      </c>
      <c r="D197" s="86" t="n"/>
      <c r="E197" s="86" t="n">
        <v>48.01869236730233</v>
      </c>
      <c r="F197" s="86" t="n">
        <v>409.9456806405342</v>
      </c>
      <c r="G197" s="86" t="n"/>
      <c r="H197" s="86" t="n">
        <v>972.7323343999445</v>
      </c>
      <c r="I197" s="86" t="n">
        <v>67.14923493058915</v>
      </c>
      <c r="J197" s="86" t="n">
        <v>237.61</v>
      </c>
      <c r="K197" s="86" t="n">
        <v>261.2334651467322</v>
      </c>
      <c r="L197" s="86" t="n"/>
      <c r="M197" s="86" t="n"/>
      <c r="N197" s="86" t="n">
        <v>220.88</v>
      </c>
      <c r="O197" s="86" t="n"/>
      <c r="P197" s="86" t="n">
        <v>24.45078724</v>
      </c>
      <c r="Q197" s="86" t="n">
        <v>40.3</v>
      </c>
      <c r="R197" s="86" t="n">
        <v>43.67</v>
      </c>
      <c r="S197" s="86" t="n">
        <v>106.27</v>
      </c>
      <c r="T197" s="92">
        <f>Tabela11[[#This Row],[Capital total]]/8000</f>
        <v/>
      </c>
      <c r="U197" s="17" t="n">
        <v>46059</v>
      </c>
      <c r="V197" s="5" t="inlineStr">
        <is>
          <t>12:22:28</t>
        </is>
      </c>
      <c r="W197" s="88">
        <f>IFERROR(Tabela11[[#This Row],[Lucro]]*1/Tabela11[[#This Row],[Capital total]],"")</f>
        <v/>
      </c>
      <c r="X197" s="82">
        <f>Tabela11[[#This Row],[Lucro]]-C196</f>
        <v/>
      </c>
      <c r="Y197" s="69">
        <f>PROPER(TEXT(DATE(2024,MONTH(Tabela11[[#This Row],[Data]]),1),"mmmm"))</f>
        <v/>
      </c>
      <c r="Z197" s="69">
        <f>YEAR(Tabela11[[#This Row],[Data]])</f>
        <v/>
      </c>
      <c r="AA197" s="78">
        <f>Tabela11[[#This Row],[Capital investido]]-A196</f>
        <v/>
      </c>
    </row>
    <row r="198" hidden="1" s="57">
      <c r="A198" s="77" t="n">
        <v>1920.333680640533</v>
      </c>
      <c r="B198" s="78" t="n">
        <v>12178.09566797387</v>
      </c>
      <c r="C198" s="78" t="n">
        <v>8945.659987333334</v>
      </c>
      <c r="D198" s="78" t="n"/>
      <c r="E198" s="78" t="n">
        <v>96.41081360966109</v>
      </c>
      <c r="F198" s="78" t="n">
        <v>459.9456806405342</v>
      </c>
      <c r="G198" s="78" t="n"/>
      <c r="H198" s="78" t="n">
        <v>972.7323343999445</v>
      </c>
      <c r="I198" s="86" t="n">
        <v>67.14923493058915</v>
      </c>
      <c r="J198" s="78" t="n">
        <v>237.79</v>
      </c>
      <c r="K198" s="78" t="n">
        <v>260.8184834703904</v>
      </c>
      <c r="L198" s="78" t="n"/>
      <c r="M198" s="78" t="n"/>
      <c r="N198" s="78" t="n">
        <v>220.87</v>
      </c>
      <c r="O198" s="78" t="n"/>
      <c r="P198" s="78" t="n">
        <v>25.34089548</v>
      </c>
      <c r="Q198" s="78" t="n">
        <v>40.5</v>
      </c>
      <c r="R198" s="78" t="n">
        <v>43.67</v>
      </c>
      <c r="S198" s="86" t="n">
        <v>106.27</v>
      </c>
      <c r="T198" s="80" t="n">
        <v>1.522261958496734</v>
      </c>
      <c r="U198" s="18" t="n">
        <v>46061</v>
      </c>
      <c r="V198" s="4" t="inlineStr">
        <is>
          <t>19:11:08</t>
        </is>
      </c>
      <c r="W198" s="81">
        <f>IFERROR(Tabela11[[#This Row],[Lucro]]*1/Tabela11[[#This Row],[Capital total]],"")</f>
        <v/>
      </c>
      <c r="X198" s="82">
        <f>Tabela11[[#This Row],[Lucro]]-C197</f>
        <v/>
      </c>
      <c r="Y198" s="65">
        <f>PROPER(TEXT(DATE(2024,MONTH(Tabela11[[#This Row],[Data]]),1),"mmmm"))</f>
        <v/>
      </c>
      <c r="Z198" s="65">
        <f>YEAR(Tabela11[[#This Row],[Data]])</f>
        <v/>
      </c>
      <c r="AA198" s="78">
        <f>Tabela11[[#This Row],[Capital investido]]-A197</f>
        <v/>
      </c>
    </row>
    <row r="199" hidden="1" s="57">
      <c r="A199" s="85" t="n">
        <v>1924.690127156445</v>
      </c>
      <c r="B199" s="86" t="n">
        <v>22105.64365451555</v>
      </c>
      <c r="C199" s="86" t="n">
        <v>9926.119140025772</v>
      </c>
      <c r="D199" s="86" t="n"/>
      <c r="E199" s="86" t="n">
        <v>191.3085685436675</v>
      </c>
      <c r="F199" s="86" t="n">
        <v>264.772127156446</v>
      </c>
      <c r="G199" s="86" t="n"/>
      <c r="H199" s="86" t="n">
        <v>972.6823343999445</v>
      </c>
      <c r="I199" s="90" t="n">
        <v>71.50568144650097</v>
      </c>
      <c r="J199" s="86" t="n">
        <v>237.79</v>
      </c>
      <c r="K199" s="86" t="n">
        <v>260.8184834703904</v>
      </c>
      <c r="L199" s="86" t="n"/>
      <c r="M199" s="86" t="n"/>
      <c r="N199" s="86" t="n">
        <v>220.87</v>
      </c>
      <c r="O199" s="86" t="n"/>
      <c r="P199" s="86" t="n">
        <v>25.45651892</v>
      </c>
      <c r="Q199" s="86" t="n">
        <v>40.5</v>
      </c>
      <c r="R199" s="86" t="n">
        <v>43.67</v>
      </c>
      <c r="S199" s="90" t="n">
        <v>106.27</v>
      </c>
      <c r="T199" s="92" t="n">
        <v>2.763205456814444</v>
      </c>
      <c r="U199" s="17" t="n">
        <v>46061</v>
      </c>
      <c r="V199" s="5" t="inlineStr">
        <is>
          <t>20:11:27</t>
        </is>
      </c>
      <c r="W199" s="88">
        <f>IFERROR(Tabela11[[#This Row],[Lucro]]*1/Tabela11[[#This Row],[Capital total]],"")</f>
        <v/>
      </c>
      <c r="X199" s="82">
        <f>Tabela11[[#This Row],[Lucro]]-C198</f>
        <v/>
      </c>
      <c r="Y199" s="69">
        <f>PROPER(TEXT(DATE(2024,MONTH(Tabela11[[#This Row],[Data]]),1),"mmmm"))</f>
        <v/>
      </c>
      <c r="Z199" s="69">
        <f>YEAR(Tabela11[[#This Row],[Data]])</f>
        <v/>
      </c>
      <c r="AA199" s="78">
        <f>Tabela11[[#This Row],[Capital investido]]-A198</f>
        <v/>
      </c>
    </row>
    <row r="200">
      <c r="A200" s="85" t="n">
        <v>1926.874887260222</v>
      </c>
      <c r="B200" s="86" t="n">
        <v>22107.82841461933</v>
      </c>
      <c r="C200" s="86" t="n">
        <v>9926.119140025776</v>
      </c>
      <c r="D200" s="86" t="n"/>
      <c r="E200" s="86" t="n">
        <v>191.3294527367432</v>
      </c>
      <c r="F200" s="86" t="n">
        <v>266.9568872602231</v>
      </c>
      <c r="G200" s="86" t="n"/>
      <c r="H200" s="86" t="n">
        <v>972.6823343999445</v>
      </c>
      <c r="I200" s="86" t="n">
        <v>73.69044155027797</v>
      </c>
      <c r="J200" s="86" t="n">
        <v>237.87</v>
      </c>
      <c r="K200" s="86" t="n">
        <v>259.0635609595959</v>
      </c>
      <c r="L200" s="86" t="n"/>
      <c r="M200" s="86" t="n"/>
      <c r="N200" s="86" t="n">
        <v>220.99</v>
      </c>
      <c r="O200" s="86" t="n"/>
      <c r="P200" s="86" t="n">
        <v>24.68148484</v>
      </c>
      <c r="Q200" s="86" t="n">
        <v>40.44</v>
      </c>
      <c r="R200" s="86" t="n">
        <v>43.67</v>
      </c>
      <c r="S200" s="86" t="n">
        <v>106.27</v>
      </c>
      <c r="T200" s="92" t="n">
        <v>2.763478551827417</v>
      </c>
      <c r="U200" s="17" t="inlineStr">
        <is>
          <t>09/02/2026</t>
        </is>
      </c>
      <c r="V200" s="5" t="inlineStr">
        <is>
          <t>12:54:06</t>
        </is>
      </c>
      <c r="W200" s="88">
        <f>IFERROR(Tabela11[[#This Row],[Lucro]]*1/Tabela11[[#This Row],[Capital total]],"")</f>
        <v/>
      </c>
      <c r="X200" s="82">
        <f>Tabela11[[#This Row],[Lucro]]-C199</f>
        <v/>
      </c>
      <c r="Y200" s="69">
        <f>PROPER(TEXT(DATE(2024,MONTH(Tabela11[[#This Row],[Data]]),1),"mmmm"))</f>
        <v/>
      </c>
      <c r="Z200" s="69">
        <f>YEAR(Tabela11[[#This Row],[Data]])</f>
        <v/>
      </c>
      <c r="AA200" s="78">
        <f>Tabela11[[#This Row],[Capital investido]]-A199</f>
        <v/>
      </c>
    </row>
    <row r="201">
      <c r="A201" s="85" t="n">
        <v>1929.064016884207</v>
      </c>
      <c r="B201" s="86" t="n">
        <v>22110.03754424331</v>
      </c>
      <c r="C201" s="86" t="n">
        <v>9926.119140025772</v>
      </c>
      <c r="D201" s="86" t="n"/>
      <c r="E201" s="86" t="n">
        <v>191.350569878857</v>
      </c>
      <c r="F201" s="86" t="n">
        <v>269.1660168842081</v>
      </c>
      <c r="G201" s="86" t="n"/>
      <c r="H201" s="86" t="n">
        <v>972.6823343999445</v>
      </c>
      <c r="I201" s="86" t="n">
        <v>75.87957117426251</v>
      </c>
      <c r="J201" s="86" t="n">
        <v>242.7</v>
      </c>
      <c r="K201" s="86" t="n">
        <v>260.1035150400668</v>
      </c>
      <c r="L201" s="86" t="n"/>
      <c r="M201" s="86" t="n"/>
      <c r="N201" s="86" t="n">
        <v>220.87</v>
      </c>
      <c r="O201" s="86" t="n"/>
      <c r="P201" s="86" t="n">
        <v>24.69913046</v>
      </c>
      <c r="Q201" s="86" t="n">
        <v>40.82</v>
      </c>
      <c r="R201" s="86" t="n">
        <v>43.67</v>
      </c>
      <c r="S201" s="86" t="n">
        <v>106.27</v>
      </c>
      <c r="T201" s="92" t="n">
        <v>2.763754693030414</v>
      </c>
      <c r="U201" s="17" t="inlineStr">
        <is>
          <t>10/02/2026</t>
        </is>
      </c>
      <c r="V201" s="5" t="inlineStr">
        <is>
          <t>12:49:27</t>
        </is>
      </c>
      <c r="W201" s="88">
        <f>IFERROR(Tabela11[[#This Row],[Lucro]]*1/Tabela11[[#This Row],[Capital total]],"")</f>
        <v/>
      </c>
      <c r="X201" s="82">
        <f>Tabela11[[#This Row],[Lucro]]-C200</f>
        <v/>
      </c>
      <c r="Y201" s="69">
        <f>PROPER(TEXT(DATE(2024,MONTH(Tabela11[[#This Row],[Data]]),1),"mmmm"))</f>
        <v/>
      </c>
      <c r="Z201" s="69">
        <f>YEAR(Tabela11[[#This Row],[Data]])</f>
        <v/>
      </c>
      <c r="AA201" s="78">
        <f>Tabela11[[#This Row],[Capital investido]]-A200</f>
        <v/>
      </c>
    </row>
    <row r="202">
      <c r="A202" s="77" t="n">
        <v>1929.064016884207</v>
      </c>
      <c r="B202" s="78" t="n">
        <v>22110.03754424331</v>
      </c>
      <c r="C202" s="78" t="n">
        <v>9926.119140025772</v>
      </c>
      <c r="D202" s="78" t="n"/>
      <c r="E202" s="78" t="n">
        <v>191.350569878857</v>
      </c>
      <c r="F202" s="78" t="n">
        <v>269.1660168842081</v>
      </c>
      <c r="G202" s="78" t="n"/>
      <c r="H202" s="78" t="n">
        <v>972.6823343999445</v>
      </c>
      <c r="I202" s="86" t="n">
        <v>75.87957117426251</v>
      </c>
      <c r="J202" s="78" t="n">
        <v>242.2</v>
      </c>
      <c r="K202" s="78" t="n">
        <v>260.0085192346392</v>
      </c>
      <c r="L202" s="78" t="n"/>
      <c r="M202" s="78" t="n"/>
      <c r="N202" s="78" t="n">
        <v>220.84</v>
      </c>
      <c r="O202" s="78" t="n"/>
      <c r="P202" s="78" t="n">
        <v>24.74382812</v>
      </c>
      <c r="Q202" s="78" t="n">
        <v>40.77</v>
      </c>
      <c r="R202" s="78" t="n">
        <v>43.67</v>
      </c>
      <c r="S202" s="86" t="n">
        <v>106.27</v>
      </c>
      <c r="T202" s="80" t="n">
        <v>2.763754693030414</v>
      </c>
      <c r="U202" s="18" t="inlineStr">
        <is>
          <t>11/02/2026</t>
        </is>
      </c>
      <c r="V202" s="4" t="inlineStr">
        <is>
          <t>12:09:36</t>
        </is>
      </c>
      <c r="W202" s="81">
        <f>IFERROR(Tabela11[[#This Row],[Lucro]]*1/Tabela11[[#This Row],[Capital total]],"")</f>
        <v/>
      </c>
      <c r="X202" s="82">
        <f>Tabela11[[#This Row],[Lucro]]-C201</f>
        <v/>
      </c>
      <c r="Y202" s="65">
        <f>PROPER(TEXT(DATE(2024,MONTH(Tabela11[[#This Row],[Data]]),1),"mmmm"))</f>
        <v/>
      </c>
      <c r="Z202" s="65">
        <f>YEAR(Tabela11[[#This Row],[Data]])</f>
        <v/>
      </c>
      <c r="AA202" s="78">
        <f>Tabela11[[#This Row],[Capital investido]]-A201</f>
        <v/>
      </c>
    </row>
    <row r="203">
      <c r="A203" s="85" t="n">
        <v>1931.257524767439</v>
      </c>
      <c r="B203" s="86" t="n">
        <v>22112.25105212655</v>
      </c>
      <c r="C203" s="86" t="n">
        <v>9926.119140025774</v>
      </c>
      <c r="D203" s="86" t="n"/>
      <c r="E203" s="86" t="n">
        <v>191.3717288728939</v>
      </c>
      <c r="F203" s="86" t="n">
        <v>271.3795247674416</v>
      </c>
      <c r="G203" s="86" t="n"/>
      <c r="H203" s="86" t="n">
        <v>972.6823343999445</v>
      </c>
      <c r="I203" s="90" t="n">
        <v>78.07307905749502</v>
      </c>
      <c r="J203" s="86" t="n">
        <v>246.38</v>
      </c>
      <c r="K203" s="86" t="n">
        <v>259.2885510250824</v>
      </c>
      <c r="L203" s="86" t="n"/>
      <c r="M203" s="86" t="n"/>
      <c r="N203" s="86" t="n">
        <v>220.58</v>
      </c>
      <c r="O203" s="86" t="n"/>
      <c r="P203" s="86" t="n">
        <v>23.68557154</v>
      </c>
      <c r="Q203" s="86" t="n">
        <v>40.52</v>
      </c>
      <c r="R203" s="86" t="n">
        <v>43.67</v>
      </c>
      <c r="S203" s="90" t="n">
        <v>106.27</v>
      </c>
      <c r="T203" s="92" t="n">
        <v>2.764031381515819</v>
      </c>
      <c r="U203" s="17" t="inlineStr">
        <is>
          <t>11/02/2026</t>
        </is>
      </c>
      <c r="V203" s="5" t="inlineStr">
        <is>
          <t>13:00:54</t>
        </is>
      </c>
      <c r="W203" s="88">
        <f>IFERROR(Tabela11[[#This Row],[Lucro]]*1/Tabela11[[#This Row],[Capital total]],"")</f>
        <v/>
      </c>
      <c r="X203" s="82">
        <f>Tabela11[[#This Row],[Lucro]]-C202</f>
        <v/>
      </c>
      <c r="Y203" s="69">
        <f>PROPER(TEXT(DATE(2024,MONTH(Tabela11[[#This Row],[Data]]),1),"mmmm"))</f>
        <v/>
      </c>
      <c r="Z203" s="69">
        <f>YEAR(Tabela11[[#This Row],[Data]])</f>
        <v/>
      </c>
      <c r="AA203" s="78">
        <f>Tabela11[[#This Row],[Capital investido]]-A202</f>
        <v/>
      </c>
    </row>
    <row r="204">
      <c r="A204" t="n">
        <v>1931.257524767439</v>
      </c>
      <c r="B204" t="n">
        <v>21992.25105212655</v>
      </c>
      <c r="C204" t="n">
        <v>9926.119140025774</v>
      </c>
      <c r="E204" t="n">
        <v>60.13634016900517</v>
      </c>
      <c r="F204" t="n">
        <v>151.3795247674416</v>
      </c>
      <c r="H204" t="n">
        <v>972.6823343999445</v>
      </c>
      <c r="I204" t="n">
        <v>78.07307905749502</v>
      </c>
      <c r="J204" t="n">
        <v>248.74</v>
      </c>
      <c r="K204" t="n">
        <v>258.4485881139329</v>
      </c>
      <c r="N204" t="n">
        <v>221.2</v>
      </c>
      <c r="P204" t="n">
        <v>23.80050838</v>
      </c>
      <c r="Q204" t="n">
        <v>40.41</v>
      </c>
      <c r="R204" t="n">
        <v>43.67</v>
      </c>
      <c r="S204" t="n">
        <v>106.27</v>
      </c>
      <c r="T204" t="n">
        <v>2.749031381515819</v>
      </c>
      <c r="U204" t="inlineStr">
        <is>
          <t>12/02/2026</t>
        </is>
      </c>
      <c r="V204" t="inlineStr">
        <is>
          <t>13:07:22</t>
        </is>
      </c>
    </row>
    <row r="205">
      <c r="A205" t="n">
        <v>1931.257524767439</v>
      </c>
      <c r="B205" t="n">
        <v>21992.25105212655</v>
      </c>
      <c r="C205" t="n">
        <v>9926.119140025774</v>
      </c>
      <c r="E205" t="n">
        <v>60.13634016900517</v>
      </c>
      <c r="F205" t="n">
        <v>151.3795247674416</v>
      </c>
      <c r="H205" t="n">
        <v>972.6823343999445</v>
      </c>
      <c r="I205" t="n">
        <v>78.07307905749502</v>
      </c>
      <c r="J205" t="n">
        <v>239.84</v>
      </c>
      <c r="K205" t="n">
        <v>261.7334430700354</v>
      </c>
      <c r="N205" t="n">
        <v>222.14</v>
      </c>
      <c r="P205" t="n">
        <v>24.6503132</v>
      </c>
      <c r="Q205" t="n">
        <v>40.45</v>
      </c>
      <c r="R205" t="n">
        <v>43.67</v>
      </c>
      <c r="S205" t="n">
        <v>106.27</v>
      </c>
      <c r="T205" t="n">
        <v>2.749031381515819</v>
      </c>
      <c r="U205" t="inlineStr">
        <is>
          <t>13/02/2026</t>
        </is>
      </c>
      <c r="V205" t="inlineStr">
        <is>
          <t>12:58:32</t>
        </is>
      </c>
    </row>
  </sheetData>
  <mergeCells count="1">
    <mergeCell ref="A1:U2"/>
  </mergeCells>
  <conditionalFormatting sqref="H5:I20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J5:J20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L5:L20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R5:S158 S159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S5:S203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S150:S17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T5:T203">
    <cfRule type="dataBar" priority="24">
      <dataBar>
        <cfvo type="min"/>
        <cfvo type="max"/>
        <color rgb="FF638EC6"/>
      </dataBar>
    </cfRule>
    <cfRule type="top10" rank="10" priority="25" dxfId="8" percent="1"/>
    <cfRule type="iconSet" priority="26">
      <iconSet iconSet="3Arrows">
        <cfvo type="percent" val="0"/>
        <cfvo type="percent" val="33"/>
        <cfvo type="percent" val="67"/>
      </iconSet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F144"/>
  <sheetViews>
    <sheetView zoomScale="70" zoomScaleNormal="70" workbookViewId="0">
      <selection activeCell="F21" sqref="F21"/>
    </sheetView>
  </sheetViews>
  <sheetFormatPr baseColWidth="8" defaultRowHeight="15"/>
  <cols>
    <col width="24" bestFit="1" customWidth="1" style="57" min="1" max="1"/>
    <col width="27.85546875" bestFit="1" customWidth="1" style="57" min="2" max="2"/>
    <col width="18.5703125" bestFit="1" customWidth="1" style="57" min="3" max="3"/>
    <col width="24" bestFit="1" customWidth="1" style="57" min="4" max="4"/>
    <col width="31.140625" bestFit="1" customWidth="1" style="57" min="5" max="5"/>
    <col width="30.7109375" bestFit="1" customWidth="1" style="57" min="6" max="6"/>
    <col width="25" bestFit="1" customWidth="1" style="57" min="7" max="7"/>
    <col width="18.42578125" bestFit="1" customWidth="1" style="57" min="13" max="13"/>
    <col width="22.140625" bestFit="1" customWidth="1" style="57" min="14" max="14"/>
  </cols>
  <sheetData>
    <row r="19">
      <c r="A19" s="22" t="inlineStr">
        <is>
          <t>Rótulos de Linha</t>
        </is>
      </c>
      <c r="B19" t="inlineStr">
        <is>
          <t>Soma de Investido Mês</t>
        </is>
      </c>
      <c r="D19" t="inlineStr">
        <is>
          <t>Ano</t>
        </is>
      </c>
      <c r="E19" t="inlineStr">
        <is>
          <t>Média Mês</t>
        </is>
      </c>
      <c r="F19" t="inlineStr">
        <is>
          <t>Média diária</t>
        </is>
      </c>
    </row>
    <row r="20">
      <c r="A20" s="24" t="n">
        <v>2025</v>
      </c>
      <c r="B20" s="89" t="n">
        <v>1722.58064030213</v>
      </c>
      <c r="D20" s="27" t="n">
        <v>2025</v>
      </c>
      <c r="E20" s="89">
        <f t="array" ref="E20">AVERAGE(B21:B30+GETPIVOTDATA("Investido Mês",$A$19,"Mês","Janeiro","Ano",2026))</f>
        <v/>
      </c>
      <c r="F20" s="89">
        <f>E20/30</f>
        <v/>
      </c>
    </row>
    <row r="21">
      <c r="A21" s="25" t="inlineStr">
        <is>
          <t>Janeiro</t>
        </is>
      </c>
      <c r="B21" s="89" t="n">
        <v>13.83153396837994</v>
      </c>
      <c r="D21" s="27" t="n">
        <v>2026</v>
      </c>
      <c r="E21" s="71">
        <f>GETPIVOTDATA("Investido Mês",$A$19,"Mês","Janeiro","Ano",2026)</f>
        <v/>
      </c>
      <c r="F21" s="89">
        <f>E21/29</f>
        <v/>
      </c>
    </row>
    <row r="22">
      <c r="A22" s="25" t="inlineStr">
        <is>
          <t>Fevereiro</t>
        </is>
      </c>
      <c r="B22" s="89" t="n">
        <v>47.4267650802565</v>
      </c>
    </row>
    <row r="23">
      <c r="A23" s="25" t="inlineStr">
        <is>
          <t>Março</t>
        </is>
      </c>
      <c r="B23" s="89" t="n">
        <v>371.9772175526007</v>
      </c>
    </row>
    <row r="24">
      <c r="A24" s="25" t="inlineStr">
        <is>
          <t>Abril</t>
        </is>
      </c>
      <c r="B24" s="89" t="n">
        <v>340.8513185297401</v>
      </c>
      <c r="E24" s="22" t="inlineStr">
        <is>
          <t>Valores</t>
        </is>
      </c>
    </row>
    <row r="25">
      <c r="A25" s="25" t="inlineStr">
        <is>
          <t>Maio</t>
        </is>
      </c>
      <c r="B25" s="89" t="n">
        <v>203.4397287869073</v>
      </c>
      <c r="D25" s="22" t="inlineStr">
        <is>
          <t>Rótulos de Linha</t>
        </is>
      </c>
      <c r="E25" s="93" t="inlineStr">
        <is>
          <t>Máx. de Saldo em caixa</t>
        </is>
      </c>
      <c r="F25" s="93" t="inlineStr">
        <is>
          <t>Mín. de Saldo em caixa</t>
        </is>
      </c>
    </row>
    <row r="26">
      <c r="A26" s="25" t="inlineStr">
        <is>
          <t>Junho</t>
        </is>
      </c>
      <c r="B26" s="89" t="n">
        <v>71.38999999999987</v>
      </c>
      <c r="D26" s="24" t="n">
        <v>2025</v>
      </c>
      <c r="E26" s="93" t="n">
        <v>1114.54850990035</v>
      </c>
      <c r="F26" s="93" t="n">
        <v>34.62518620718537</v>
      </c>
    </row>
    <row r="27">
      <c r="A27" s="25" t="inlineStr">
        <is>
          <t>Julho</t>
        </is>
      </c>
      <c r="B27" s="89" t="n">
        <v>6.029999999999063</v>
      </c>
      <c r="D27" s="25" t="inlineStr">
        <is>
          <t>Janeiro</t>
        </is>
      </c>
      <c r="E27" s="93" t="n">
        <v>99.46338398294519</v>
      </c>
      <c r="F27" s="93" t="n">
        <v>69.06293212183465</v>
      </c>
    </row>
    <row r="28">
      <c r="A28" s="25" t="inlineStr">
        <is>
          <t>Outubro</t>
        </is>
      </c>
      <c r="B28" s="89" t="n">
        <v>0</v>
      </c>
      <c r="D28" s="25" t="inlineStr">
        <is>
          <t>Fevereiro</t>
        </is>
      </c>
      <c r="E28" s="93" t="n">
        <v>142.4495407128984</v>
      </c>
      <c r="F28" s="93" t="n">
        <v>34.62518620718537</v>
      </c>
    </row>
    <row r="29">
      <c r="A29" s="25" t="inlineStr">
        <is>
          <t>Novembro</t>
        </is>
      </c>
      <c r="B29" s="89" t="n">
        <v>106.9560019097439</v>
      </c>
      <c r="D29" s="25" t="inlineStr">
        <is>
          <t>Março</t>
        </is>
      </c>
      <c r="E29" s="93" t="n">
        <v>512.3573107812632</v>
      </c>
      <c r="F29" s="93" t="n">
        <v>49.95627668201853</v>
      </c>
    </row>
    <row r="30">
      <c r="A30" s="25" t="inlineStr">
        <is>
          <t>Dezembro</t>
        </is>
      </c>
      <c r="B30" s="89" t="n">
        <v>560.6780744745031</v>
      </c>
      <c r="D30" s="25" t="inlineStr">
        <is>
          <t>Abril</t>
        </is>
      </c>
      <c r="E30" s="93" t="n">
        <v>816.9362960365066</v>
      </c>
      <c r="F30" s="93" t="n">
        <v>311.6934251594657</v>
      </c>
    </row>
    <row r="31">
      <c r="A31" s="24" t="n">
        <v>2026</v>
      </c>
      <c r="B31" s="89" t="n">
        <v>125.974383451739</v>
      </c>
      <c r="D31" s="25" t="inlineStr">
        <is>
          <t>Maio</t>
        </is>
      </c>
      <c r="E31" s="93" t="n">
        <v>916.6153066069295</v>
      </c>
      <c r="F31" s="93" t="n">
        <v>79.53520082298203</v>
      </c>
    </row>
    <row r="32">
      <c r="A32" s="25" t="inlineStr">
        <is>
          <t>Janeiro</t>
        </is>
      </c>
      <c r="B32" s="89" t="n">
        <v>99.94574538733195</v>
      </c>
      <c r="D32" s="25" t="inlineStr">
        <is>
          <t>Junho</t>
        </is>
      </c>
      <c r="E32" s="93" t="n">
        <v>1114.54850990035</v>
      </c>
      <c r="F32" s="93" t="n">
        <v>508.6346813016298</v>
      </c>
    </row>
    <row r="33">
      <c r="A33" s="25" t="inlineStr">
        <is>
          <t>Fevereiro</t>
        </is>
      </c>
      <c r="B33" s="89" t="n">
        <v>26.02863806440701</v>
      </c>
      <c r="D33" s="25" t="inlineStr">
        <is>
          <t>Julho</t>
        </is>
      </c>
      <c r="E33" s="93" t="n">
        <v>854.7121401026291</v>
      </c>
      <c r="F33" s="93" t="n">
        <v>550.7645297919796</v>
      </c>
    </row>
    <row r="34">
      <c r="A34" s="24" t="inlineStr">
        <is>
          <t>Total Geral</t>
        </is>
      </c>
      <c r="B34" s="89" t="n">
        <v>1848.555023753869</v>
      </c>
      <c r="D34" s="25" t="inlineStr">
        <is>
          <t>Outubro</t>
        </is>
      </c>
      <c r="E34" s="93" t="n">
        <v>183.2348702962931</v>
      </c>
      <c r="F34" s="93" t="n">
        <v>183.2348702962931</v>
      </c>
    </row>
    <row r="35">
      <c r="D35" s="25" t="inlineStr">
        <is>
          <t>Novembro</t>
        </is>
      </c>
      <c r="E35" s="93" t="n">
        <v>393.8689423526151</v>
      </c>
      <c r="F35" s="93" t="n">
        <v>196.8051776959969</v>
      </c>
    </row>
    <row r="36">
      <c r="D36" s="25" t="inlineStr">
        <is>
          <t>Dezembro</t>
        </is>
      </c>
      <c r="E36" s="93" t="n">
        <v>407.699462175852</v>
      </c>
      <c r="F36" s="93" t="n">
        <v>296.74</v>
      </c>
    </row>
    <row r="37">
      <c r="A37" s="22" t="inlineStr">
        <is>
          <t>Rótulos de Linha</t>
        </is>
      </c>
      <c r="B37" t="inlineStr">
        <is>
          <t>Produto de preço de mercado</t>
        </is>
      </c>
      <c r="D37" s="24" t="n">
        <v>2026</v>
      </c>
      <c r="E37" s="93" t="n">
        <v>706.2929386912901</v>
      </c>
      <c r="F37" s="93" t="n">
        <v>139.24</v>
      </c>
    </row>
    <row r="38">
      <c r="A38" s="24" t="n">
        <v>2025</v>
      </c>
      <c r="B38" s="89" t="n">
        <v>0</v>
      </c>
      <c r="D38" s="25" t="inlineStr">
        <is>
          <t>Janeiro</t>
        </is>
      </c>
      <c r="E38" s="93" t="n">
        <v>706.2929386912901</v>
      </c>
      <c r="F38" s="93" t="n">
        <v>247.4434015021534</v>
      </c>
    </row>
    <row r="39">
      <c r="A39" s="25" t="inlineStr">
        <is>
          <t>Janeiro</t>
        </is>
      </c>
      <c r="B39" s="89" t="n">
        <v>1.704499528323725e-14</v>
      </c>
      <c r="D39" s="25" t="inlineStr">
        <is>
          <t>Fevereiro</t>
        </is>
      </c>
      <c r="E39" s="93" t="n">
        <v>459.9456806405342</v>
      </c>
      <c r="F39" s="93" t="n">
        <v>139.24</v>
      </c>
    </row>
    <row r="40">
      <c r="A40" s="53" t="n">
        <v>45682</v>
      </c>
      <c r="B40" s="89" t="n">
        <v>0.01028106534363835</v>
      </c>
      <c r="D40" s="24" t="inlineStr">
        <is>
          <t>Total Geral</t>
        </is>
      </c>
      <c r="E40" s="93" t="n">
        <v>1114.54850990035</v>
      </c>
      <c r="F40" s="93" t="n">
        <v>34.62518620718537</v>
      </c>
    </row>
    <row r="41">
      <c r="A41" s="53" t="n">
        <v>45683</v>
      </c>
      <c r="B41" s="89" t="n">
        <v>0.01096816643785759</v>
      </c>
    </row>
    <row r="42">
      <c r="A42" s="53" t="n">
        <v>45684</v>
      </c>
      <c r="B42" s="89" t="n">
        <v>0.01111082029398609</v>
      </c>
    </row>
    <row r="43">
      <c r="A43" s="53" t="n">
        <v>45685</v>
      </c>
      <c r="B43" s="89" t="n">
        <v>0.01243292299786815</v>
      </c>
    </row>
    <row r="44">
      <c r="A44" s="53" t="n">
        <v>45686</v>
      </c>
      <c r="B44" s="89" t="n">
        <v>0.0123869946041913</v>
      </c>
    </row>
    <row r="45">
      <c r="A45" s="53" t="n">
        <v>45687</v>
      </c>
      <c r="B45" s="89" t="n">
        <v>0.01023256218136821</v>
      </c>
    </row>
    <row r="46">
      <c r="A46" s="53" t="n">
        <v>45688</v>
      </c>
      <c r="B46" s="89" t="n">
        <v>0.008632866515229331</v>
      </c>
    </row>
    <row r="47">
      <c r="A47" s="25" t="inlineStr">
        <is>
          <t>Fevereiro</t>
        </is>
      </c>
      <c r="B47" s="89" t="n">
        <v>0</v>
      </c>
    </row>
    <row r="48">
      <c r="A48" s="52" t="inlineStr">
        <is>
          <t>15/02/2025</t>
        </is>
      </c>
      <c r="B48" s="89" t="n">
        <v>0.00690614632603377</v>
      </c>
    </row>
    <row r="49">
      <c r="A49" s="52" t="inlineStr">
        <is>
          <t>16/02/2025</t>
        </is>
      </c>
      <c r="B49" s="89" t="n">
        <v>4.769485707658973e-05</v>
      </c>
    </row>
    <row r="50">
      <c r="A50" s="52" t="inlineStr">
        <is>
          <t>17/02/2025</t>
        </is>
      </c>
      <c r="B50" s="89" t="n">
        <v>1.321162960787223e-11</v>
      </c>
    </row>
    <row r="51">
      <c r="A51" s="52" t="inlineStr">
        <is>
          <t>18/02/2025</t>
        </is>
      </c>
      <c r="B51" s="89" t="n">
        <v>1.472909671401129e-07</v>
      </c>
    </row>
    <row r="52">
      <c r="A52" s="52" t="inlineStr">
        <is>
          <t>19/02/2025</t>
        </is>
      </c>
      <c r="B52" s="89" t="n">
        <v>3.417034437145711e-05</v>
      </c>
    </row>
    <row r="53">
      <c r="A53" s="52" t="inlineStr">
        <is>
          <t>20/02/2025</t>
        </is>
      </c>
      <c r="B53" s="89" t="n">
        <v>0.007386750756855921</v>
      </c>
    </row>
    <row r="54">
      <c r="A54" s="52" t="inlineStr">
        <is>
          <t>22/02/2025</t>
        </is>
      </c>
      <c r="B54" s="89" t="n">
        <v>0.0178061925891123</v>
      </c>
    </row>
    <row r="55">
      <c r="A55" s="52" t="inlineStr">
        <is>
          <t>23/02/2025</t>
        </is>
      </c>
      <c r="B55" s="89" t="n">
        <v>0.01778477858380274</v>
      </c>
    </row>
    <row r="56">
      <c r="A56" s="52" t="inlineStr">
        <is>
          <t>24/02/2025</t>
        </is>
      </c>
      <c r="B56" s="89" t="n">
        <v>0.0003150090266839917</v>
      </c>
    </row>
    <row r="57">
      <c r="A57" s="52" t="inlineStr">
        <is>
          <t>25/02/2025</t>
        </is>
      </c>
      <c r="B57" s="89" t="n">
        <v>0.01771361259587144</v>
      </c>
    </row>
    <row r="58">
      <c r="A58" s="52" t="inlineStr">
        <is>
          <t>26/02/2025</t>
        </is>
      </c>
      <c r="B58" s="89" t="n">
        <v>0.01770561830260698</v>
      </c>
    </row>
    <row r="59">
      <c r="A59" s="52" t="inlineStr">
        <is>
          <t>28/02/2025</t>
        </is>
      </c>
      <c r="B59" s="89" t="n">
        <v>0.01770120893234554</v>
      </c>
    </row>
    <row r="60">
      <c r="A60" s="53" t="n">
        <v>45689</v>
      </c>
      <c r="B60" s="89" t="n">
        <v>0.008769386764887454</v>
      </c>
    </row>
    <row r="61">
      <c r="A61" s="53" t="n">
        <v>45690</v>
      </c>
      <c r="B61" s="89" t="n">
        <v>0.008945928106576722</v>
      </c>
    </row>
    <row r="62">
      <c r="A62" s="53" t="n">
        <v>45691</v>
      </c>
      <c r="B62" s="89" t="n">
        <v>0.008945928106576722</v>
      </c>
    </row>
    <row r="63">
      <c r="A63" s="53" t="n">
        <v>45692</v>
      </c>
      <c r="B63" s="89" t="n">
        <v>8.74601575072633e-05</v>
      </c>
    </row>
    <row r="64">
      <c r="A64" s="53" t="n">
        <v>45694</v>
      </c>
      <c r="B64" s="89" t="n">
        <v>0.009939013254218743</v>
      </c>
    </row>
    <row r="65">
      <c r="A65" s="53" t="n">
        <v>45695</v>
      </c>
      <c r="B65" s="89" t="n">
        <v>0.009939013254218743</v>
      </c>
    </row>
    <row r="66">
      <c r="A66" s="53" t="n">
        <v>45696</v>
      </c>
      <c r="B66" s="89" t="n">
        <v>0.01694268467390259</v>
      </c>
    </row>
    <row r="67">
      <c r="A67" s="53" t="n">
        <v>45697</v>
      </c>
      <c r="B67" s="89" t="n">
        <v>4.453487604525753e-05</v>
      </c>
    </row>
    <row r="68">
      <c r="A68" s="53" t="n">
        <v>45698</v>
      </c>
      <c r="B68" s="89" t="n">
        <v>0.006969262754977531</v>
      </c>
    </row>
    <row r="69">
      <c r="A69" s="53" t="n">
        <v>45699</v>
      </c>
      <c r="B69" s="89" t="n">
        <v>0.006953692177452553</v>
      </c>
    </row>
    <row r="70">
      <c r="A70" s="53" t="n">
        <v>45700</v>
      </c>
      <c r="B70" s="89" t="n">
        <v>0.006922628370587008</v>
      </c>
    </row>
    <row r="71">
      <c r="A71" s="53" t="n">
        <v>45701</v>
      </c>
      <c r="B71" s="89" t="n">
        <v>0.006922628370587008</v>
      </c>
    </row>
    <row r="72">
      <c r="A72" s="53" t="n">
        <v>45702</v>
      </c>
      <c r="B72" s="89" t="n">
        <v>0.006903553175600569</v>
      </c>
    </row>
    <row r="73">
      <c r="A73" s="25" t="inlineStr">
        <is>
          <t>Março</t>
        </is>
      </c>
      <c r="B73" s="89" t="n">
        <v>0</v>
      </c>
    </row>
    <row r="74">
      <c r="A74" s="25" t="inlineStr">
        <is>
          <t>Abril</t>
        </is>
      </c>
      <c r="B74" s="89" t="n">
        <v>0</v>
      </c>
    </row>
    <row r="75">
      <c r="A75" s="25" t="inlineStr">
        <is>
          <t>Maio</t>
        </is>
      </c>
      <c r="B75" s="89" t="n">
        <v>0</v>
      </c>
    </row>
    <row r="76">
      <c r="A76" s="52" t="inlineStr">
        <is>
          <t>07/05/2025</t>
        </is>
      </c>
      <c r="B76" s="89" t="n">
        <v>0.04958770159931412</v>
      </c>
    </row>
    <row r="77">
      <c r="A77" s="53" t="n">
        <v>45784</v>
      </c>
      <c r="B77" s="89" t="n">
        <v>0.08103932659931413</v>
      </c>
    </row>
    <row r="78">
      <c r="A78" s="53" t="n">
        <v>45785</v>
      </c>
      <c r="B78" s="89" t="n">
        <v>0.08180684054705245</v>
      </c>
    </row>
    <row r="79">
      <c r="A79" s="53" t="n">
        <v>45786</v>
      </c>
      <c r="B79" s="89" t="n">
        <v>0.008242668952617493</v>
      </c>
    </row>
    <row r="80">
      <c r="A80" s="53" t="n">
        <v>45787</v>
      </c>
      <c r="B80" s="89" t="n">
        <v>0.09355908004558543</v>
      </c>
    </row>
    <row r="81">
      <c r="A81" s="53" t="n">
        <v>45789</v>
      </c>
      <c r="B81" s="89" t="n">
        <v>0.09393557577724143</v>
      </c>
    </row>
    <row r="82">
      <c r="A82" s="53" t="n">
        <v>45790</v>
      </c>
      <c r="B82" s="89" t="n">
        <v>0.0938182112464474</v>
      </c>
    </row>
    <row r="83">
      <c r="A83" s="53" t="n">
        <v>45792</v>
      </c>
      <c r="B83" s="89" t="n">
        <v>0.09429857379430995</v>
      </c>
    </row>
    <row r="84">
      <c r="A84" s="53" t="n">
        <v>45794</v>
      </c>
      <c r="B84" s="89" t="n">
        <v>0.006205440300926274</v>
      </c>
    </row>
    <row r="85">
      <c r="A85" s="53" t="n">
        <v>45797</v>
      </c>
      <c r="B85" s="89" t="n">
        <v>0.06593570116374499</v>
      </c>
    </row>
    <row r="86">
      <c r="A86" s="53" t="n">
        <v>45799</v>
      </c>
      <c r="B86" s="89" t="n">
        <v>0.1009225886554447</v>
      </c>
    </row>
    <row r="87">
      <c r="A87" s="53" t="n">
        <v>45801</v>
      </c>
      <c r="B87" s="89" t="n">
        <v>0.1012133391259708</v>
      </c>
    </row>
    <row r="88">
      <c r="A88" s="53" t="n">
        <v>45802</v>
      </c>
      <c r="B88" s="89" t="n">
        <v>0.001235624865638248</v>
      </c>
    </row>
    <row r="89">
      <c r="A89" s="53" t="n">
        <v>45804</v>
      </c>
      <c r="B89" s="89" t="n">
        <v>0.1145769133258662</v>
      </c>
    </row>
    <row r="90">
      <c r="A90" s="53" t="n">
        <v>45805</v>
      </c>
      <c r="B90" s="89" t="n">
        <v>0.09976994757459069</v>
      </c>
    </row>
    <row r="91">
      <c r="A91" s="53" t="n">
        <v>45778</v>
      </c>
      <c r="B91" s="89" t="n">
        <v>0.009941900102872754</v>
      </c>
    </row>
    <row r="92">
      <c r="A92" s="25" t="inlineStr">
        <is>
          <t>Junho</t>
        </is>
      </c>
      <c r="B92" s="89" t="n">
        <v>0</v>
      </c>
    </row>
    <row r="93">
      <c r="A93" s="52" t="inlineStr">
        <is>
          <t>08/06/2025</t>
        </is>
      </c>
      <c r="B93" s="89" t="n">
        <v>0.1317596963794684</v>
      </c>
    </row>
    <row r="94">
      <c r="A94" s="52" t="inlineStr">
        <is>
          <t>09/06/2025</t>
        </is>
      </c>
      <c r="B94" s="89" t="n">
        <v>0.0003683746438098683</v>
      </c>
    </row>
    <row r="95">
      <c r="A95" s="52" t="inlineStr">
        <is>
          <t>10/06/2025</t>
        </is>
      </c>
      <c r="B95" s="89" t="n">
        <v>0.07416124730268379</v>
      </c>
    </row>
    <row r="96">
      <c r="A96" s="52" t="inlineStr">
        <is>
          <t>11/06/2025</t>
        </is>
      </c>
      <c r="B96" s="89" t="n">
        <v>0.07416965708783135</v>
      </c>
    </row>
    <row r="97">
      <c r="A97" s="52" t="inlineStr">
        <is>
          <t>12/06/2025</t>
        </is>
      </c>
      <c r="B97" s="89" t="n">
        <v>0.005521411973789594</v>
      </c>
    </row>
    <row r="98">
      <c r="A98" s="52" t="inlineStr">
        <is>
          <t>14/06/2025</t>
        </is>
      </c>
      <c r="B98" s="89" t="n">
        <v>0.07481453512663677</v>
      </c>
    </row>
    <row r="99">
      <c r="A99" s="52" t="inlineStr">
        <is>
          <t>15/06/2025</t>
        </is>
      </c>
      <c r="B99" s="89" t="n">
        <v>0.07519438504913677</v>
      </c>
    </row>
    <row r="100">
      <c r="A100" s="52" t="inlineStr">
        <is>
          <t>24/06/2025</t>
        </is>
      </c>
      <c r="B100" s="89" t="n">
        <v>0.08769255434558244</v>
      </c>
    </row>
    <row r="101">
      <c r="A101" s="53" t="n">
        <v>45811</v>
      </c>
      <c r="B101" s="89" t="n">
        <v>0.06476654876797454</v>
      </c>
    </row>
    <row r="102">
      <c r="A102" s="53" t="n">
        <v>45813</v>
      </c>
      <c r="B102" s="89" t="n">
        <v>0.004153596081369173</v>
      </c>
    </row>
    <row r="103">
      <c r="A103" s="53" t="n">
        <v>45814</v>
      </c>
      <c r="B103" s="89" t="n">
        <v>0.06357933516270373</v>
      </c>
    </row>
    <row r="104">
      <c r="A104" s="53" t="n">
        <v>45816</v>
      </c>
      <c r="B104" s="89" t="n">
        <v>0.1317596963794684</v>
      </c>
    </row>
    <row r="105">
      <c r="A105" s="25" t="inlineStr">
        <is>
          <t>Julho</t>
        </is>
      </c>
      <c r="B105" s="89" t="n">
        <v>0.005488633209183753</v>
      </c>
    </row>
    <row r="106">
      <c r="A106" s="52" t="inlineStr">
        <is>
          <t>14/07/2025</t>
        </is>
      </c>
      <c r="B106" s="89" t="n">
        <v>0.07417290674455705</v>
      </c>
    </row>
    <row r="107">
      <c r="A107" s="52" t="inlineStr">
        <is>
          <t>18/07/2025</t>
        </is>
      </c>
      <c r="B107" s="89" t="n">
        <v>0.07399781739828498</v>
      </c>
    </row>
    <row r="108">
      <c r="A108" s="25" t="inlineStr">
        <is>
          <t>Novembro</t>
        </is>
      </c>
      <c r="B108" s="89" t="n">
        <v>4.302718446152668e-05</v>
      </c>
    </row>
    <row r="109">
      <c r="A109" s="52" t="inlineStr">
        <is>
          <t>09/11/2025</t>
        </is>
      </c>
      <c r="B109" s="89" t="n">
        <v>0.0008739391169970679</v>
      </c>
    </row>
    <row r="110">
      <c r="A110" s="52" t="inlineStr">
        <is>
          <t>16/11/2025</t>
        </is>
      </c>
      <c r="B110" s="89" t="n">
        <v>0.04923361779407689</v>
      </c>
    </row>
    <row r="111">
      <c r="A111" s="25" t="inlineStr">
        <is>
          <t>Dezembro</t>
        </is>
      </c>
      <c r="B111" s="89" t="n">
        <v>0</v>
      </c>
    </row>
    <row r="112">
      <c r="A112" s="52" t="inlineStr">
        <is>
          <t>07/12/2025</t>
        </is>
      </c>
      <c r="B112" s="89" t="n">
        <v>0.01551407944375242</v>
      </c>
    </row>
    <row r="113">
      <c r="A113" s="52" t="inlineStr">
        <is>
          <t>09/12/2025</t>
        </is>
      </c>
      <c r="B113" s="89" t="n">
        <v>0.00228048363607919</v>
      </c>
    </row>
    <row r="114">
      <c r="A114" s="52" t="inlineStr">
        <is>
          <t>11/12/2025</t>
        </is>
      </c>
      <c r="B114" s="89" t="n">
        <v>2.955700573502156e-07</v>
      </c>
    </row>
    <row r="115">
      <c r="A115" s="53" t="n">
        <v>46003</v>
      </c>
      <c r="B115" s="89" t="n">
        <v>0.05138475348896981</v>
      </c>
    </row>
    <row r="116">
      <c r="A116" s="53" t="n">
        <v>46005</v>
      </c>
      <c r="B116" s="89" t="n">
        <v>0.05284523887348491</v>
      </c>
    </row>
    <row r="117">
      <c r="A117" s="53" t="n">
        <v>46006</v>
      </c>
      <c r="B117" s="89" t="n">
        <v>0.0535647801743201</v>
      </c>
    </row>
    <row r="118">
      <c r="A118" s="53" t="n">
        <v>46007</v>
      </c>
      <c r="B118" s="89" t="n">
        <v>0.1103725374205267</v>
      </c>
    </row>
    <row r="119">
      <c r="A119" s="53" t="n">
        <v>46008</v>
      </c>
      <c r="B119" s="89" t="n">
        <v>0.1113749180247442</v>
      </c>
    </row>
    <row r="120">
      <c r="A120" s="53" t="n">
        <v>46022</v>
      </c>
      <c r="B120" s="89" t="n">
        <v>0.006186609165536159</v>
      </c>
    </row>
    <row r="121">
      <c r="A121" s="24" t="n">
        <v>2026</v>
      </c>
      <c r="B121" s="89" t="n">
        <v>0.000939206316043771</v>
      </c>
    </row>
    <row r="122">
      <c r="A122" s="25" t="inlineStr">
        <is>
          <t>Janeiro</t>
        </is>
      </c>
      <c r="B122" s="89" t="n">
        <v>5.175914510205642e-06</v>
      </c>
    </row>
    <row r="123">
      <c r="A123" s="52" t="inlineStr">
        <is>
          <t>10/01/2026</t>
        </is>
      </c>
      <c r="B123" s="89" t="n">
        <v>0.4342849332428545</v>
      </c>
    </row>
    <row r="124">
      <c r="A124" s="52" t="inlineStr">
        <is>
          <t>11/01/2026</t>
        </is>
      </c>
      <c r="B124" s="89" t="n">
        <v>0.4348481665645364</v>
      </c>
    </row>
    <row r="125">
      <c r="A125" s="52" t="inlineStr">
        <is>
          <t>12/01/2026</t>
        </is>
      </c>
      <c r="B125" s="89" t="n">
        <v>0.4269069165645364</v>
      </c>
    </row>
    <row r="126">
      <c r="A126" s="52" t="inlineStr">
        <is>
          <t>14/01/2026</t>
        </is>
      </c>
      <c r="B126" s="89" t="n">
        <v>0.4274214630027224</v>
      </c>
    </row>
    <row r="127">
      <c r="A127" s="52" t="inlineStr">
        <is>
          <t>16/01/2026</t>
        </is>
      </c>
      <c r="B127" s="89" t="n">
        <v>0.4279385853890145</v>
      </c>
    </row>
    <row r="128">
      <c r="A128" s="52" t="inlineStr">
        <is>
          <t>17/01/2026</t>
        </is>
      </c>
      <c r="B128" s="89" t="n">
        <v>0.4282018665901324</v>
      </c>
    </row>
    <row r="129">
      <c r="A129" s="52" t="inlineStr">
        <is>
          <t>18/01/2026</t>
        </is>
      </c>
      <c r="B129" s="89" t="n">
        <v>0.5368922162111279</v>
      </c>
    </row>
    <row r="130">
      <c r="A130" s="52" t="inlineStr">
        <is>
          <t>19/01/2026</t>
        </is>
      </c>
      <c r="B130" s="89" t="n">
        <v>0.5368922162111279</v>
      </c>
    </row>
    <row r="131">
      <c r="A131" s="52" t="inlineStr">
        <is>
          <t>26/01/2026</t>
        </is>
      </c>
      <c r="B131" s="89" t="n">
        <v>0.5389972097547415</v>
      </c>
    </row>
    <row r="132">
      <c r="A132" s="52" t="inlineStr">
        <is>
          <t>29/01/2026</t>
        </is>
      </c>
      <c r="B132" s="89" t="n">
        <v>1.520870933684203</v>
      </c>
    </row>
    <row r="133">
      <c r="A133" s="53" t="n">
        <v>46031</v>
      </c>
      <c r="B133" s="89" t="n">
        <v>0.4312846693291045</v>
      </c>
    </row>
    <row r="134">
      <c r="A134" s="53" t="n">
        <v>46040</v>
      </c>
      <c r="B134" s="89" t="n">
        <v>0.5368922162111279</v>
      </c>
    </row>
    <row r="135">
      <c r="A135" s="53" t="n">
        <v>46052</v>
      </c>
      <c r="B135" s="89" t="n">
        <v>1.521139027337879</v>
      </c>
    </row>
    <row r="136">
      <c r="A136" s="53" t="n">
        <v>46024</v>
      </c>
      <c r="B136" s="89" t="n">
        <v>0.05319897375060009</v>
      </c>
    </row>
    <row r="137">
      <c r="A137" s="53" t="n">
        <v>46030</v>
      </c>
      <c r="B137" s="89" t="n">
        <v>0.1851308452910889</v>
      </c>
    </row>
    <row r="138">
      <c r="A138" s="25" t="inlineStr">
        <is>
          <t>Fevereiro</t>
        </is>
      </c>
      <c r="B138" s="89" t="n">
        <v>181.4570766560933</v>
      </c>
    </row>
    <row r="139">
      <c r="A139" s="53" t="n">
        <v>46057</v>
      </c>
      <c r="B139" s="89" t="n">
        <v>3.856085730826194</v>
      </c>
    </row>
    <row r="140">
      <c r="A140" s="53" t="n">
        <v>46059</v>
      </c>
      <c r="B140" s="89" t="n">
        <v>1.464768748416666</v>
      </c>
    </row>
    <row r="141">
      <c r="A141" s="53" t="n">
        <v>46061</v>
      </c>
      <c r="B141" s="89" t="n">
        <v>4.206322550419219</v>
      </c>
    </row>
    <row r="142">
      <c r="A142" s="52" t="inlineStr">
        <is>
          <t>09/02/2026</t>
        </is>
      </c>
      <c r="B142" s="89" t="n">
        <v>2.763478551827417</v>
      </c>
    </row>
    <row r="143">
      <c r="A143" s="52" t="inlineStr">
        <is>
          <t>10/02/2026</t>
        </is>
      </c>
      <c r="B143" s="89" t="n">
        <v>2.763754693030414</v>
      </c>
    </row>
    <row r="144">
      <c r="A144" s="24" t="inlineStr">
        <is>
          <t>Total Geral</t>
        </is>
      </c>
      <c r="B144" s="89" t="n">
        <v>0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Normal="100" workbookViewId="0">
      <selection activeCell="D20" sqref="D20"/>
    </sheetView>
  </sheetViews>
  <sheetFormatPr baseColWidth="8" defaultRowHeight="15"/>
  <cols>
    <col width="10.5703125" customWidth="1" style="57" min="1" max="1"/>
    <col width="13.28515625" bestFit="1" customWidth="1" style="57" min="2" max="2"/>
    <col width="9.5703125" bestFit="1" customWidth="1" style="57" min="3" max="4"/>
    <col width="12.140625" bestFit="1" customWidth="1" style="57" min="5" max="5"/>
  </cols>
  <sheetData>
    <row r="1">
      <c r="A1" t="inlineStr">
        <is>
          <t>Valores acumulados em meses</t>
        </is>
      </c>
    </row>
    <row r="4">
      <c r="A4" s="7" t="inlineStr">
        <is>
          <t>Mês</t>
        </is>
      </c>
      <c r="B4" s="6" t="inlineStr">
        <is>
          <t>Valor</t>
        </is>
      </c>
      <c r="E4" s="8" t="inlineStr">
        <is>
          <t>Total</t>
        </is>
      </c>
    </row>
    <row r="5">
      <c r="A5" s="10" t="inlineStr">
        <is>
          <t>jan/25</t>
        </is>
      </c>
      <c r="B5" s="94">
        <f t="array" ref="B5">SUMPRODUCT((TEXT(Tabela11[Data],"mm/aaaa")="01/2025") * (Tabela11[Variação no Período]))</f>
        <v/>
      </c>
      <c r="C5" s="3" t="n"/>
      <c r="E5" s="95">
        <f>SUM(Tabela12[Valor])</f>
        <v/>
      </c>
    </row>
    <row r="6">
      <c r="A6" s="10" t="inlineStr">
        <is>
          <t>fev/25</t>
        </is>
      </c>
      <c r="B6" s="94">
        <f t="array" ref="B6">SUMPRODUCT((TEXT(Tabela11[Data],"mm/aaaa")="02/2025") * (Tabela11[Variação no Período]))</f>
        <v/>
      </c>
      <c r="C6" s="89" t="n"/>
    </row>
    <row r="7">
      <c r="A7" s="11" t="inlineStr">
        <is>
          <t>mar/25</t>
        </is>
      </c>
      <c r="B7" s="94">
        <f t="array" ref="B7">SUMPRODUCT((TEXT(Tabela11[Data],"mm/aaaa")="03/2025") * (Tabela11[Variação no Período]))</f>
        <v/>
      </c>
    </row>
    <row r="8">
      <c r="A8" s="12" t="n">
        <v>45748</v>
      </c>
      <c r="B8" s="94">
        <f t="array" ref="B8">SUMPRODUCT((TEXT(Tabela11[Data],"mm/aaaa")="04/2025") * (Tabela11[Variação no Período]))</f>
        <v/>
      </c>
    </row>
    <row r="9">
      <c r="A9" s="12" t="n">
        <v>45778</v>
      </c>
      <c r="B9" s="94">
        <f t="array" ref="B9">SUMPRODUCT((TEXT(Tabela11[Data],"mm/aaaa")="05/2025") * (Tabela11[Variação no Período]))</f>
        <v/>
      </c>
    </row>
    <row r="10">
      <c r="A10" s="12" t="n">
        <v>45809</v>
      </c>
      <c r="B10" s="94">
        <f t="array" ref="B10">SUMPRODUCT((TEXT(Tabela11[Data],"mm/aaaa")="06/2025") * (Tabela11[Variação no Período]))</f>
        <v/>
      </c>
    </row>
    <row r="11">
      <c r="A11" s="14" t="n">
        <v>45839</v>
      </c>
      <c r="B11" s="94">
        <f t="array" ref="B11">SUMPRODUCT((TEXT(Tabela11[Data],"mm/aaaa")="07/2025") * (Tabela11[Variação no Período]))</f>
        <v/>
      </c>
    </row>
    <row r="12">
      <c r="A12" s="14" t="n">
        <v>45931</v>
      </c>
      <c r="B12" s="94">
        <f t="array" ref="B12">SUMPRODUCT((TEXT(Tabela11[Data],"mm/aaaa")="10/2025") * (Tabela11[Variação no Período]))</f>
        <v/>
      </c>
    </row>
    <row r="13">
      <c r="A13" s="12" t="n">
        <v>45962</v>
      </c>
      <c r="B13" s="94">
        <f t="array" ref="B13">SUMPRODUCT((TEXT(Tabela11[Data],"mm/aaaa")="11/2025") * (Tabela11[Variação no Período]))</f>
        <v/>
      </c>
    </row>
    <row r="14">
      <c r="A14" s="12" t="n">
        <v>45992</v>
      </c>
      <c r="B14" s="94">
        <f t="array" ref="B14">SUMPRODUCT((TEXT(Tabela11[Data],"mm/aaaa")="12/2025") * (Tabela11[Variação no Período]))</f>
        <v/>
      </c>
    </row>
    <row r="15">
      <c r="A15" s="12" t="n">
        <v>46023</v>
      </c>
      <c r="B15" s="94">
        <f t="array" ref="B15">SUMPRODUCT((TEXT(Tabela11[Data],"mm/aaaa")="01/2026") * (Tabela11[Variação no Período]))</f>
        <v/>
      </c>
    </row>
    <row r="16">
      <c r="A16" s="12" t="n">
        <v>46054</v>
      </c>
      <c r="B16" s="94">
        <f t="array" ref="B16">SUMPRODUCT((TEXT(Tabela11[Data],"mm/aaaa")="02/2026") * (Tabela11[Variação no Período]))</f>
        <v/>
      </c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Armando rodrigues</dc:creator>
  <dcterms:created xmlns:dcterms="http://purl.org/dc/terms/" xmlns:xsi="http://www.w3.org/2001/XMLSchema-instance" xsi:type="dcterms:W3CDTF">2025-01-16T23:18:32Z</dcterms:created>
  <dcterms:modified xmlns:dcterms="http://purl.org/dc/terms/" xmlns:xsi="http://www.w3.org/2001/XMLSchema-instance" xsi:type="dcterms:W3CDTF">2026-02-13T15:58:32Z</dcterms:modified>
  <cp:lastModifiedBy>Armando rodrigues</cp:lastModifiedBy>
  <cp:lastPrinted>2025-04-05T01:16:42Z</cp:lastPrinted>
</cp:coreProperties>
</file>