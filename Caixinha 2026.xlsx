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8431def48b862b/Banco Gênio/"/>
    </mc:Choice>
  </mc:AlternateContent>
  <xr:revisionPtr revIDLastSave="315" documentId="8_{8553A8CE-1C28-4DA3-90E5-ABB7540879BA}" xr6:coauthVersionLast="47" xr6:coauthVersionMax="47" xr10:uidLastSave="{0C570641-88BA-4B90-A8ED-D408345A9F08}"/>
  <bookViews>
    <workbookView xWindow="-120" yWindow="-120" windowWidth="29040" windowHeight="15840" firstSheet="1" activeTab="1" xr2:uid="{7BE32042-2CEA-4C59-BC4F-84862DE40344}"/>
  </bookViews>
  <sheets>
    <sheet name="Participantes" sheetId="1" r:id="rId1"/>
    <sheet name="Geral" sheetId="4" r:id="rId2"/>
    <sheet name="Investimentos" sheetId="5" r:id="rId3"/>
    <sheet name="Controle de empréstimos" sheetId="6" r:id="rId4"/>
    <sheet name="Empréstimos" sheetId="7" r:id="rId5"/>
    <sheet name="Parcelas" sheetId="8" r:id="rId6"/>
    <sheet name="Pagamentos" sheetId="10" r:id="rId7"/>
    <sheet name="Endereços" sheetId="2" r:id="rId8"/>
    <sheet name="Extrato" sheetId="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0" l="1"/>
  <c r="F2" i="10" s="1"/>
  <c r="G2" i="8"/>
  <c r="D2" i="8"/>
  <c r="D3" i="8"/>
  <c r="G4" i="5"/>
  <c r="F4" i="5"/>
  <c r="I3" i="1"/>
  <c r="G3" i="8"/>
  <c r="G2" i="7"/>
  <c r="I2" i="1"/>
  <c r="N3" i="6"/>
  <c r="N2" i="6"/>
  <c r="I3" i="6"/>
  <c r="J3" i="6"/>
  <c r="I2" i="6"/>
  <c r="B4" i="4"/>
  <c r="H4" i="5" l="1"/>
  <c r="J4" i="5" s="1"/>
  <c r="I4" i="5" s="1"/>
  <c r="I2" i="7"/>
  <c r="E2" i="8"/>
  <c r="E3" i="8"/>
  <c r="H2" i="7"/>
  <c r="J2" i="6"/>
  <c r="M2" i="6"/>
  <c r="B2" i="4" l="1"/>
  <c r="B3" i="4" l="1"/>
  <c r="C3" i="4" l="1"/>
  <c r="B5" i="4"/>
  <c r="K3" i="1"/>
  <c r="K2" i="1"/>
  <c r="J2" i="1" l="1"/>
  <c r="J3" i="1"/>
  <c r="K3" i="6" l="1"/>
  <c r="M3" i="6"/>
</calcChain>
</file>

<file path=xl/sharedStrings.xml><?xml version="1.0" encoding="utf-8"?>
<sst xmlns="http://schemas.openxmlformats.org/spreadsheetml/2006/main" count="113" uniqueCount="87">
  <si>
    <t>Nome</t>
  </si>
  <si>
    <t>Endereço</t>
  </si>
  <si>
    <t>CPF</t>
  </si>
  <si>
    <t>ID</t>
  </si>
  <si>
    <t>Telefone</t>
  </si>
  <si>
    <t>E-mail</t>
  </si>
  <si>
    <t>Vencimento</t>
  </si>
  <si>
    <t>Mensal</t>
  </si>
  <si>
    <t>Armando rodrigues progenio neto</t>
  </si>
  <si>
    <t>06361784207</t>
  </si>
  <si>
    <t>UF</t>
  </si>
  <si>
    <t>Cidade</t>
  </si>
  <si>
    <t>Bairro</t>
  </si>
  <si>
    <t>Rua</t>
  </si>
  <si>
    <t>Nº</t>
  </si>
  <si>
    <t>CEP</t>
  </si>
  <si>
    <t>Complemento</t>
  </si>
  <si>
    <t>MG</t>
  </si>
  <si>
    <t>Divinópolis</t>
  </si>
  <si>
    <t>Jardim das acácias</t>
  </si>
  <si>
    <t>Rua jacatiá</t>
  </si>
  <si>
    <t>-</t>
  </si>
  <si>
    <t>Aplicado</t>
  </si>
  <si>
    <t>Projetado</t>
  </si>
  <si>
    <t>Atual</t>
  </si>
  <si>
    <t>Valor</t>
  </si>
  <si>
    <t>Tipo</t>
  </si>
  <si>
    <t>Data</t>
  </si>
  <si>
    <t>Categoria</t>
  </si>
  <si>
    <t>Responsável</t>
  </si>
  <si>
    <t>Aplicação</t>
  </si>
  <si>
    <t>Entrada</t>
  </si>
  <si>
    <t>Observação</t>
  </si>
  <si>
    <t>Janeiro</t>
  </si>
  <si>
    <t>Descrição</t>
  </si>
  <si>
    <t>Capital aplicado</t>
  </si>
  <si>
    <t>Capital projetado</t>
  </si>
  <si>
    <t>Empréstimo</t>
  </si>
  <si>
    <t>Código</t>
  </si>
  <si>
    <t>OBS</t>
  </si>
  <si>
    <t>Valor atual</t>
  </si>
  <si>
    <t>Lucro</t>
  </si>
  <si>
    <t>Em posse?</t>
  </si>
  <si>
    <t>GENI3</t>
  </si>
  <si>
    <t>Valor Cota</t>
  </si>
  <si>
    <t>QTD Cotas</t>
  </si>
  <si>
    <t>Total aplicado</t>
  </si>
  <si>
    <t>Preço atual</t>
  </si>
  <si>
    <t>Sim</t>
  </si>
  <si>
    <t>Saldo em caixa</t>
  </si>
  <si>
    <t>ID Participante</t>
  </si>
  <si>
    <t>Data empréstimo</t>
  </si>
  <si>
    <t>Vencimento final</t>
  </si>
  <si>
    <t>Parcelas</t>
  </si>
  <si>
    <t>Juros</t>
  </si>
  <si>
    <t>Valor final</t>
  </si>
  <si>
    <t>Valor parcela</t>
  </si>
  <si>
    <t>Valor pago</t>
  </si>
  <si>
    <t>Número parcela</t>
  </si>
  <si>
    <t>Status</t>
  </si>
  <si>
    <t>Próximo Venc.</t>
  </si>
  <si>
    <t>Saldo devedor</t>
  </si>
  <si>
    <t>Valor real</t>
  </si>
  <si>
    <t>rodriguesarmando225@gmail.com</t>
  </si>
  <si>
    <t>id_participante</t>
  </si>
  <si>
    <t>Id_Empréstimo</t>
  </si>
  <si>
    <t>Parcela</t>
  </si>
  <si>
    <t>Saldo</t>
  </si>
  <si>
    <t>Em aberto</t>
  </si>
  <si>
    <t>Data emprestimo</t>
  </si>
  <si>
    <t>Data compra</t>
  </si>
  <si>
    <t>Id_parcela</t>
  </si>
  <si>
    <t>ID_empréstimo</t>
  </si>
  <si>
    <t>Data pagamento</t>
  </si>
  <si>
    <t>Parc. Abertas</t>
  </si>
  <si>
    <t>PA</t>
  </si>
  <si>
    <t>Ananindeua</t>
  </si>
  <si>
    <t>Guanabara</t>
  </si>
  <si>
    <t>Rosa vermelha</t>
  </si>
  <si>
    <t>Waldriano progenio monteiro</t>
  </si>
  <si>
    <t>07355444255</t>
  </si>
  <si>
    <t>walzinhoprogenio@gmail.com</t>
  </si>
  <si>
    <t>%</t>
  </si>
  <si>
    <t>Nº Tansação</t>
  </si>
  <si>
    <t>J611A</t>
  </si>
  <si>
    <t>f621A</t>
  </si>
  <si>
    <t>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</si>
</sst>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0" fontId="2" fillId="0" borderId="0" xfId="3"/>
    <xf numFmtId="14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2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2" applyFont="1"/>
    <xf numFmtId="44" fontId="0" fillId="0" borderId="1" xfId="1" applyFont="1" applyBorder="1"/>
    <xf numFmtId="44" fontId="0" fillId="2" borderId="1" xfId="1" applyFont="1" applyFill="1" applyBorder="1"/>
    <xf numFmtId="164" fontId="0" fillId="0" borderId="0" xfId="1" applyNumberFormat="1" applyFont="1"/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14">
    <dxf>
      <numFmt numFmtId="19" formatCode="dd/mm/yyyy"/>
    </dxf>
    <dxf>
      <numFmt numFmtId="164" formatCode="&quot;R$&quot;\ #,##0.00"/>
    </dxf>
    <dxf>
      <numFmt numFmtId="19" formatCode="dd/mm/yyyy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2" formatCode="0.00"/>
    </dxf>
    <dxf>
      <numFmt numFmtId="2" formatCode="0.00"/>
    </dxf>
    <dxf>
      <numFmt numFmtId="164" formatCode="&quot;R$&quot;\ #,##0.00"/>
    </dxf>
    <dxf>
      <numFmt numFmtId="19" formatCode="dd/mm/yyyy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1"/>
        </patternFill>
      </fill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368431def48b862b/Banco%20G&#234;nio/Banco%20G&#234;nio.xlsx" TargetMode="External"/><Relationship Id="rId1" Type="http://schemas.openxmlformats.org/officeDocument/2006/relationships/externalLinkPath" Target="Banco%20G&#234;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trato"/>
      <sheetName val="Geral"/>
      <sheetName val="Fundos de investimento"/>
      <sheetName val="CDB 2025"/>
      <sheetName val="CDB 2026"/>
      <sheetName val="Crypto"/>
      <sheetName val="Dolar"/>
      <sheetName val="BDR"/>
      <sheetName val="Tesouro direto"/>
    </sheetNames>
    <sheetDataSet>
      <sheetData sheetId="0"/>
      <sheetData sheetId="1">
        <row r="14">
          <cell r="C14">
            <v>21992.66105212655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0DB45-F4EA-40A7-A145-87F7EAC00B0B}" name="participantes" displayName="participantes" ref="A1:K3" totalsRowShown="0">
  <autoFilter ref="A1:K3" xr:uid="{F490DB45-F4EA-40A7-A145-87F7EAC00B0B}"/>
  <tableColumns count="11">
    <tableColumn id="1" xr3:uid="{998788C2-B6CB-4302-92E4-6D559237E9BD}" name="ID"/>
    <tableColumn id="2" xr3:uid="{9B11F552-3C83-47B9-B8E0-A21D3921B26F}" name="Nome"/>
    <tableColumn id="3" xr3:uid="{6608BBC3-BA8D-4AC2-91DD-FD0A08445FE0}" name="CPF" dataDxfId="13"/>
    <tableColumn id="4" xr3:uid="{C06694F4-69AD-48F5-BCD6-C8242BF75D6B}" name="Endereço"/>
    <tableColumn id="5" xr3:uid="{07F7C9E3-EF6C-490C-8758-A8C1F1486002}" name="E-mail" dataCellStyle="Hiperlink"/>
    <tableColumn id="6" xr3:uid="{3739A20B-13B5-4FCF-A7A6-6B93A07AF3D4}" name="Telefone"/>
    <tableColumn id="7" xr3:uid="{1EAAC77F-94EE-4A3F-8203-007DFC818F54}" name="Vencimento"/>
    <tableColumn id="8" xr3:uid="{2EC656F7-057A-4104-9C28-AC1B366946D3}" name="Mensal"/>
    <tableColumn id="9" xr3:uid="{CB8E886F-F79B-4845-B8E2-C34726834B2F}" name="Aplicado" dataCellStyle="Moeda">
      <calculatedColumnFormula>SUMIFS(extrato[Valor],extrato[ID],participantes[[#This Row],[ID]],extrato[Tipo],"Entrada",extrato[Categoria],"Aplicação")</calculatedColumnFormula>
    </tableColumn>
    <tableColumn id="10" xr3:uid="{BBA7B619-3512-4790-9595-115052902E16}" name="Projetado" dataCellStyle="Moeda">
      <calculatedColumnFormula>participantes[[#This Row],[Aplicado]]+(participantes[[#This Row],[Aplicado]]*Geral!C3)</calculatedColumnFormula>
    </tableColumn>
    <tableColumn id="11" xr3:uid="{D61F1C6E-D2AA-4D42-84E1-E89D419007D6}" name="Atual" dataCellStyle="Moeda">
      <calculatedColumnFormula>Geral!$B$3/COUNTA(participantes[ID])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0E6658-495C-4A79-A0A6-D6C1461C4A22}" name="Tabela5" displayName="Tabela5" ref="A1:C5" totalsRowShown="0" headerRowDxfId="12" tableBorderDxfId="11">
  <autoFilter ref="A1:C5" xr:uid="{700E6658-495C-4A79-A0A6-D6C1461C4A22}"/>
  <tableColumns count="3">
    <tableColumn id="1" xr3:uid="{70364159-8838-4F57-959F-06AED0DFD52E}" name="Descrição"/>
    <tableColumn id="2" xr3:uid="{13603140-3AC0-49FD-922F-29F00CA24C0C}" name="Valor" dataCellStyle="Moeda"/>
    <tableColumn id="3" xr3:uid="{05C495BB-33D1-40E7-AC78-3603C5281C14}" name="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57D50C-8D9F-4AB1-9907-E1255F5EAF6E}" name="Investimentos" displayName="Investimentos" ref="A1:K4" totalsRowShown="0">
  <autoFilter ref="A1:K4" xr:uid="{2F57D50C-8D9F-4AB1-9907-E1255F5EAF6E}"/>
  <tableColumns count="11">
    <tableColumn id="1" xr3:uid="{2094E236-758F-462B-A88B-0B1F3B8771B0}" name="Código"/>
    <tableColumn id="2" xr3:uid="{ED20D07D-11CA-470E-BD3C-3DB3914D8621}" name="OBS"/>
    <tableColumn id="3" xr3:uid="{741263A3-7B96-4BC6-B09E-A5031FD6B11F}" name="Data compra" dataDxfId="10"/>
    <tableColumn id="4" xr3:uid="{EE99C465-CE5D-4CCB-B6AE-D6E3E94E5A34}" name="Valor Cota" dataDxfId="9"/>
    <tableColumn id="5" xr3:uid="{9343948A-9711-47A6-86A9-478869BD75FD}" name="QTD Cotas" dataDxfId="8">
      <calculatedColumnFormula>50/D2</calculatedColumnFormula>
    </tableColumn>
    <tableColumn id="6" xr3:uid="{14965E9C-C407-49AB-8D27-189551E0B617}" name="Preço atual" dataDxfId="7">
      <calculatedColumnFormula>[1]Geral!$C$14/8000</calculatedColumnFormula>
    </tableColumn>
    <tableColumn id="7" xr3:uid="{A3F9FA57-6610-40D2-A3CC-DCCD35059EB7}" name="Total aplicado" dataDxfId="6" dataCellStyle="Moeda">
      <calculatedColumnFormula>E2*D2</calculatedColumnFormula>
    </tableColumn>
    <tableColumn id="8" xr3:uid="{99DEC96C-DBD3-4B1B-9E04-0C30333E1E19}" name="Valor atual" dataDxfId="5">
      <calculatedColumnFormula>F2*E2</calculatedColumnFormula>
    </tableColumn>
    <tableColumn id="11" xr3:uid="{A1AC7733-1042-48D8-93DC-5A1E476EC766}" name="Valor real" dataDxfId="4">
      <calculatedColumnFormula>Investimentos[[#This Row],[Lucro]]+(Investimentos[[#This Row],[Lucro]]*0.2)+Investimentos[[#This Row],[Total aplicado]]</calculatedColumnFormula>
    </tableColumn>
    <tableColumn id="9" xr3:uid="{78F20FB6-DCD6-4627-82C0-D8FBC0B7F3ED}" name="Lucro" dataDxfId="3">
      <calculatedColumnFormula>H2-G2</calculatedColumnFormula>
    </tableColumn>
    <tableColumn id="10" xr3:uid="{3B5AC86A-247E-437F-AF99-6220AE4B671A}" name="Em posse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FB1159D-14A2-49BA-85BE-A44737C6E3CB}" name="Tabela7" displayName="Tabela7" ref="A1:N3" totalsRowShown="0">
  <autoFilter ref="A1:N3" xr:uid="{AFB1159D-14A2-49BA-85BE-A44737C6E3CB}"/>
  <tableColumns count="14">
    <tableColumn id="1" xr3:uid="{C60B0CF5-8050-484C-89F4-017E3D8960E2}" name="ID"/>
    <tableColumn id="2" xr3:uid="{D66E2CD6-7E46-4A3B-BC49-24F30FFE5689}" name="ID Participante"/>
    <tableColumn id="3" xr3:uid="{D72A4E13-54BF-473A-8D51-580DE9E5A138}" name="Data empréstimo"/>
    <tableColumn id="4" xr3:uid="{110D605B-D052-49F1-A622-3DA1EFE53768}" name="Próximo Venc."/>
    <tableColumn id="5" xr3:uid="{0DA3A8A9-1CB4-4199-9A3F-1C28AC74735B}" name="Vencimento final"/>
    <tableColumn id="6" xr3:uid="{3238BBCE-12FD-4437-B9A3-3DC760955E87}" name="Parcelas"/>
    <tableColumn id="7" xr3:uid="{D3387CB7-BCF9-455E-BB54-D1715FC6EF0F}" name="Juros" dataCellStyle="Porcentagem"/>
    <tableColumn id="8" xr3:uid="{74AD34C2-F369-4591-B75B-FB345AB5E827}" name="Valor" dataCellStyle="Moeda"/>
    <tableColumn id="9" xr3:uid="{D325CB4E-2D02-428B-8703-B10C523A9632}" name="Valor final" dataCellStyle="Moeda">
      <calculatedColumnFormula>Tabela7[[#This Row],[Valor]]+(Tabela7[[#This Row],[Valor]]*(Tabela7[[#This Row],[Juros]]*Tabela7[[#This Row],[Parcelas]]))</calculatedColumnFormula>
    </tableColumn>
    <tableColumn id="10" xr3:uid="{4EBC689C-C53A-4B4E-9752-3777E07FAF63}" name="Valor parcela">
      <calculatedColumnFormula>Tabela7[[#This Row],[Valor final]]/Tabela7[[#This Row],[Parcelas]]</calculatedColumnFormula>
    </tableColumn>
    <tableColumn id="11" xr3:uid="{72B56CFE-98F7-4BD9-8394-EBC41AD0848E}" name="Valor pago"/>
    <tableColumn id="12" xr3:uid="{251C03B1-F155-4A4A-8D62-22DDCA0BAE7D}" name="Número parcela"/>
    <tableColumn id="14" xr3:uid="{9279860E-696B-4B49-AFEF-FBA54825334C}" name="Saldo devedor">
      <calculatedColumnFormula>Tabela7[[#This Row],[Valor final]]-Tabela7[[#This Row],[Valor pago]]</calculatedColumnFormula>
    </tableColumn>
    <tableColumn id="13" xr3:uid="{A00D5D0E-89C9-477A-9AA1-46059A51FBCF}" name="Status">
      <calculatedColumnFormula>IF(TODAY()&gt;Tabela7[[#This Row],[Próximo Venc.]],"Vencido","À pagar")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891125-C088-4223-AFED-A62E56738F56}" name="Emprestimos" displayName="Emprestimos" ref="A1:K2" totalsRowShown="0">
  <autoFilter ref="A1:K2" xr:uid="{2C891125-C088-4223-AFED-A62E56738F56}"/>
  <tableColumns count="11">
    <tableColumn id="1" xr3:uid="{1F38CEF8-8A61-4F0C-AFBE-E36D13DF7303}" name="ID"/>
    <tableColumn id="2" xr3:uid="{8D6D6EBE-208E-432B-BF48-5E2E229A661A}" name="id_participante"/>
    <tableColumn id="3" xr3:uid="{9341B114-2971-48D1-8B57-4FF24A0939BC}" name="Data emprestimo"/>
    <tableColumn id="4" xr3:uid="{1496329A-98FF-47A4-B8B5-24C7E6D9935F}" name="Valor"/>
    <tableColumn id="5" xr3:uid="{E31F384D-EF8D-448D-AD0D-16E2DCB21194}" name="Juros" dataCellStyle="Porcentagem"/>
    <tableColumn id="6" xr3:uid="{9BB9D9F3-7EB5-4F9E-8015-8A1921E63984}" name="Parcelas"/>
    <tableColumn id="7" xr3:uid="{B1B24F70-C866-4126-AFA3-D28C07C325ED}" name="Valor final">
      <calculatedColumnFormula>Emprestimos[[#This Row],[Valor]]+(Emprestimos[[#This Row],[Valor]]*(Emprestimos[[#This Row],[Juros]]*Emprestimos[[#This Row],[Parcelas]]))</calculatedColumnFormula>
    </tableColumn>
    <tableColumn id="11" xr3:uid="{D8164AEE-6231-4306-8323-5645DA52EA52}" name="Saldo">
      <calculatedColumnFormula>Emprestimos[[#This Row],[Valor final]]-SUMIF(Pagamentos[ID_empréstimo],Emprestimos[[#This Row],[ID]],Pagamentos[Valor pago])</calculatedColumnFormula>
    </tableColumn>
    <tableColumn id="12" xr3:uid="{9ED07986-23EC-43B4-A02A-A07347085165}" name="Parc. Abertas">
      <calculatedColumnFormula>COUNTIFS(Parcelas[[#All],[Status]],"Em aberto",Parcelas[[#All],[Id_Empréstimo]],Emprestimos[[#This Row],[ID]])</calculatedColumnFormula>
    </tableColumn>
    <tableColumn id="8" xr3:uid="{9D66E913-ADF2-4459-95DC-F0EF9553CA0E}" name="Vencimento"/>
    <tableColumn id="9" xr3:uid="{82DED3BB-994E-4D12-B5F6-93A5E0AF1368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BB5763A-BBCD-4FF9-8A7F-7C2DE477406C}" name="Parcelas" displayName="Parcelas" ref="A1:G3" totalsRowShown="0">
  <autoFilter ref="A1:G3" xr:uid="{CBB5763A-BBCD-4FF9-8A7F-7C2DE477406C}"/>
  <tableColumns count="7">
    <tableColumn id="1" xr3:uid="{B5BD6FB6-85AD-4333-BD59-D2D94F342BF2}" name="ID"/>
    <tableColumn id="2" xr3:uid="{B2220499-6820-4172-9C93-262080414420}" name="Id_Empréstimo"/>
    <tableColumn id="3" xr3:uid="{3C0E1457-2F82-4C32-A963-EB8514E7C687}" name="Parcela"/>
    <tableColumn id="4" xr3:uid="{C25C682B-EB37-4231-AF0D-A33262F84870}" name="Vencimento" dataDxfId="2">
      <calculatedColumnFormula>DATE(YEAR(VLOOKUP(Parcelas[[#This Row],[Id_Empréstimo]],Emprestimos[],3,0)),MONTH(VLOOKUP(Parcelas[[#This Row],[Id_Empréstimo]],Emprestimos[],3,0)) + Parcelas[[#This Row],[Parcela]], DAY(VLOOKUP(Parcelas[[#This Row],[Id_Empréstimo]],Emprestimos[],3,0)) + 5)</calculatedColumnFormula>
    </tableColumn>
    <tableColumn id="5" xr3:uid="{4EADF99F-E8E1-4A76-8AEB-3D5FF6F81219}" name="Valor" dataCellStyle="Moeda">
      <calculatedColumnFormula>VLOOKUP(Parcelas[[#This Row],[Id_Empréstimo]],Emprestimos[],7,0)/VLOOKUP(Parcelas[[#This Row],[Id_Empréstimo]],Emprestimos[],6,0)</calculatedColumnFormula>
    </tableColumn>
    <tableColumn id="6" xr3:uid="{C8CA066D-8DC0-4A3E-97E4-DFFDA70A9A97}" name="Saldo"/>
    <tableColumn id="7" xr3:uid="{9549BE58-59D5-4D96-9A79-F664B06C931F}" name="Status">
      <calculatedColumnFormula>IF(COUNTIF(Pagamentos[Id_parcela],Parcelas[[#This Row],[ID]])&gt;0,"Pago","Em aberto")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6E4A97B-7D5A-4E40-82A5-F239AD5B41EF}" name="Pagamentos" displayName="Pagamentos" ref="A1:F2" totalsRowShown="0">
  <autoFilter ref="A1:F2" xr:uid="{76E4A97B-7D5A-4E40-82A5-F239AD5B41EF}"/>
  <tableColumns count="6">
    <tableColumn id="1" xr3:uid="{198290B1-3A23-491B-9917-F49A606C0044}" name="ID"/>
    <tableColumn id="2" xr3:uid="{8F7769EF-6A96-4E39-BB0F-01679B56A442}" name="Id_parcela"/>
    <tableColumn id="3" xr3:uid="{D96FB320-4870-4F2A-B639-27749A58BD3C}" name="ID_empréstimo">
      <calculatedColumnFormula>VLOOKUP(Pagamentos[[#This Row],[Id_parcela]],Parcelas[],2,0)</calculatedColumnFormula>
    </tableColumn>
    <tableColumn id="4" xr3:uid="{D527EA31-FCF7-475B-ADC9-2A61449C6F1B}" name="Data pagamento"/>
    <tableColumn id="5" xr3:uid="{919AA612-E2ED-49A4-8491-FC64A867F464}" name="Valor pago" dataCellStyle="Moeda"/>
    <tableColumn id="6" xr3:uid="{DC0101C5-D504-401C-B4ED-4E39305B308A}" name="Saldo">
      <calculatedColumnFormula>IFERROR(F1-E2,VLOOKUP(Pagamentos[[#This Row],[ID_empréstimo]],Emprestimos[],7,0)-Pagamentos[[#This Row],[Valor pago]])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5347D-AEE3-4BA9-8106-8226F071653D}" name="enderecos" displayName="enderecos" ref="A1:H3" totalsRowShown="0">
  <autoFilter ref="A1:H3" xr:uid="{8EE5347D-AEE3-4BA9-8106-8226F071653D}"/>
  <tableColumns count="8">
    <tableColumn id="1" xr3:uid="{1164649D-BE4B-4197-8EB4-858D4A21E48C}" name="ID"/>
    <tableColumn id="2" xr3:uid="{64CB86C1-2274-4748-97BA-8C2371308E7B}" name="CEP"/>
    <tableColumn id="3" xr3:uid="{CA5F8486-D7E3-4E51-8C8A-1CC6C3053AE4}" name="UF"/>
    <tableColumn id="4" xr3:uid="{152B657C-5E11-47C8-A73E-1C45D5F76381}" name="Cidade"/>
    <tableColumn id="5" xr3:uid="{55D38993-5B42-4F1B-A064-890F5DF8E60D}" name="Bairro"/>
    <tableColumn id="6" xr3:uid="{BA08FB57-84F5-43DA-BF53-ED051E7C7CBA}" name="Rua"/>
    <tableColumn id="7" xr3:uid="{39EEDDA7-FB2B-4B59-AE31-F3F2A09FA092}" name="Nº"/>
    <tableColumn id="8" xr3:uid="{55BE5D5F-3901-44E9-A958-159D69D1AD23}" name="Complemen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C121B-5FD2-43F6-BF02-C8A9170D7250}" name="extrato" displayName="extrato" ref="A1:H3" totalsRowShown="0">
  <autoFilter ref="A1:H3" xr:uid="{2B7C121B-5FD2-43F6-BF02-C8A9170D7250}"/>
  <tableColumns count="8">
    <tableColumn id="1" xr3:uid="{61AC9B1F-B468-4A3A-BA37-2449BBCCD471}" name="ID"/>
    <tableColumn id="2" xr3:uid="{EE416862-95BC-44B1-9BDB-B15EA35AC103}" name="Categoria"/>
    <tableColumn id="3" xr3:uid="{E953A4D3-F564-4C17-8CC2-74954DCE0FF8}" name="Tipo"/>
    <tableColumn id="4" xr3:uid="{20489E7D-0CCE-4EE2-A996-6BC3E1401A31}" name="Valor" dataDxfId="1"/>
    <tableColumn id="5" xr3:uid="{856180D8-FE76-4062-882D-3EF3A84DB5DA}" name="Data" dataDxfId="0"/>
    <tableColumn id="6" xr3:uid="{C9D4CFD1-0C33-4307-9F19-6BFEA0E4FE25}" name="Responsável"/>
    <tableColumn id="8" xr3:uid="{3A27A84A-34F5-4D36-905D-96DFA9574067}" name="Observação"/>
    <tableColumn id="7" xr3:uid="{89AF7FC7-8116-4A83-9DD5-9D162E934845}" name="Nº Tans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walzinhoprogenio@gmail.com" TargetMode="External"/><Relationship Id="rId1" Type="http://schemas.openxmlformats.org/officeDocument/2006/relationships/hyperlink" Target="mailto:rodriguesarmando22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FD19B-6A32-4DA2-B955-DB5C9CCB8233}">
  <dimension ref="A1:K3"/>
  <sheetViews>
    <sheetView workbookViewId="0">
      <selection activeCell="I4" sqref="I4"/>
    </sheetView>
  </sheetViews>
  <sheetFormatPr defaultRowHeight="15" x14ac:dyDescent="0.25"/>
  <cols>
    <col min="2" max="2" width="31.28515625" bestFit="1" customWidth="1"/>
    <col min="3" max="3" width="12" style="1" bestFit="1" customWidth="1"/>
    <col min="4" max="4" width="11.7109375" customWidth="1"/>
    <col min="5" max="5" width="29.28515625" bestFit="1" customWidth="1"/>
    <col min="6" max="6" width="12" bestFit="1" customWidth="1"/>
    <col min="7" max="7" width="14" customWidth="1"/>
    <col min="8" max="8" width="9.5703125" customWidth="1"/>
    <col min="9" max="9" width="10.85546875" customWidth="1"/>
    <col min="10" max="10" width="11.85546875" customWidth="1"/>
    <col min="11" max="11" width="9.5703125" bestFit="1" customWidth="1"/>
  </cols>
  <sheetData>
    <row r="1" spans="1:11" x14ac:dyDescent="0.25">
      <c r="A1" t="s">
        <v>3</v>
      </c>
      <c r="B1" t="s">
        <v>0</v>
      </c>
      <c r="C1" s="1" t="s">
        <v>2</v>
      </c>
      <c r="D1" t="s">
        <v>1</v>
      </c>
      <c r="E1" t="s">
        <v>5</v>
      </c>
      <c r="F1" t="s">
        <v>4</v>
      </c>
      <c r="G1" t="s">
        <v>6</v>
      </c>
      <c r="H1" t="s">
        <v>7</v>
      </c>
      <c r="I1" t="s">
        <v>22</v>
      </c>
      <c r="J1" t="s">
        <v>23</v>
      </c>
      <c r="K1" t="s">
        <v>24</v>
      </c>
    </row>
    <row r="2" spans="1:11" x14ac:dyDescent="0.25">
      <c r="A2">
        <v>1</v>
      </c>
      <c r="B2" t="s">
        <v>8</v>
      </c>
      <c r="C2" s="1" t="s">
        <v>9</v>
      </c>
      <c r="D2">
        <v>1</v>
      </c>
      <c r="E2" s="2" t="s">
        <v>63</v>
      </c>
      <c r="F2">
        <v>91988468119</v>
      </c>
      <c r="G2">
        <v>6</v>
      </c>
      <c r="H2">
        <v>50</v>
      </c>
      <c r="I2" s="9">
        <f>SUMIFS(extrato[Valor],extrato[ID],participantes[[#This Row],[ID]],extrato[Tipo],"Entrada",extrato[Categoria],"Aplicação")</f>
        <v>50</v>
      </c>
      <c r="J2" s="9">
        <f>participantes[[#This Row],[Aplicado]]+(participantes[[#This Row],[Aplicado]]*Geral!C3)</f>
        <v>30.068787544502584</v>
      </c>
      <c r="K2" s="9">
        <f>Geral!$B$3/COUNTA(participantes[ID])</f>
        <v>30.068787544502584</v>
      </c>
    </row>
    <row r="3" spans="1:11" x14ac:dyDescent="0.25">
      <c r="A3">
        <v>2</v>
      </c>
      <c r="B3" t="s">
        <v>79</v>
      </c>
      <c r="C3" s="1" t="s">
        <v>80</v>
      </c>
      <c r="D3">
        <v>2</v>
      </c>
      <c r="E3" s="2" t="s">
        <v>81</v>
      </c>
      <c r="F3">
        <v>91985921827</v>
      </c>
      <c r="G3">
        <v>6</v>
      </c>
      <c r="H3">
        <v>50</v>
      </c>
      <c r="I3" s="9">
        <f>SUMIFS(extrato[Valor],extrato[ID],participantes[[#This Row],[ID]],extrato[Tipo],"Entrada",extrato[Categoria],"Aplicação")</f>
        <v>50</v>
      </c>
      <c r="J3" s="9">
        <f>participantes[[#This Row],[Aplicado]]+(participantes[[#This Row],[Aplicado]]*Geral!C3)</f>
        <v>30.068787544502584</v>
      </c>
      <c r="K3" s="9">
        <f>Geral!$B$3/COUNTA(participantes[ID])</f>
        <v>30.068787544502584</v>
      </c>
    </row>
  </sheetData>
  <hyperlinks>
    <hyperlink ref="E2" r:id="rId1" xr:uid="{000A1F26-DB01-4245-978D-58648BA4FBD7}"/>
    <hyperlink ref="E3" r:id="rId2" xr:uid="{946D8C13-4B0E-4819-BE09-0107E9D0E5EA}"/>
  </hyperlinks>
  <pageMargins left="0.511811024" right="0.511811024" top="0.78740157499999996" bottom="0.78740157499999996" header="0.31496062000000002" footer="0.31496062000000002"/>
  <ignoredErrors>
    <ignoredError sqref="C2:C3" numberStoredAsText="1"/>
    <ignoredError sqref="K2:K3 J2:J3" calculatedColumn="1"/>
  </ignoredError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F6F5-A5C0-48FC-8C16-7719456E9AC9}">
  <dimension ref="A1:C5"/>
  <sheetViews>
    <sheetView tabSelected="1" workbookViewId="0">
      <selection activeCell="E11" sqref="E11"/>
    </sheetView>
  </sheetViews>
  <sheetFormatPr defaultRowHeight="15" x14ac:dyDescent="0.25"/>
  <cols>
    <col min="1" max="1" width="16.42578125" bestFit="1" customWidth="1"/>
    <col min="2" max="2" width="10.5703125" customWidth="1"/>
    <col min="3" max="3" width="12.140625" bestFit="1" customWidth="1"/>
  </cols>
  <sheetData>
    <row r="1" spans="1:3" x14ac:dyDescent="0.25">
      <c r="A1" s="7" t="s">
        <v>34</v>
      </c>
      <c r="B1" s="7" t="s">
        <v>25</v>
      </c>
      <c r="C1" s="7" t="s">
        <v>82</v>
      </c>
    </row>
    <row r="2" spans="1:3" x14ac:dyDescent="0.25">
      <c r="A2" s="6" t="s">
        <v>35</v>
      </c>
      <c r="B2" s="12">
        <f>SUMIF(extrato[Categoria],"Aplicação",extrato[Valor])</f>
        <v>100</v>
      </c>
    </row>
    <row r="3" spans="1:3" x14ac:dyDescent="0.25">
      <c r="A3" s="5" t="s">
        <v>36</v>
      </c>
      <c r="B3" s="13">
        <f>SUMIF(Investimentos[Em posse?],"Sim",Investimentos[Valor real])</f>
        <v>60.137575089005168</v>
      </c>
      <c r="C3" s="11">
        <f>(Tabela5[[#This Row],[Valor]]-B2)*1/B2</f>
        <v>-0.39862424910994831</v>
      </c>
    </row>
    <row r="4" spans="1:3" x14ac:dyDescent="0.25">
      <c r="A4" s="6" t="s">
        <v>37</v>
      </c>
      <c r="B4" s="12">
        <f>SUMIF(extrato[Categoria],"Empréstimo",extrato[Valor])</f>
        <v>0</v>
      </c>
    </row>
    <row r="5" spans="1:3" x14ac:dyDescent="0.25">
      <c r="A5" s="5" t="s">
        <v>49</v>
      </c>
      <c r="B5" s="13">
        <f>B3-B4</f>
        <v>60.137575089005168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65C4-726B-4A95-9B15-DA7266B169C4}">
  <dimension ref="A1:K7"/>
  <sheetViews>
    <sheetView workbookViewId="0">
      <selection activeCell="H11" sqref="H11"/>
    </sheetView>
  </sheetViews>
  <sheetFormatPr defaultRowHeight="15" x14ac:dyDescent="0.25"/>
  <cols>
    <col min="1" max="1" width="9.5703125" customWidth="1"/>
    <col min="3" max="3" width="10.42578125" bestFit="1" customWidth="1"/>
    <col min="4" max="4" width="12.42578125" customWidth="1"/>
    <col min="5" max="5" width="12.7109375" customWidth="1"/>
    <col min="6" max="6" width="13.140625" customWidth="1"/>
    <col min="7" max="7" width="15.5703125" customWidth="1"/>
    <col min="8" max="9" width="12.5703125" customWidth="1"/>
    <col min="10" max="10" width="9.5703125" bestFit="1" customWidth="1"/>
    <col min="11" max="11" width="12.85546875" customWidth="1"/>
  </cols>
  <sheetData>
    <row r="1" spans="1:11" x14ac:dyDescent="0.25">
      <c r="A1" t="s">
        <v>38</v>
      </c>
      <c r="B1" t="s">
        <v>39</v>
      </c>
      <c r="C1" t="s">
        <v>70</v>
      </c>
      <c r="D1" t="s">
        <v>44</v>
      </c>
      <c r="E1" t="s">
        <v>45</v>
      </c>
      <c r="F1" t="s">
        <v>47</v>
      </c>
      <c r="G1" t="s">
        <v>46</v>
      </c>
      <c r="H1" t="s">
        <v>40</v>
      </c>
      <c r="I1" t="s">
        <v>62</v>
      </c>
      <c r="J1" t="s">
        <v>41</v>
      </c>
      <c r="K1" t="s">
        <v>42</v>
      </c>
    </row>
    <row r="2" spans="1:11" x14ac:dyDescent="0.25">
      <c r="A2" t="s">
        <v>43</v>
      </c>
      <c r="C2" s="3">
        <v>46052</v>
      </c>
      <c r="D2" s="4">
        <v>1.6216840054347417</v>
      </c>
      <c r="E2" s="8">
        <v>30.832147220072002</v>
      </c>
      <c r="F2" s="8">
        <v>2.7490313815158189</v>
      </c>
      <c r="G2" s="9">
        <v>50</v>
      </c>
      <c r="H2" s="10">
        <v>84.758540267493657</v>
      </c>
      <c r="I2" s="10">
        <v>91.710248320992392</v>
      </c>
      <c r="J2" s="10">
        <v>34.758540267493657</v>
      </c>
      <c r="K2" t="s">
        <v>86</v>
      </c>
    </row>
    <row r="3" spans="1:11" x14ac:dyDescent="0.25">
      <c r="A3" t="s">
        <v>43</v>
      </c>
      <c r="C3" s="3">
        <v>46061</v>
      </c>
      <c r="D3" s="4">
        <v>1.52</v>
      </c>
      <c r="E3" s="8">
        <v>32.89473684210526</v>
      </c>
      <c r="F3" s="8">
        <v>2.7490313815158189</v>
      </c>
      <c r="G3" s="14">
        <v>49.999999999999993</v>
      </c>
      <c r="H3" s="10">
        <v>90.428663865651927</v>
      </c>
      <c r="I3" s="10">
        <v>98.514396638782316</v>
      </c>
      <c r="J3" s="10">
        <v>40.428663865651934</v>
      </c>
      <c r="K3" t="s">
        <v>86</v>
      </c>
    </row>
    <row r="4" spans="1:11" x14ac:dyDescent="0.25">
      <c r="A4" t="s">
        <v>43</v>
      </c>
      <c r="C4" s="3">
        <v>46030</v>
      </c>
      <c r="D4" s="4">
        <v>1.52</v>
      </c>
      <c r="E4" s="8">
        <v>20.079999999999998</v>
      </c>
      <c r="F4" s="8">
        <f>[1]Geral!$C$14/8000</f>
        <v>2.7490826315158188</v>
      </c>
      <c r="G4" s="14">
        <f>E4*D4</f>
        <v>30.521599999999999</v>
      </c>
      <c r="H4" s="10">
        <f>F4*E4</f>
        <v>55.201579240837638</v>
      </c>
      <c r="I4" s="10">
        <f>Investimentos[[#This Row],[Lucro]]+(Investimentos[[#This Row],[Lucro]]*0.2)+Investimentos[[#This Row],[Total aplicado]]</f>
        <v>60.137575089005168</v>
      </c>
      <c r="J4" s="10">
        <f>H4-G4</f>
        <v>24.679979240837639</v>
      </c>
      <c r="K4" t="s">
        <v>48</v>
      </c>
    </row>
    <row r="5" spans="1:11" x14ac:dyDescent="0.25">
      <c r="H5" s="10"/>
      <c r="I5" s="10"/>
    </row>
    <row r="7" spans="1:11" x14ac:dyDescent="0.25">
      <c r="E7" s="10"/>
    </row>
  </sheetData>
  <pageMargins left="0.511811024" right="0.511811024" top="0.78740157499999996" bottom="0.78740157499999996" header="0.31496062000000002" footer="0.31496062000000002"/>
  <ignoredErrors>
    <ignoredError sqref="E4 E2:K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2609B-7B27-400D-8043-3B2EE9A1AD1B}">
  <dimension ref="A1:N3"/>
  <sheetViews>
    <sheetView workbookViewId="0">
      <selection activeCell="L20" sqref="L20"/>
    </sheetView>
  </sheetViews>
  <sheetFormatPr defaultRowHeight="15" x14ac:dyDescent="0.25"/>
  <cols>
    <col min="1" max="1" width="5.28515625" bestFit="1" customWidth="1"/>
    <col min="2" max="2" width="16.7109375" bestFit="1" customWidth="1"/>
    <col min="3" max="3" width="18.7109375" customWidth="1"/>
    <col min="4" max="4" width="16.28515625" bestFit="1" customWidth="1"/>
    <col min="5" max="5" width="18.42578125" customWidth="1"/>
    <col min="6" max="6" width="10.7109375" customWidth="1"/>
    <col min="8" max="8" width="9.5703125" bestFit="1" customWidth="1"/>
    <col min="9" max="9" width="12.140625" customWidth="1"/>
    <col min="10" max="10" width="14.7109375" customWidth="1"/>
    <col min="11" max="11" width="12.42578125" customWidth="1"/>
    <col min="12" max="12" width="17.42578125" customWidth="1"/>
    <col min="13" max="13" width="16.28515625" bestFit="1" customWidth="1"/>
  </cols>
  <sheetData>
    <row r="1" spans="1:14" x14ac:dyDescent="0.25">
      <c r="A1" t="s">
        <v>3</v>
      </c>
      <c r="B1" t="s">
        <v>50</v>
      </c>
      <c r="C1" t="s">
        <v>51</v>
      </c>
      <c r="D1" t="s">
        <v>60</v>
      </c>
      <c r="E1" t="s">
        <v>52</v>
      </c>
      <c r="F1" t="s">
        <v>53</v>
      </c>
      <c r="G1" t="s">
        <v>54</v>
      </c>
      <c r="H1" t="s">
        <v>25</v>
      </c>
      <c r="I1" t="s">
        <v>55</v>
      </c>
      <c r="J1" t="s">
        <v>56</v>
      </c>
      <c r="K1" t="s">
        <v>57</v>
      </c>
      <c r="L1" t="s">
        <v>58</v>
      </c>
      <c r="M1" t="s">
        <v>61</v>
      </c>
      <c r="N1" t="s">
        <v>59</v>
      </c>
    </row>
    <row r="2" spans="1:14" x14ac:dyDescent="0.25">
      <c r="A2">
        <v>1</v>
      </c>
      <c r="B2">
        <v>1</v>
      </c>
      <c r="C2" s="3">
        <v>46052</v>
      </c>
      <c r="D2" s="3">
        <v>46059</v>
      </c>
      <c r="E2" s="3">
        <v>46087</v>
      </c>
      <c r="F2">
        <v>2</v>
      </c>
      <c r="G2" s="11">
        <v>4.0800000000000003E-2</v>
      </c>
      <c r="H2" s="9">
        <v>10</v>
      </c>
      <c r="I2" s="9">
        <f>Tabela7[[#This Row],[Valor]]+(Tabela7[[#This Row],[Valor]]*(Tabela7[[#This Row],[Juros]]*Tabela7[[#This Row],[Parcelas]]))</f>
        <v>10.816000000000001</v>
      </c>
      <c r="J2" s="10">
        <f>Tabela7[[#This Row],[Valor final]]/Tabela7[[#This Row],[Parcelas]]</f>
        <v>5.4080000000000004</v>
      </c>
      <c r="K2">
        <v>0</v>
      </c>
      <c r="L2">
        <v>1</v>
      </c>
      <c r="M2" s="10">
        <f>Tabela7[[#This Row],[Valor final]]-Tabela7[[#This Row],[Valor pago]]</f>
        <v>10.816000000000001</v>
      </c>
      <c r="N2" t="str">
        <f ca="1">IF(TODAY()&gt;Tabela7[[#This Row],[Próximo Venc.]],"Vencido","À pagar")</f>
        <v>Vencido</v>
      </c>
    </row>
    <row r="3" spans="1:14" x14ac:dyDescent="0.25">
      <c r="A3">
        <v>1</v>
      </c>
      <c r="B3">
        <v>1</v>
      </c>
      <c r="C3" s="3">
        <v>46052</v>
      </c>
      <c r="D3" s="3">
        <v>46087</v>
      </c>
      <c r="E3" s="3">
        <v>46087</v>
      </c>
      <c r="F3">
        <v>2</v>
      </c>
      <c r="G3" s="11">
        <v>4.0800000000000003E-2</v>
      </c>
      <c r="H3" s="9">
        <v>10</v>
      </c>
      <c r="I3" s="9">
        <f>Tabela7[[#This Row],[Valor]]+(Tabela7[[#This Row],[Valor]]*(Tabela7[[#This Row],[Juros]]*Tabela7[[#This Row],[Parcelas]]))</f>
        <v>10.816000000000001</v>
      </c>
      <c r="J3" s="9">
        <f>Tabela7[[#This Row],[Valor final]]/Tabela7[[#This Row],[Parcelas]]</f>
        <v>5.4080000000000004</v>
      </c>
      <c r="K3">
        <f ca="1">SUMIF(Tabela7[ID],Tabela7[[#This Row],[ID]],K2)</f>
        <v>0</v>
      </c>
      <c r="L3">
        <v>2</v>
      </c>
      <c r="M3" s="9">
        <f ca="1">Tabela7[[#This Row],[Valor final]]-Tabela7[[#This Row],[Valor pago]]</f>
        <v>10.816000000000001</v>
      </c>
      <c r="N3" t="str">
        <f ca="1">IF(TODAY()&gt;Tabela7[[#This Row],[Próximo Venc.]],"Vencido","À pagar")</f>
        <v>À pagar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09BE-9531-4266-82AC-DE548FACC94B}">
  <dimension ref="A1:K2"/>
  <sheetViews>
    <sheetView workbookViewId="0">
      <selection activeCell="B3" sqref="B3"/>
    </sheetView>
  </sheetViews>
  <sheetFormatPr defaultRowHeight="15" x14ac:dyDescent="0.25"/>
  <cols>
    <col min="1" max="1" width="5.28515625" bestFit="1" customWidth="1"/>
    <col min="2" max="2" width="16.85546875" bestFit="1" customWidth="1"/>
    <col min="3" max="3" width="10.42578125" bestFit="1" customWidth="1"/>
    <col min="4" max="4" width="7.85546875" bestFit="1" customWidth="1"/>
    <col min="5" max="5" width="8" bestFit="1" customWidth="1"/>
    <col min="6" max="6" width="10.85546875" bestFit="1" customWidth="1"/>
    <col min="7" max="7" width="12.28515625" bestFit="1" customWidth="1"/>
    <col min="8" max="8" width="14.140625" bestFit="1" customWidth="1"/>
    <col min="9" max="9" width="9.85546875" bestFit="1" customWidth="1"/>
    <col min="10" max="10" width="14.140625" bestFit="1" customWidth="1"/>
  </cols>
  <sheetData>
    <row r="1" spans="1:11" x14ac:dyDescent="0.25">
      <c r="A1" t="s">
        <v>3</v>
      </c>
      <c r="B1" t="s">
        <v>64</v>
      </c>
      <c r="C1" t="s">
        <v>69</v>
      </c>
      <c r="D1" t="s">
        <v>25</v>
      </c>
      <c r="E1" t="s">
        <v>54</v>
      </c>
      <c r="F1" t="s">
        <v>53</v>
      </c>
      <c r="G1" t="s">
        <v>55</v>
      </c>
      <c r="H1" t="s">
        <v>67</v>
      </c>
      <c r="I1" t="s">
        <v>74</v>
      </c>
      <c r="J1" t="s">
        <v>6</v>
      </c>
      <c r="K1" t="s">
        <v>59</v>
      </c>
    </row>
    <row r="2" spans="1:11" x14ac:dyDescent="0.25">
      <c r="A2">
        <v>1</v>
      </c>
      <c r="B2">
        <v>2</v>
      </c>
      <c r="C2" s="3">
        <v>46065</v>
      </c>
      <c r="D2">
        <v>120</v>
      </c>
      <c r="E2" s="11">
        <v>4.0800000000000003E-2</v>
      </c>
      <c r="F2">
        <v>2</v>
      </c>
      <c r="G2">
        <f>Emprestimos[[#This Row],[Valor]]+(Emprestimos[[#This Row],[Valor]]*(Emprestimos[[#This Row],[Juros]]*Emprestimos[[#This Row],[Parcelas]]))</f>
        <v>129.792</v>
      </c>
      <c r="H2">
        <f>Emprestimos[[#This Row],[Valor final]]-SUMIF(Pagamentos[ID_empréstimo],Emprestimos[[#This Row],[ID]],Pagamentos[Valor pago])</f>
        <v>129.792</v>
      </c>
      <c r="I2">
        <f>COUNTIFS(Parcelas[[#All],[Status]],"Em aberto",Parcelas[[#All],[Id_Empréstimo]],Emprestimos[[#This Row],[ID]])</f>
        <v>2</v>
      </c>
      <c r="J2" s="3">
        <v>46124</v>
      </c>
      <c r="K2" t="s">
        <v>68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3D6C7-F630-4A1D-83C2-01D1A4DFA421}">
  <dimension ref="A1:G3"/>
  <sheetViews>
    <sheetView workbookViewId="0">
      <selection activeCell="G7" sqref="G7"/>
    </sheetView>
  </sheetViews>
  <sheetFormatPr defaultRowHeight="15" x14ac:dyDescent="0.25"/>
  <cols>
    <col min="2" max="2" width="16.7109375" customWidth="1"/>
    <col min="3" max="3" width="9.7109375" customWidth="1"/>
    <col min="4" max="4" width="14" customWidth="1"/>
    <col min="5" max="5" width="9.5703125" bestFit="1" customWidth="1"/>
    <col min="7" max="7" width="9.85546875" bestFit="1" customWidth="1"/>
  </cols>
  <sheetData>
    <row r="1" spans="1:7" x14ac:dyDescent="0.25">
      <c r="A1" t="s">
        <v>3</v>
      </c>
      <c r="B1" t="s">
        <v>65</v>
      </c>
      <c r="C1" t="s">
        <v>66</v>
      </c>
      <c r="D1" t="s">
        <v>6</v>
      </c>
      <c r="E1" t="s">
        <v>25</v>
      </c>
      <c r="F1" t="s">
        <v>67</v>
      </c>
      <c r="G1" t="s">
        <v>59</v>
      </c>
    </row>
    <row r="2" spans="1:7" x14ac:dyDescent="0.25">
      <c r="A2">
        <v>1</v>
      </c>
      <c r="B2">
        <v>1</v>
      </c>
      <c r="C2">
        <v>1</v>
      </c>
      <c r="D2" s="3">
        <f>DATE(YEAR(VLOOKUP(Parcelas[[#This Row],[Id_Empréstimo]],Emprestimos[],3,0)),MONTH(VLOOKUP(Parcelas[[#This Row],[Id_Empréstimo]],Emprestimos[],3,0)) + Parcelas[[#This Row],[Parcela]], DAY(VLOOKUP(Parcelas[[#This Row],[Id_Empréstimo]],Emprestimos[],3,0)))</f>
        <v>46093</v>
      </c>
      <c r="E2" s="9">
        <f>VLOOKUP(Parcelas[[#This Row],[Id_Empréstimo]],Emprestimos[],7,0)/VLOOKUP(Parcelas[[#This Row],[Id_Empréstimo]],Emprestimos[],6,0)</f>
        <v>64.896000000000001</v>
      </c>
      <c r="G2" t="str">
        <f>IF(COUNTIF(Pagamentos[Id_parcela],Parcelas[[#This Row],[ID]])&gt;0,"Pago","Em aberto")</f>
        <v>Em aberto</v>
      </c>
    </row>
    <row r="3" spans="1:7" x14ac:dyDescent="0.25">
      <c r="A3">
        <v>2</v>
      </c>
      <c r="B3">
        <v>1</v>
      </c>
      <c r="C3">
        <v>2</v>
      </c>
      <c r="D3" s="3">
        <f>DATE(YEAR(VLOOKUP(Parcelas[[#This Row],[Id_Empréstimo]],Emprestimos[],3,0)),MONTH(VLOOKUP(Parcelas[[#This Row],[Id_Empréstimo]],Emprestimos[],3,0)) + Parcelas[[#This Row],[Parcela]], DAY(VLOOKUP(Parcelas[[#This Row],[Id_Empréstimo]],Emprestimos[],3,0)))</f>
        <v>46124</v>
      </c>
      <c r="E3" s="9">
        <f>VLOOKUP(Parcelas[[#This Row],[Id_Empréstimo]],Emprestimos[],7,0)/VLOOKUP(Parcelas[[#This Row],[Id_Empréstimo]],Emprestimos[],6,0)</f>
        <v>64.896000000000001</v>
      </c>
      <c r="G3" t="str">
        <f>IF(COUNTIF(Pagamentos[Id_parcela],Parcelas[[#This Row],[ID]])&gt;0,"Pago","Em aberto")</f>
        <v>Em aberto</v>
      </c>
    </row>
  </sheetData>
  <pageMargins left="0.511811024" right="0.511811024" top="0.78740157499999996" bottom="0.78740157499999996" header="0.31496062000000002" footer="0.31496062000000002"/>
  <ignoredErrors>
    <ignoredError sqref="G2 D2:D3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C499B-3A06-4A65-996F-FA55853D1BAC}">
  <dimension ref="A1:F2"/>
  <sheetViews>
    <sheetView workbookViewId="0">
      <selection activeCell="B3" sqref="B3"/>
    </sheetView>
  </sheetViews>
  <sheetFormatPr defaultRowHeight="15" x14ac:dyDescent="0.25"/>
  <cols>
    <col min="2" max="2" width="12.28515625" customWidth="1"/>
    <col min="3" max="3" width="17" customWidth="1"/>
    <col min="4" max="4" width="17.7109375" customWidth="1"/>
    <col min="5" max="5" width="12.42578125" customWidth="1"/>
    <col min="6" max="6" width="10.5703125" bestFit="1" customWidth="1"/>
  </cols>
  <sheetData>
    <row r="1" spans="1:6" x14ac:dyDescent="0.25">
      <c r="A1" t="s">
        <v>3</v>
      </c>
      <c r="B1" t="s">
        <v>71</v>
      </c>
      <c r="C1" t="s">
        <v>72</v>
      </c>
      <c r="D1" t="s">
        <v>73</v>
      </c>
      <c r="E1" t="s">
        <v>57</v>
      </c>
      <c r="F1" t="s">
        <v>67</v>
      </c>
    </row>
    <row r="2" spans="1:6" x14ac:dyDescent="0.25">
      <c r="A2">
        <v>1</v>
      </c>
      <c r="B2">
        <v>3</v>
      </c>
      <c r="C2" t="e">
        <f>VLOOKUP(Pagamentos[[#This Row],[Id_parcela]],Parcelas[],2,0)</f>
        <v>#N/A</v>
      </c>
      <c r="D2" s="3">
        <v>46054</v>
      </c>
      <c r="E2" s="9"/>
      <c r="F2" s="10" t="e">
        <f>IFERROR(F1-E2,VLOOKUP(Pagamentos[[#This Row],[ID_empréstimo]],Emprestimos[],7,0)-Pagamentos[[#This Row],[Valor pago]])</f>
        <v>#N/A</v>
      </c>
    </row>
  </sheetData>
  <pageMargins left="0.511811024" right="0.511811024" top="0.78740157499999996" bottom="0.78740157499999996" header="0.31496062000000002" footer="0.31496062000000002"/>
  <ignoredErrors>
    <ignoredError sqref="F2" calculatedColumn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0565B-26F6-4021-BBCD-84962C88471E}">
  <dimension ref="A1:H3"/>
  <sheetViews>
    <sheetView workbookViewId="0">
      <selection activeCell="H9" sqref="H9"/>
    </sheetView>
  </sheetViews>
  <sheetFormatPr defaultRowHeight="15" x14ac:dyDescent="0.25"/>
  <cols>
    <col min="1" max="1" width="5.28515625" bestFit="1" customWidth="1"/>
    <col min="2" max="2" width="9" bestFit="1" customWidth="1"/>
    <col min="3" max="3" width="5.5703125" bestFit="1" customWidth="1"/>
    <col min="4" max="4" width="11" bestFit="1" customWidth="1"/>
    <col min="5" max="5" width="18.42578125" bestFit="1" customWidth="1"/>
    <col min="6" max="6" width="11" bestFit="1" customWidth="1"/>
    <col min="7" max="7" width="5.5703125" bestFit="1" customWidth="1"/>
    <col min="8" max="8" width="16.42578125" bestFit="1" customWidth="1"/>
  </cols>
  <sheetData>
    <row r="1" spans="1:8" x14ac:dyDescent="0.25">
      <c r="A1" t="s">
        <v>3</v>
      </c>
      <c r="B1" t="s">
        <v>15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16</v>
      </c>
    </row>
    <row r="2" spans="1:8" x14ac:dyDescent="0.25">
      <c r="A2">
        <v>1</v>
      </c>
      <c r="B2">
        <v>35501521</v>
      </c>
      <c r="C2" t="s">
        <v>17</v>
      </c>
      <c r="D2" t="s">
        <v>18</v>
      </c>
      <c r="E2" t="s">
        <v>19</v>
      </c>
      <c r="F2" t="s">
        <v>20</v>
      </c>
      <c r="G2">
        <v>81</v>
      </c>
      <c r="H2" t="s">
        <v>21</v>
      </c>
    </row>
    <row r="3" spans="1:8" x14ac:dyDescent="0.25">
      <c r="A3">
        <v>2</v>
      </c>
      <c r="B3">
        <v>67010320</v>
      </c>
      <c r="C3" t="s">
        <v>75</v>
      </c>
      <c r="D3" t="s">
        <v>76</v>
      </c>
      <c r="E3" t="s">
        <v>77</v>
      </c>
      <c r="F3" t="s">
        <v>78</v>
      </c>
      <c r="G3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0C162-5762-4C8E-B0A5-558ECDA215A4}">
  <dimension ref="A1:H3"/>
  <sheetViews>
    <sheetView workbookViewId="0">
      <selection activeCell="G15" sqref="G15"/>
    </sheetView>
  </sheetViews>
  <sheetFormatPr defaultRowHeight="15" x14ac:dyDescent="0.25"/>
  <cols>
    <col min="2" max="2" width="11.85546875" customWidth="1"/>
    <col min="4" max="4" width="9.140625" style="4"/>
    <col min="5" max="5" width="10.42578125" bestFit="1" customWidth="1"/>
    <col min="6" max="6" width="14.7109375" customWidth="1"/>
    <col min="8" max="8" width="14.28515625" bestFit="1" customWidth="1"/>
  </cols>
  <sheetData>
    <row r="1" spans="1:8" x14ac:dyDescent="0.25">
      <c r="A1" t="s">
        <v>3</v>
      </c>
      <c r="B1" t="s">
        <v>28</v>
      </c>
      <c r="C1" t="s">
        <v>26</v>
      </c>
      <c r="D1" s="4" t="s">
        <v>25</v>
      </c>
      <c r="E1" t="s">
        <v>27</v>
      </c>
      <c r="F1" t="s">
        <v>29</v>
      </c>
      <c r="G1" t="s">
        <v>32</v>
      </c>
      <c r="H1" t="s">
        <v>83</v>
      </c>
    </row>
    <row r="2" spans="1:8" x14ac:dyDescent="0.25">
      <c r="A2">
        <v>1</v>
      </c>
      <c r="B2" t="s">
        <v>30</v>
      </c>
      <c r="C2" t="s">
        <v>31</v>
      </c>
      <c r="D2" s="4">
        <v>50</v>
      </c>
      <c r="E2" s="3">
        <v>46052</v>
      </c>
      <c r="F2">
        <v>1</v>
      </c>
      <c r="G2" t="s">
        <v>33</v>
      </c>
      <c r="H2" t="s">
        <v>84</v>
      </c>
    </row>
    <row r="3" spans="1:8" x14ac:dyDescent="0.25">
      <c r="A3">
        <v>2</v>
      </c>
      <c r="B3" t="s">
        <v>30</v>
      </c>
      <c r="C3" t="s">
        <v>31</v>
      </c>
      <c r="D3" s="4">
        <v>50</v>
      </c>
      <c r="E3" s="3">
        <v>46061</v>
      </c>
      <c r="F3">
        <v>1</v>
      </c>
      <c r="G3" t="s">
        <v>33</v>
      </c>
      <c r="H3" t="s">
        <v>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Participantes</vt:lpstr>
      <vt:lpstr>Geral</vt:lpstr>
      <vt:lpstr>Investimentos</vt:lpstr>
      <vt:lpstr>Controle de empréstimos</vt:lpstr>
      <vt:lpstr>Empréstimos</vt:lpstr>
      <vt:lpstr>Parcelas</vt:lpstr>
      <vt:lpstr>Pagamentos</vt:lpstr>
      <vt:lpstr>Endereços</vt:lpstr>
      <vt:lpstr>Extrato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rodrigues</dc:creator>
  <cp:lastModifiedBy>Armando rodrigues</cp:lastModifiedBy>
  <dcterms:created xsi:type="dcterms:W3CDTF">2026-01-30T22:56:00Z</dcterms:created>
  <dcterms:modified xsi:type="dcterms:W3CDTF">2026-02-13T15:57:59Z</dcterms:modified>
</cp:coreProperties>
</file>