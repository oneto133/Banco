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60" windowWidth="15375" windowHeight="7785" tabRatio="593" firstSheet="0" activeTab="0" autoFilterDateGrouping="1"/>
  </bookViews>
  <sheets>
    <sheet name="Base" sheetId="1" state="visible" r:id="rId1"/>
    <sheet name="Saúde financeir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0.000%"/>
    <numFmt numFmtId="166" formatCode="_-&quot;R$&quot;\ * #,##0.00000_-;\-&quot;R$&quot;\ * #,##0.00000_-;_-&quot;R$&quot;\ * &quot;-&quot;??_-;_-@_-"/>
    <numFmt numFmtId="167" formatCode="0.0000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arrow"/>
      <family val="2"/>
      <b val="1"/>
      <color theme="1"/>
      <sz val="20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7" fontId="0" fillId="0" borderId="0" pivotButton="0" quotePrefix="0" xfId="0"/>
    <xf numFmtId="164" fontId="1" fillId="0" borderId="0" pivotButton="0" quotePrefix="0" xfId="1"/>
    <xf numFmtId="164" fontId="1" fillId="0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0" fillId="0" borderId="0" pivotButton="0" quotePrefix="0" xfId="0"/>
    <xf numFmtId="164" fontId="1" fillId="0" borderId="0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1" fillId="0" borderId="7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" fillId="0" borderId="4" applyAlignment="1" pivotButton="0" quotePrefix="0" xfId="2">
      <alignment horizontal="center" vertical="center"/>
    </xf>
    <xf numFmtId="165" fontId="0" fillId="0" borderId="4" applyAlignment="1" pivotButton="0" quotePrefix="0" xfId="2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1" fillId="0" borderId="5" applyAlignment="1" pivotButton="0" quotePrefix="0" xfId="1">
      <alignment horizontal="center" vertical="center"/>
    </xf>
    <xf numFmtId="165" fontId="1" fillId="0" borderId="6" applyAlignment="1" pivotButton="0" quotePrefix="0" xfId="2">
      <alignment horizontal="center" vertical="center"/>
    </xf>
    <xf numFmtId="164" fontId="0" fillId="0" borderId="6" applyAlignment="1" pivotButton="0" quotePrefix="0" xfId="1">
      <alignment horizontal="center" vertical="center"/>
    </xf>
    <xf numFmtId="166" fontId="1" fillId="0" borderId="4" applyAlignment="1" pivotButton="0" quotePrefix="0" xfId="1">
      <alignment horizontal="center" vertical="center"/>
    </xf>
    <xf numFmtId="164" fontId="1" fillId="0" borderId="8" applyAlignment="1" pivotButton="0" quotePrefix="0" xfId="1">
      <alignment horizontal="center" vertical="center"/>
    </xf>
    <xf numFmtId="166" fontId="1" fillId="0" borderId="6" applyAlignment="1" pivotButton="0" quotePrefix="0" xfId="1">
      <alignment horizontal="center" vertical="center"/>
    </xf>
    <xf numFmtId="166" fontId="1" fillId="5" borderId="6" applyAlignment="1" pivotButton="0" quotePrefix="0" xfId="1">
      <alignment horizontal="center" vertical="center"/>
    </xf>
    <xf numFmtId="166" fontId="1" fillId="5" borderId="4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0" fillId="6" borderId="4" pivotButton="0" quotePrefix="0" xfId="0"/>
    <xf numFmtId="164" fontId="0" fillId="7" borderId="4" pivotButton="0" quotePrefix="0" xfId="0"/>
    <xf numFmtId="164" fontId="1" fillId="0" borderId="8" pivotButton="0" quotePrefix="0" xfId="1"/>
    <xf numFmtId="164" fontId="1" fillId="0" borderId="10" pivotButton="0" quotePrefix="0" xfId="1"/>
    <xf numFmtId="0" fontId="0" fillId="8" borderId="4" applyAlignment="1" pivotButton="0" quotePrefix="0" xfId="0">
      <alignment horizontal="center" vertical="center"/>
    </xf>
    <xf numFmtId="164" fontId="0" fillId="8" borderId="4" applyAlignment="1" pivotButton="0" quotePrefix="0" xfId="1">
      <alignment horizontal="center" vertical="center"/>
    </xf>
    <xf numFmtId="0" fontId="3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7" fontId="0" fillId="0" borderId="5" applyAlignment="1" pivotButton="0" quotePrefix="0" xfId="0">
      <alignment horizontal="center" vertical="center"/>
    </xf>
    <xf numFmtId="167" fontId="0" fillId="0" borderId="0" pivotButton="0" quotePrefix="0" xfId="0"/>
    <xf numFmtId="164" fontId="1" fillId="0" borderId="11" applyAlignment="1" pivotButton="0" quotePrefix="0" xfId="1">
      <alignment horizontal="center" vertical="center"/>
    </xf>
    <xf numFmtId="14" fontId="0" fillId="8" borderId="6" applyAlignment="1" pivotButton="0" quotePrefix="0" xfId="0">
      <alignment horizontal="center" vertical="center"/>
    </xf>
    <xf numFmtId="164" fontId="2" fillId="2" borderId="9" applyAlignment="1" pivotButton="0" quotePrefix="0" xfId="1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164" fontId="1" fillId="0" borderId="6" applyAlignment="1" pivotButton="0" quotePrefix="0" xfId="1">
      <alignment horizontal="center" vertical="center"/>
    </xf>
    <xf numFmtId="164" fontId="1" fillId="0" borderId="5" applyAlignment="1" pivotButton="0" quotePrefix="0" xfId="1">
      <alignment horizontal="center" vertical="center"/>
    </xf>
    <xf numFmtId="166" fontId="1" fillId="0" borderId="6" applyAlignment="1" pivotButton="0" quotePrefix="0" xfId="1">
      <alignment horizontal="center" vertical="center"/>
    </xf>
    <xf numFmtId="165" fontId="1" fillId="0" borderId="6" applyAlignment="1" pivotButton="0" quotePrefix="0" xfId="2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164" fontId="2" fillId="2" borderId="9" applyAlignment="1" pivotButton="0" quotePrefix="0" xfId="1">
      <alignment horizontal="center" vertical="center"/>
    </xf>
    <xf numFmtId="164" fontId="1" fillId="0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1" fillId="0" borderId="7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166" fontId="1" fillId="0" borderId="4" applyAlignment="1" pivotButton="0" quotePrefix="0" xfId="1">
      <alignment horizontal="center" vertical="center"/>
    </xf>
    <xf numFmtId="165" fontId="1" fillId="0" borderId="4" applyAlignment="1" pivotButton="0" quotePrefix="0" xfId="2">
      <alignment horizontal="center" vertical="center"/>
    </xf>
    <xf numFmtId="164" fontId="1" fillId="0" borderId="8" applyAlignment="1" pivotButton="0" quotePrefix="0" xfId="1">
      <alignment horizontal="center" vertical="center"/>
    </xf>
    <xf numFmtId="165" fontId="0" fillId="0" borderId="4" applyAlignment="1" pivotButton="0" quotePrefix="0" xfId="2">
      <alignment horizontal="center" vertical="center"/>
    </xf>
    <xf numFmtId="167" fontId="0" fillId="0" borderId="0" pivotButton="0" quotePrefix="0" xfId="0"/>
    <xf numFmtId="164" fontId="1" fillId="0" borderId="5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0" fillId="0" borderId="6" applyAlignment="1" pivotButton="0" quotePrefix="0" xfId="1">
      <alignment horizontal="center" vertical="center"/>
    </xf>
    <xf numFmtId="166" fontId="1" fillId="0" borderId="6" applyAlignment="1" pivotButton="0" quotePrefix="0" xfId="1">
      <alignment horizontal="center" vertical="center"/>
    </xf>
    <xf numFmtId="166" fontId="1" fillId="5" borderId="6" applyAlignment="1" pivotButton="0" quotePrefix="0" xfId="1">
      <alignment horizontal="center" vertical="center"/>
    </xf>
    <xf numFmtId="165" fontId="1" fillId="0" borderId="6" applyAlignment="1" pivotButton="0" quotePrefix="0" xfId="2">
      <alignment horizontal="center" vertical="center"/>
    </xf>
    <xf numFmtId="166" fontId="1" fillId="5" borderId="4" applyAlignment="1" pivotButton="0" quotePrefix="0" xfId="1">
      <alignment horizontal="center" vertical="center"/>
    </xf>
    <xf numFmtId="164" fontId="0" fillId="0" borderId="0" pivotButton="0" quotePrefix="0" xfId="0"/>
    <xf numFmtId="164" fontId="1" fillId="0" borderId="11" applyAlignment="1" pivotButton="0" quotePrefix="0" xfId="1">
      <alignment horizontal="center" vertical="center"/>
    </xf>
    <xf numFmtId="164" fontId="0" fillId="8" borderId="4" applyAlignment="1" pivotButton="0" quotePrefix="0" xfId="1">
      <alignment horizontal="center" vertical="center"/>
    </xf>
    <xf numFmtId="164" fontId="1" fillId="0" borderId="8" pivotButton="0" quotePrefix="0" xfId="1"/>
    <xf numFmtId="164" fontId="0" fillId="7" borderId="4" pivotButton="0" quotePrefix="0" xfId="0"/>
    <xf numFmtId="164" fontId="1" fillId="0" borderId="10" pivotButton="0" quotePrefix="0" xfId="1"/>
  </cellXfs>
  <cellStyles count="3">
    <cellStyle name="Normal" xfId="0" builtinId="0"/>
    <cellStyle name="Moeda" xfId="1" builtinId="4"/>
    <cellStyle name="Porcentagem" xfId="2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R$&quot;\ * #,##0.00000_-;\-&quot;R$&quot;\ * #,##0.00000_-;_-&quot;R$&quot;\ 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R$&quot;\ * #,##0.00000_-;\-&quot;R$&quot;\ * #,##0.000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r>
              <a:rPr lang="pt-BR"/>
              <a:t>Lucro</a:t>
            </a:r>
          </a:p>
        </rich>
      </tx>
      <layout>
        <manualLayout>
          <xMode val="edge"/>
          <yMode val="edge"/>
          <wMode val="factor"/>
          <hMode val="factor"/>
          <x val="0.435665944856955"/>
          <y val="0.1157407407407407"/>
        </manualLayout>
      </layout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Base!$C$4</f>
              <strCache>
                <ptCount val="1"/>
                <pt idx="0">
                  <v xml:space="preserve"> Lucro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forward val="2"/>
            <dispRSqr val="0"/>
            <dispEq val="0"/>
          </trendline>
          <val>
            <numRef>
              <f>Base!$C$5:$C$130</f>
              <numCache>
                <formatCode>_("R$"* #,##0.00_);_("R$"* \(#,##0.00\);_("R$"* "-"??_);_(@_)</formatCode>
                <ptCount val="126"/>
                <pt idx="0">
                  <v>-0.4539782644628048</v>
                </pt>
                <pt idx="1">
                  <v>-2.223978264462804</v>
                </pt>
                <pt idx="2">
                  <v>-2.223978264462804</v>
                </pt>
                <pt idx="3">
                  <v>-2.793637144339907</v>
                </pt>
                <pt idx="4">
                  <v>-3.161064293754688</v>
                </pt>
                <pt idx="5">
                  <v>-22.69326947113408</v>
                </pt>
                <pt idx="6">
                  <v>-27.47110286011495</v>
                </pt>
                <pt idx="7">
                  <v>-27.53047421758568</v>
                </pt>
                <pt idx="8">
                  <v>-27.51814348407156</v>
                </pt>
                <pt idx="9">
                  <v>-27.51814348407156</v>
                </pt>
                <pt idx="10">
                  <v>-28.64725301036329</v>
                </pt>
                <pt idx="11">
                  <v>-28.59958374387743</v>
                </pt>
                <pt idx="12">
                  <v>-28.53036751370329</v>
                </pt>
                <pt idx="13">
                  <v>-28.55346230293538</v>
                </pt>
                <pt idx="14">
                  <v>-28.55346230293538</v>
                </pt>
                <pt idx="15">
                  <v>27.47590905453536</v>
                </pt>
                <pt idx="16">
                  <v>-56.94409094546464</v>
                </pt>
                <pt idx="17">
                  <v>-56.93028052392881</v>
                </pt>
                <pt idx="18">
                  <v>-56.93028052392881</v>
                </pt>
                <pt idx="19">
                  <v>-57.05484514412863</v>
                </pt>
                <pt idx="20">
                  <v>-57.30335559905298</v>
                </pt>
                <pt idx="21">
                  <v>-57.30335559905298</v>
                </pt>
                <pt idx="22">
                  <v>-57.45595715894451</v>
                </pt>
                <pt idx="23">
                  <v>-57.4352119554789</v>
                </pt>
                <pt idx="24">
                  <v>-57.4352119554789</v>
                </pt>
                <pt idx="25">
                  <v>-57.4352119554789</v>
                </pt>
                <pt idx="26">
                  <v>-57.4352119554789</v>
                </pt>
                <pt idx="27">
                  <v>-57.4352119554789</v>
                </pt>
                <pt idx="28">
                  <v>-57.4352119554789</v>
                </pt>
                <pt idx="29">
                  <v>-57.4352119554789</v>
                </pt>
                <pt idx="30">
                  <v>-57.24180777350916</v>
                </pt>
                <pt idx="31">
                  <v>-56.97180777350916</v>
                </pt>
                <pt idx="32">
                  <v>-69.07919635656368</v>
                </pt>
                <pt idx="33">
                  <v>-57.09919635656368</v>
                </pt>
                <pt idx="34">
                  <v>-57.09919635656368</v>
                </pt>
                <pt idx="35">
                  <v>-56.78037650890168</v>
                </pt>
                <pt idx="36">
                  <v>-56.63037650890168</v>
                </pt>
                <pt idx="37">
                  <v>-1.471259349307762</v>
                </pt>
                <pt idx="38">
                  <v>-1.642571391784242</v>
                </pt>
                <pt idx="39">
                  <v>-1.642571391784242</v>
                </pt>
                <pt idx="40">
                  <v>-2.222538169474046</v>
                </pt>
                <pt idx="41">
                  <v>-2.251899295234615</v>
                </pt>
                <pt idx="42">
                  <v>-2.315853641350282</v>
                </pt>
                <pt idx="43">
                  <v>-2.351128603441835</v>
                </pt>
                <pt idx="44">
                  <v>-3.701128603441844</v>
                </pt>
                <pt idx="45">
                  <v>-94.16452338018759</v>
                </pt>
                <pt idx="46">
                  <v>-93.77785171231294</v>
                </pt>
                <pt idx="47">
                  <v>77.14011806610171</v>
                </pt>
                <pt idx="48">
                  <v>-2.458553148742232</v>
                </pt>
                <pt idx="49">
                  <v>-13.45855314874223</v>
                </pt>
                <pt idx="50">
                  <v>-13.42755987279122</v>
                </pt>
                <pt idx="51">
                  <v>-13.62470151162954</v>
                </pt>
                <pt idx="52">
                  <v>-14.76560585661009</v>
                </pt>
                <pt idx="53">
                  <v>-14.67360195232359</v>
                </pt>
                <pt idx="54">
                  <v>-14.51357809279493</v>
                </pt>
                <pt idx="55">
                  <v>-12.60157852660454</v>
                </pt>
                <pt idx="56">
                  <v>-0.561330930969915</v>
                </pt>
                <pt idx="57">
                  <v>-0.4425166671789238</v>
                </pt>
                <pt idx="58">
                  <v>-1.156836771203036</v>
                </pt>
                <pt idx="59">
                  <v>-94.34063445216536</v>
                </pt>
                <pt idx="60">
                  <v>-94.00534423134401</v>
                </pt>
                <pt idx="61">
                  <v>-94.22582517601465</v>
                </pt>
                <pt idx="62">
                  <v>-93.41931605332692</v>
                </pt>
                <pt idx="63">
                  <v>-2.419989292763536</v>
                </pt>
                <pt idx="64">
                  <v>101.1579784425519</v>
                </pt>
                <pt idx="65">
                  <v>0.6179752793474709</v>
                </pt>
                <pt idx="66">
                  <v>-0.1880266185751207</v>
                </pt>
                <pt idx="67">
                  <v>-0.07203069559409236</v>
                </pt>
                <pt idx="68">
                  <v>0.2359507469402882</v>
                </pt>
                <pt idx="69">
                  <v>0.1839936962262536</v>
                </pt>
                <pt idx="70">
                  <v>2.28689621146485</v>
                </pt>
                <pt idx="71">
                  <v>2.308661959133278</v>
                </pt>
                <pt idx="72">
                  <v>2.625083371767711</v>
                </pt>
                <pt idx="73">
                  <v>2.091222232229744</v>
                </pt>
                <pt idx="74">
                  <v>-17.90877776777025</v>
                </pt>
                <pt idx="75">
                  <v>-202.9230096044777</v>
                </pt>
                <pt idx="76">
                  <v>-203.7398194246446</v>
                </pt>
                <pt idx="77">
                  <v>-206.1754579831536</v>
                </pt>
                <pt idx="78">
                  <v>-205.1794720700804</v>
                </pt>
                <pt idx="79">
                  <v>-207.8683595717538</v>
                </pt>
                <pt idx="80">
                  <v>-3.798856845013606</v>
                </pt>
                <pt idx="81">
                  <v>-178.3628557695253</v>
                </pt>
                <pt idx="82">
                  <v>-178.2128557695253</v>
                </pt>
                <pt idx="83">
                  <v>-179.6379518912881</v>
                </pt>
                <pt idx="84">
                  <v>-179.6379518912881</v>
                </pt>
                <pt idx="85">
                  <v>-182.474086058448</v>
                </pt>
                <pt idx="86">
                  <v>-178.1168224293894</v>
                </pt>
                <pt idx="87">
                  <v>-174.2889119637866</v>
                </pt>
                <pt idx="88">
                  <v>-186.7689119637866</v>
                </pt>
                <pt idx="89">
                  <v>-184.1038857487604</v>
                </pt>
                <pt idx="90">
                  <v>-306.3038857487605</v>
                </pt>
                <pt idx="91">
                  <v>-306.3038857487605</v>
                </pt>
                <pt idx="92">
                  <v>-306.3038857487605</v>
                </pt>
                <pt idx="93">
                  <v>-302.1359134425829</v>
                </pt>
                <pt idx="94">
                  <v>-302.4128866898125</v>
                </pt>
                <pt idx="95">
                  <v>-299.5068062970654</v>
                </pt>
                <pt idx="96">
                  <v>-289.5068062970654</v>
                </pt>
                <pt idx="97">
                  <v>-289.5068062970654</v>
                </pt>
                <pt idx="98">
                  <v>-290.3706398652579</v>
                </pt>
                <pt idx="99">
                  <v>-290.5226285726312</v>
                </pt>
                <pt idx="100">
                  <v>-287.4326366387931</v>
                </pt>
                <pt idx="101">
                  <v>-288.9926447049551</v>
                </pt>
                <pt idx="102">
                  <v>-329.6866006099366</v>
                </pt>
                <pt idx="103">
                  <v>-465.9475553049938</v>
                </pt>
                <pt idx="104">
                  <v>-463.3946051807617</v>
                </pt>
                <pt idx="105">
                  <v>-460.0877233500338</v>
                </pt>
                <pt idx="106">
                  <v>-208.4747233500338</v>
                </pt>
                <pt idx="107">
                  <v>-202.3346117681273</v>
                </pt>
                <pt idx="108">
                  <v>-204.6795882418217</v>
                </pt>
                <pt idx="109">
                  <v>-204.5995882418217</v>
                </pt>
                <pt idx="110">
                  <v>-204.5995882418217</v>
                </pt>
                <pt idx="111">
                  <v>-201.5876223885738</v>
                </pt>
                <pt idx="112">
                  <v>-202.5265386349259</v>
                </pt>
                <pt idx="113">
                  <v>-199.8636382520255</v>
                </pt>
                <pt idx="114">
                  <v>-197.3796124403074</v>
                </pt>
                <pt idx="115">
                  <v>-429.5296124403076</v>
                </pt>
                <pt idx="116">
                  <v>-426.7666192965452</v>
                </pt>
                <pt idx="117">
                  <v>-177.1815944258792</v>
                </pt>
                <pt idx="118">
                  <v>-174.8555906616704</v>
                </pt>
                <pt idx="119">
                  <v>-174.7355906616704</v>
                </pt>
                <pt idx="120">
                  <v>-144.7355906616704</v>
                </pt>
                <pt idx="121">
                  <v>-147.31</v>
                </pt>
                <pt idx="122">
                  <v>-143.6137583245242</v>
                </pt>
                <pt idx="123">
                  <v>-262.0694843347281</v>
                </pt>
                <pt idx="124">
                  <v>-542.0966747876573</v>
                </pt>
                <pt idx="125">
                  <v>-542.0966747876573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285277087"/>
        <axId val="1285257887"/>
      </barChart>
      <catAx>
        <axId val="12852770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285257887"/>
        <crosses val="autoZero"/>
        <auto val="1"/>
        <lblAlgn val="ctr"/>
        <lblOffset val="100"/>
        <noMultiLvlLbl val="0"/>
      </catAx>
      <valAx>
        <axId val="1285257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2852770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r>
              <a:rPr lang="pt-BR"/>
              <a:t>Capital investido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Base!$A$4</f>
              <strCache>
                <ptCount val="1"/>
                <pt idx="0">
                  <v xml:space="preserve"> Capital investido 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w="19050" cap="rnd">
                <a:solidFill>
                  <a:schemeClr val="accent1"/>
                </a:solidFill>
                <a:prstDash val="solid"/>
              </a:ln>
            </spPr>
            <trendlineType val="movingAvg"/>
            <period val="2"/>
            <dispRSqr val="0"/>
            <dispEq val="0"/>
          </trendline>
          <cat>
            <strRef>
              <f>Base!$T$5:$T$130</f>
              <strCache>
                <ptCount val="126"/>
                <pt idx="0">
                  <v xml:space="preserve"> 25/01/2025 </v>
                </pt>
                <pt idx="1">
                  <v xml:space="preserve"> 26/01/2025 </v>
                </pt>
                <pt idx="2">
                  <v xml:space="preserve"> 27/01/2025 </v>
                </pt>
                <pt idx="3">
                  <v xml:space="preserve"> 28/01/2025 </v>
                </pt>
                <pt idx="4">
                  <v xml:space="preserve"> 29/01/2025 </v>
                </pt>
                <pt idx="5">
                  <v xml:space="preserve"> 30/01/2025 </v>
                </pt>
                <pt idx="6">
                  <v xml:space="preserve"> 31/01/2025 </v>
                </pt>
                <pt idx="7">
                  <v xml:space="preserve"> 01/02/2025 </v>
                </pt>
                <pt idx="8">
                  <v xml:space="preserve"> 02/02/2025 </v>
                </pt>
                <pt idx="9">
                  <v xml:space="preserve"> 03/02/2025 </v>
                </pt>
                <pt idx="10">
                  <v xml:space="preserve"> 04/02/2025 </v>
                </pt>
                <pt idx="11">
                  <v xml:space="preserve"> 04/02/2025 </v>
                </pt>
                <pt idx="12">
                  <v xml:space="preserve"> 05/02/2025 </v>
                </pt>
                <pt idx="13">
                  <v xml:space="preserve"> 06/02/2025 </v>
                </pt>
                <pt idx="14">
                  <v xml:space="preserve"> 07/02/2025 </v>
                </pt>
                <pt idx="15">
                  <v xml:space="preserve"> 08/02/2025 </v>
                </pt>
                <pt idx="16">
                  <v xml:space="preserve"> 09/02/2025 </v>
                </pt>
                <pt idx="17">
                  <v xml:space="preserve"> 09/02/2025 </v>
                </pt>
                <pt idx="18">
                  <v xml:space="preserve"> 10/02/2025 </v>
                </pt>
                <pt idx="19">
                  <v xml:space="preserve"> 11/02/2025 </v>
                </pt>
                <pt idx="20">
                  <v xml:space="preserve"> 12/02/2025 </v>
                </pt>
                <pt idx="21">
                  <v xml:space="preserve"> 13/02/2025 </v>
                </pt>
                <pt idx="22">
                  <v xml:space="preserve"> 14/02/2025 </v>
                </pt>
                <pt idx="23">
                  <v xml:space="preserve"> 15/02/2025 </v>
                </pt>
                <pt idx="24">
                  <v xml:space="preserve"> 16/02/2025 </v>
                </pt>
                <pt idx="25">
                  <v xml:space="preserve"> 16/02/2025 </v>
                </pt>
                <pt idx="26">
                  <v xml:space="preserve"> 17/02/2025 </v>
                </pt>
                <pt idx="27">
                  <v xml:space="preserve"> 17/02/2025 </v>
                </pt>
                <pt idx="28">
                  <v xml:space="preserve"> 17/02/2025 </v>
                </pt>
                <pt idx="29">
                  <v xml:space="preserve"> 17/02/2025 </v>
                </pt>
                <pt idx="30">
                  <v xml:space="preserve"> 17/02/2025 </v>
                </pt>
                <pt idx="31">
                  <v xml:space="preserve"> 18/02/2025 </v>
                </pt>
                <pt idx="32">
                  <v xml:space="preserve"> 18/02/2025 </v>
                </pt>
                <pt idx="33">
                  <v xml:space="preserve"> 18/02/2025 </v>
                </pt>
                <pt idx="34">
                  <v xml:space="preserve"> 19/02/2025 </v>
                </pt>
                <pt idx="35">
                  <v xml:space="preserve"> 19/02/2025 </v>
                </pt>
                <pt idx="36">
                  <v xml:space="preserve"> 20/02/2025 </v>
                </pt>
                <pt idx="37">
                  <v xml:space="preserve"> 22/02/2025 </v>
                </pt>
                <pt idx="38">
                  <v xml:space="preserve"> 23/02/2025 </v>
                </pt>
                <pt idx="39">
                  <v xml:space="preserve"> 24/02/2025 </v>
                </pt>
                <pt idx="40">
                  <v xml:space="preserve"> 24/02/2025 </v>
                </pt>
                <pt idx="41">
                  <v xml:space="preserve"> 25/02/2025 </v>
                </pt>
                <pt idx="42">
                  <v xml:space="preserve"> 26/02/2025 </v>
                </pt>
                <pt idx="43">
                  <v xml:space="preserve"> 28/02/2025 </v>
                </pt>
                <pt idx="44">
                  <v xml:space="preserve"> 01/03/2025 </v>
                </pt>
                <pt idx="45">
                  <v xml:space="preserve"> 05/03/2025 </v>
                </pt>
                <pt idx="46">
                  <v xml:space="preserve"> 05/03/2025 </v>
                </pt>
                <pt idx="47">
                  <v xml:space="preserve"> 06/03/2025 </v>
                </pt>
                <pt idx="48">
                  <v xml:space="preserve"> 07/03/2025 </v>
                </pt>
                <pt idx="49">
                  <v xml:space="preserve"> 08/03/2025 </v>
                </pt>
                <pt idx="50">
                  <v xml:space="preserve"> 09/03/2025 </v>
                </pt>
                <pt idx="51">
                  <v xml:space="preserve"> 10/03/2025 </v>
                </pt>
                <pt idx="52">
                  <v xml:space="preserve"> 11/03/2025 </v>
                </pt>
                <pt idx="53">
                  <v xml:space="preserve"> 11/03/2025 </v>
                </pt>
                <pt idx="54">
                  <v xml:space="preserve"> 12/03/2025 </v>
                </pt>
                <pt idx="55">
                  <v xml:space="preserve"> 13/03/2025 </v>
                </pt>
                <pt idx="56">
                  <v xml:space="preserve"> 14/03/2025 </v>
                </pt>
                <pt idx="57">
                  <v xml:space="preserve"> 16/03/2025 </v>
                </pt>
                <pt idx="58">
                  <v xml:space="preserve"> 18/03/2025 </v>
                </pt>
                <pt idx="59">
                  <v xml:space="preserve"> 18/03/2025 </v>
                </pt>
                <pt idx="60">
                  <v xml:space="preserve"> 18/03/2025 </v>
                </pt>
                <pt idx="61">
                  <v xml:space="preserve"> 18/03/2025 </v>
                </pt>
                <pt idx="62">
                  <v xml:space="preserve"> 20/03/2025 </v>
                </pt>
                <pt idx="63">
                  <v xml:space="preserve"> 20/03/2025 </v>
                </pt>
                <pt idx="64">
                  <v xml:space="preserve"> 21/03/2025 </v>
                </pt>
                <pt idx="65">
                  <v xml:space="preserve"> 21/03/2025 </v>
                </pt>
                <pt idx="66">
                  <v xml:space="preserve"> 21/03/2025 </v>
                </pt>
                <pt idx="67">
                  <v xml:space="preserve"> 21/03/2025 </v>
                </pt>
                <pt idx="68">
                  <v xml:space="preserve"> 24/03/2025 </v>
                </pt>
                <pt idx="69">
                  <v xml:space="preserve"> 25/03/2025 </v>
                </pt>
                <pt idx="70">
                  <v xml:space="preserve"> 26/03/2025 </v>
                </pt>
                <pt idx="71">
                  <v xml:space="preserve"> 27/03/2025 </v>
                </pt>
                <pt idx="72">
                  <v xml:space="preserve"> 27/03/2025 </v>
                </pt>
                <pt idx="73">
                  <v xml:space="preserve"> 28/03/2025 </v>
                </pt>
                <pt idx="74">
                  <v xml:space="preserve"> 28/03/2025 </v>
                </pt>
                <pt idx="75">
                  <v xml:space="preserve"> 31/03/2025 </v>
                </pt>
                <pt idx="76">
                  <v xml:space="preserve"> 31/03/2025 </v>
                </pt>
                <pt idx="77">
                  <v xml:space="preserve"> 01/04/2025 </v>
                </pt>
                <pt idx="78">
                  <v xml:space="preserve"> 02/04/2025 </v>
                </pt>
                <pt idx="79">
                  <v xml:space="preserve"> 03/04/2025 </v>
                </pt>
                <pt idx="80">
                  <v xml:space="preserve"> 04/04/2025 </v>
                </pt>
                <pt idx="81">
                  <v xml:space="preserve"> 06/04/2025 </v>
                </pt>
                <pt idx="82">
                  <v xml:space="preserve"> 06/04/2025 </v>
                </pt>
                <pt idx="83">
                  <v xml:space="preserve"> 07/04/2025 </v>
                </pt>
                <pt idx="84">
                  <v xml:space="preserve"> 07/04/2025 </v>
                </pt>
                <pt idx="85">
                  <v xml:space="preserve"> 09/04/2025 </v>
                </pt>
                <pt idx="86">
                  <v xml:space="preserve"> 09/04/2025 </v>
                </pt>
                <pt idx="87">
                  <v xml:space="preserve"> 10/04/2025 </v>
                </pt>
                <pt idx="88">
                  <v xml:space="preserve"> 10/04/2025 </v>
                </pt>
                <pt idx="89">
                  <v xml:space="preserve"> 11/04/2025 </v>
                </pt>
                <pt idx="90">
                  <v xml:space="preserve"> 11/04/2025 </v>
                </pt>
                <pt idx="91">
                  <v xml:space="preserve"> 12/04/2025 </v>
                </pt>
                <pt idx="92">
                  <v xml:space="preserve"> 12/04/2025 </v>
                </pt>
                <pt idx="93">
                  <v xml:space="preserve"> 15/04/2025 </v>
                </pt>
                <pt idx="94">
                  <v xml:space="preserve"> 16/04/2025 </v>
                </pt>
                <pt idx="95">
                  <v xml:space="preserve"> 18/04/2025 </v>
                </pt>
                <pt idx="96">
                  <v xml:space="preserve"> 20/04/2025 </v>
                </pt>
                <pt idx="97">
                  <v xml:space="preserve"> 20/04/2025 </v>
                </pt>
                <pt idx="98">
                  <v xml:space="preserve"> 24/04/2025 </v>
                </pt>
                <pt idx="99">
                  <v xml:space="preserve"> 24/04/2025 </v>
                </pt>
                <pt idx="100">
                  <v xml:space="preserve"> 24/04/2025 </v>
                </pt>
                <pt idx="101">
                  <v xml:space="preserve"> 27/04/2025 </v>
                </pt>
                <pt idx="102">
                  <v xml:space="preserve"> 28/04/2025 </v>
                </pt>
                <pt idx="103">
                  <v xml:space="preserve"> 29/04/2025 </v>
                </pt>
                <pt idx="104">
                  <v xml:space="preserve"> 03/05/2025 </v>
                </pt>
                <pt idx="105">
                  <v xml:space="preserve"> 07/05/2025 </v>
                </pt>
                <pt idx="106">
                  <v xml:space="preserve"> 07/05/2025 </v>
                </pt>
                <pt idx="107">
                  <v xml:space="preserve"> 08/05/2025 </v>
                </pt>
                <pt idx="108">
                  <v xml:space="preserve"> 09/05/2025 </v>
                </pt>
                <pt idx="109">
                  <v xml:space="preserve"> 09/05/2025 </v>
                </pt>
                <pt idx="110">
                  <v xml:space="preserve"> 10/05/2025 </v>
                </pt>
                <pt idx="111">
                  <v xml:space="preserve"> 12/05/2025 </v>
                </pt>
                <pt idx="112">
                  <v xml:space="preserve"> 13/05/2025 </v>
                </pt>
                <pt idx="113">
                  <v xml:space="preserve"> 15/05/2025 </v>
                </pt>
                <pt idx="114">
                  <v xml:space="preserve"> 17/05/2025 </v>
                </pt>
                <pt idx="115">
                  <v xml:space="preserve"> 17/05/2025 </v>
                </pt>
                <pt idx="116">
                  <v xml:space="preserve"> 20/05/2025 </v>
                </pt>
                <pt idx="117">
                  <v xml:space="preserve"> 22/05/2025 </v>
                </pt>
                <pt idx="118">
                  <v xml:space="preserve"> 24/05/2025 </v>
                </pt>
                <pt idx="119">
                  <v xml:space="preserve"> 25/05/2025 </v>
                </pt>
                <pt idx="120">
                  <v xml:space="preserve"> 25/05/2025 </v>
                </pt>
                <pt idx="121">
                  <v xml:space="preserve"> 25/05/2025 </v>
                </pt>
                <pt idx="122">
                  <v xml:space="preserve"> 27/05/2025 </v>
                </pt>
                <pt idx="123">
                  <v xml:space="preserve"> 28/05/2025 </v>
                </pt>
                <pt idx="124">
                  <v xml:space="preserve"> 03/06/2025 </v>
                </pt>
                <pt idx="125">
                  <v xml:space="preserve"> 05/06/2025 </v>
                </pt>
              </strCache>
            </strRef>
          </cat>
          <val>
            <numRef>
              <f>Base!$A$5:$A$130</f>
              <numCache>
                <formatCode>_("R$"* #,##0.00_);_("R$"* \(#,##0.00\);_("R$"* "-"??_);_(@_)</formatCode>
                <ptCount val="126"/>
                <pt idx="0">
                  <v>82.70250101356964</v>
                </pt>
                <pt idx="1">
                  <v>89.96930976732349</v>
                </pt>
                <pt idx="2">
                  <v>91.11054061635153</v>
                </pt>
                <pt idx="3">
                  <v>102.2570211272851</v>
                </pt>
                <pt idx="4">
                  <v>102.2570211272851</v>
                </pt>
                <pt idx="5">
                  <v>104.5537669220797</v>
                </pt>
                <pt idx="6">
                  <v>96.53403498194959</v>
                </pt>
                <pt idx="7">
                  <v>97.68556833668532</v>
                </pt>
                <pt idx="8">
                  <v>99.08556833668533</v>
                </pt>
                <pt idx="9">
                  <v>99.08556833668533</v>
                </pt>
                <pt idx="10">
                  <v>99.08556833668533</v>
                </pt>
                <pt idx="11">
                  <v>108.0655683366853</v>
                </pt>
                <pt idx="12">
                  <v>108.0655683366853</v>
                </pt>
                <pt idx="13">
                  <v>108.0655683366853</v>
                </pt>
                <pt idx="14">
                  <v>108.0655683366853</v>
                </pt>
                <pt idx="15">
                  <v>108.0655683366853</v>
                </pt>
                <pt idx="16">
                  <v>108.0655683366853</v>
                </pt>
                <pt idx="17">
                  <v>112.6843825637491</v>
                </pt>
                <pt idx="18">
                  <v>112.6843825637491</v>
                </pt>
                <pt idx="19">
                  <v>112.6843825637491</v>
                </pt>
                <pt idx="20">
                  <v>112.6843825637491</v>
                </pt>
                <pt idx="21">
                  <v>112.6843825637491</v>
                </pt>
                <pt idx="22">
                  <v>112.6843825637491</v>
                </pt>
                <pt idx="23">
                  <v>112.6843825637491</v>
                </pt>
                <pt idx="24">
                  <v>112.6843825637491</v>
                </pt>
                <pt idx="25">
                  <v>112.6843825637491</v>
                </pt>
                <pt idx="26">
                  <v>112.6843825637491</v>
                </pt>
                <pt idx="27">
                  <v>112.6843825637491</v>
                </pt>
                <pt idx="28">
                  <v>112.6843825637491</v>
                </pt>
                <pt idx="29">
                  <v>112.6843825637491</v>
                </pt>
                <pt idx="30">
                  <v>103.704382563749</v>
                </pt>
                <pt idx="31">
                  <v>103.704382563749</v>
                </pt>
                <pt idx="32">
                  <v>103.704382563749</v>
                </pt>
                <pt idx="33">
                  <v>103.704382563749</v>
                </pt>
                <pt idx="34">
                  <v>103.704382563749</v>
                </pt>
                <pt idx="35">
                  <v>103.704382563749</v>
                </pt>
                <pt idx="36">
                  <v>115.724382563749</v>
                </pt>
                <pt idx="37">
                  <v>143.9208000622061</v>
                </pt>
                <pt idx="38">
                  <v>143.9208000622061</v>
                </pt>
                <pt idx="39">
                  <v>143.9208000622061</v>
                </pt>
                <pt idx="40">
                  <v>143.9208000622061</v>
                </pt>
                <pt idx="41">
                  <v>143.9608000622061</v>
                </pt>
                <pt idx="42">
                  <v>143.9608000622061</v>
                </pt>
                <pt idx="43">
                  <v>143.9608000622061</v>
                </pt>
                <pt idx="44">
                  <v>144.1208000622061</v>
                </pt>
                <pt idx="45">
                  <v>144.1208000622061</v>
                </pt>
                <pt idx="46">
                  <v>144.1208000622061</v>
                </pt>
                <pt idx="47">
                  <v>144.1208000622061</v>
                </pt>
                <pt idx="48">
                  <v>261.7081801655472</v>
                </pt>
                <pt idx="49">
                  <v>261.7081801655472</v>
                </pt>
                <pt idx="50">
                  <v>261.7081801655472</v>
                </pt>
                <pt idx="51">
                  <v>261.7081801655472</v>
                </pt>
                <pt idx="52">
                  <v>261.7081801655472</v>
                </pt>
                <pt idx="53">
                  <v>276.5981801655471</v>
                </pt>
                <pt idx="54">
                  <v>276.5981801655471</v>
                </pt>
                <pt idx="55">
                  <v>265.3681801655471</v>
                </pt>
                <pt idx="56">
                  <v>284.4081801655471</v>
                </pt>
                <pt idx="57">
                  <v>284.4581801655471</v>
                </pt>
                <pt idx="58">
                  <v>284.4581801655471</v>
                </pt>
                <pt idx="59">
                  <v>284.4581801655471</v>
                </pt>
                <pt idx="60">
                  <v>277.7881801655471</v>
                </pt>
                <pt idx="61">
                  <v>277.7881801655471</v>
                </pt>
                <pt idx="62">
                  <v>277.7881801655471</v>
                </pt>
                <pt idx="63">
                  <v>354.8395128509162</v>
                </pt>
                <pt idx="64">
                  <v>354.8395128509162</v>
                </pt>
                <pt idx="65">
                  <v>453.9695128509162</v>
                </pt>
                <pt idx="66">
                  <v>453.9695128509162</v>
                </pt>
                <pt idx="67">
                  <v>453.9695128509162</v>
                </pt>
                <pt idx="68">
                  <v>453.9695128509162</v>
                </pt>
                <pt idx="69">
                  <v>462.5907695350509</v>
                </pt>
                <pt idx="70">
                  <v>474.183262233218</v>
                </pt>
                <pt idx="71">
                  <v>476.0649673539857</v>
                </pt>
                <pt idx="72">
                  <v>476.3849673539856</v>
                </pt>
                <pt idx="73">
                  <v>510.2660885490335</v>
                </pt>
                <pt idx="74">
                  <v>510.2660885490335</v>
                </pt>
                <pt idx="75">
                  <v>515.9380176148068</v>
                </pt>
                <pt idx="76">
                  <v>515.9380176148068</v>
                </pt>
                <pt idx="77">
                  <v>517.8688831426193</v>
                </pt>
                <pt idx="78">
                  <v>524.8602158450266</v>
                </pt>
                <pt idx="79">
                  <v>527.1922326740794</v>
                </pt>
                <pt idx="80">
                  <v>820.7351528815202</v>
                </pt>
                <pt idx="81">
                  <v>820.7351528815202</v>
                </pt>
                <pt idx="82">
                  <v>820.8851528815203</v>
                </pt>
                <pt idx="83">
                  <v>820.8851528815203</v>
                </pt>
                <pt idx="84">
                  <v>820.8851528815203</v>
                </pt>
                <pt idx="85">
                  <v>820.8851528815203</v>
                </pt>
                <pt idx="86">
                  <v>821.0351528815202</v>
                </pt>
                <pt idx="87">
                  <v>820.6651528815203</v>
                </pt>
                <pt idx="88">
                  <v>820.7251528815202</v>
                </pt>
                <pt idx="89">
                  <v>821.1451528815202</v>
                </pt>
                <pt idx="90">
                  <v>821.1451528815202</v>
                </pt>
                <pt idx="91">
                  <v>821.1451528815202</v>
                </pt>
                <pt idx="92">
                  <v>821.1451528815202</v>
                </pt>
                <pt idx="93">
                  <v>822.2351528815202</v>
                </pt>
                <pt idx="94">
                  <v>822.4851528815203</v>
                </pt>
                <pt idx="95">
                  <v>822.5351528815203</v>
                </pt>
                <pt idx="96">
                  <v>822.5351528815203</v>
                </pt>
                <pt idx="97">
                  <v>856.1493361445469</v>
                </pt>
                <pt idx="98">
                  <v>856.1493361445469</v>
                </pt>
                <pt idx="99">
                  <v>856.3693361445469</v>
                </pt>
                <pt idx="100">
                  <v>856.3693361445469</v>
                </pt>
                <pt idx="101">
                  <v>856.7893361445468</v>
                </pt>
                <pt idx="102">
                  <v>856.7893361445468</v>
                </pt>
                <pt idx="103">
                  <v>856.7893361445468</v>
                </pt>
                <pt idx="104">
                  <v>856.7893361445468</v>
                </pt>
                <pt idx="105">
                  <v>856.7893361445468</v>
                </pt>
                <pt idx="106">
                  <v>856.7893361445468</v>
                </pt>
                <pt idx="107">
                  <v>856.7893361445468</v>
                </pt>
                <pt idx="108">
                  <v>909.4893361445469</v>
                </pt>
                <pt idx="109">
                  <v>953.0722286065052</v>
                </pt>
                <pt idx="110">
                  <v>953.0722286065052</v>
                </pt>
                <pt idx="111">
                  <v>953.0722286065052</v>
                </pt>
                <pt idx="112">
                  <v>953.0722286065052</v>
                </pt>
                <pt idx="113">
                  <v>954.2522286065051</v>
                </pt>
                <pt idx="114">
                  <v>954.2522286065051</v>
                </pt>
                <pt idx="115">
                  <v>954.2522286065051</v>
                </pt>
                <pt idx="116">
                  <v>954.2522286065051</v>
                </pt>
                <pt idx="117">
                  <v>984.562303669437</v>
                </pt>
                <pt idx="118">
                  <v>984.562303669437</v>
                </pt>
                <pt idx="119">
                  <v>994.8097736759404</v>
                </pt>
                <pt idx="120">
                  <v>994.8097736759404</v>
                </pt>
                <pt idx="121">
                  <v>1054.809773675941</v>
                </pt>
                <pt idx="122">
                  <v>1060.229064931454</v>
                </pt>
                <pt idx="123">
                  <v>1060.229064931454</v>
                </pt>
                <pt idx="124">
                  <v>1060.229064931454</v>
                </pt>
                <pt idx="125">
                  <v>1060.229064931454</v>
                </pt>
              </numCache>
            </numRef>
          </val>
        </ser>
        <ser>
          <idx val="1"/>
          <order val="1"/>
          <tx>
            <strRef>
              <f>Base!$T$4</f>
              <strCache>
                <ptCount val="1"/>
                <pt idx="0">
                  <v>Data</v>
                </pt>
              </strCache>
            </strRef>
          </tx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Base!$T$5:$T$130</f>
              <strCache>
                <ptCount val="126"/>
                <pt idx="0">
                  <v xml:space="preserve"> 25/01/2025 </v>
                </pt>
                <pt idx="1">
                  <v xml:space="preserve"> 26/01/2025 </v>
                </pt>
                <pt idx="2">
                  <v xml:space="preserve"> 27/01/2025 </v>
                </pt>
                <pt idx="3">
                  <v xml:space="preserve"> 28/01/2025 </v>
                </pt>
                <pt idx="4">
                  <v xml:space="preserve"> 29/01/2025 </v>
                </pt>
                <pt idx="5">
                  <v xml:space="preserve"> 30/01/2025 </v>
                </pt>
                <pt idx="6">
                  <v xml:space="preserve"> 31/01/2025 </v>
                </pt>
                <pt idx="7">
                  <v xml:space="preserve"> 01/02/2025 </v>
                </pt>
                <pt idx="8">
                  <v xml:space="preserve"> 02/02/2025 </v>
                </pt>
                <pt idx="9">
                  <v xml:space="preserve"> 03/02/2025 </v>
                </pt>
                <pt idx="10">
                  <v xml:space="preserve"> 04/02/2025 </v>
                </pt>
                <pt idx="11">
                  <v xml:space="preserve"> 04/02/2025 </v>
                </pt>
                <pt idx="12">
                  <v xml:space="preserve"> 05/02/2025 </v>
                </pt>
                <pt idx="13">
                  <v xml:space="preserve"> 06/02/2025 </v>
                </pt>
                <pt idx="14">
                  <v xml:space="preserve"> 07/02/2025 </v>
                </pt>
                <pt idx="15">
                  <v xml:space="preserve"> 08/02/2025 </v>
                </pt>
                <pt idx="16">
                  <v xml:space="preserve"> 09/02/2025 </v>
                </pt>
                <pt idx="17">
                  <v xml:space="preserve"> 09/02/2025 </v>
                </pt>
                <pt idx="18">
                  <v xml:space="preserve"> 10/02/2025 </v>
                </pt>
                <pt idx="19">
                  <v xml:space="preserve"> 11/02/2025 </v>
                </pt>
                <pt idx="20">
                  <v xml:space="preserve"> 12/02/2025 </v>
                </pt>
                <pt idx="21">
                  <v xml:space="preserve"> 13/02/2025 </v>
                </pt>
                <pt idx="22">
                  <v xml:space="preserve"> 14/02/2025 </v>
                </pt>
                <pt idx="23">
                  <v xml:space="preserve"> 15/02/2025 </v>
                </pt>
                <pt idx="24">
                  <v xml:space="preserve"> 16/02/2025 </v>
                </pt>
                <pt idx="25">
                  <v xml:space="preserve"> 16/02/2025 </v>
                </pt>
                <pt idx="26">
                  <v xml:space="preserve"> 17/02/2025 </v>
                </pt>
                <pt idx="27">
                  <v xml:space="preserve"> 17/02/2025 </v>
                </pt>
                <pt idx="28">
                  <v xml:space="preserve"> 17/02/2025 </v>
                </pt>
                <pt idx="29">
                  <v xml:space="preserve"> 17/02/2025 </v>
                </pt>
                <pt idx="30">
                  <v xml:space="preserve"> 17/02/2025 </v>
                </pt>
                <pt idx="31">
                  <v xml:space="preserve"> 18/02/2025 </v>
                </pt>
                <pt idx="32">
                  <v xml:space="preserve"> 18/02/2025 </v>
                </pt>
                <pt idx="33">
                  <v xml:space="preserve"> 18/02/2025 </v>
                </pt>
                <pt idx="34">
                  <v xml:space="preserve"> 19/02/2025 </v>
                </pt>
                <pt idx="35">
                  <v xml:space="preserve"> 19/02/2025 </v>
                </pt>
                <pt idx="36">
                  <v xml:space="preserve"> 20/02/2025 </v>
                </pt>
                <pt idx="37">
                  <v xml:space="preserve"> 22/02/2025 </v>
                </pt>
                <pt idx="38">
                  <v xml:space="preserve"> 23/02/2025 </v>
                </pt>
                <pt idx="39">
                  <v xml:space="preserve"> 24/02/2025 </v>
                </pt>
                <pt idx="40">
                  <v xml:space="preserve"> 24/02/2025 </v>
                </pt>
                <pt idx="41">
                  <v xml:space="preserve"> 25/02/2025 </v>
                </pt>
                <pt idx="42">
                  <v xml:space="preserve"> 26/02/2025 </v>
                </pt>
                <pt idx="43">
                  <v xml:space="preserve"> 28/02/2025 </v>
                </pt>
                <pt idx="44">
                  <v xml:space="preserve"> 01/03/2025 </v>
                </pt>
                <pt idx="45">
                  <v xml:space="preserve"> 05/03/2025 </v>
                </pt>
                <pt idx="46">
                  <v xml:space="preserve"> 05/03/2025 </v>
                </pt>
                <pt idx="47">
                  <v xml:space="preserve"> 06/03/2025 </v>
                </pt>
                <pt idx="48">
                  <v xml:space="preserve"> 07/03/2025 </v>
                </pt>
                <pt idx="49">
                  <v xml:space="preserve"> 08/03/2025 </v>
                </pt>
                <pt idx="50">
                  <v xml:space="preserve"> 09/03/2025 </v>
                </pt>
                <pt idx="51">
                  <v xml:space="preserve"> 10/03/2025 </v>
                </pt>
                <pt idx="52">
                  <v xml:space="preserve"> 11/03/2025 </v>
                </pt>
                <pt idx="53">
                  <v xml:space="preserve"> 11/03/2025 </v>
                </pt>
                <pt idx="54">
                  <v xml:space="preserve"> 12/03/2025 </v>
                </pt>
                <pt idx="55">
                  <v xml:space="preserve"> 13/03/2025 </v>
                </pt>
                <pt idx="56">
                  <v xml:space="preserve"> 14/03/2025 </v>
                </pt>
                <pt idx="57">
                  <v xml:space="preserve"> 16/03/2025 </v>
                </pt>
                <pt idx="58">
                  <v xml:space="preserve"> 18/03/2025 </v>
                </pt>
                <pt idx="59">
                  <v xml:space="preserve"> 18/03/2025 </v>
                </pt>
                <pt idx="60">
                  <v xml:space="preserve"> 18/03/2025 </v>
                </pt>
                <pt idx="61">
                  <v xml:space="preserve"> 18/03/2025 </v>
                </pt>
                <pt idx="62">
                  <v xml:space="preserve"> 20/03/2025 </v>
                </pt>
                <pt idx="63">
                  <v xml:space="preserve"> 20/03/2025 </v>
                </pt>
                <pt idx="64">
                  <v xml:space="preserve"> 21/03/2025 </v>
                </pt>
                <pt idx="65">
                  <v xml:space="preserve"> 21/03/2025 </v>
                </pt>
                <pt idx="66">
                  <v xml:space="preserve"> 21/03/2025 </v>
                </pt>
                <pt idx="67">
                  <v xml:space="preserve"> 21/03/2025 </v>
                </pt>
                <pt idx="68">
                  <v xml:space="preserve"> 24/03/2025 </v>
                </pt>
                <pt idx="69">
                  <v xml:space="preserve"> 25/03/2025 </v>
                </pt>
                <pt idx="70">
                  <v xml:space="preserve"> 26/03/2025 </v>
                </pt>
                <pt idx="71">
                  <v xml:space="preserve"> 27/03/2025 </v>
                </pt>
                <pt idx="72">
                  <v xml:space="preserve"> 27/03/2025 </v>
                </pt>
                <pt idx="73">
                  <v xml:space="preserve"> 28/03/2025 </v>
                </pt>
                <pt idx="74">
                  <v xml:space="preserve"> 28/03/2025 </v>
                </pt>
                <pt idx="75">
                  <v xml:space="preserve"> 31/03/2025 </v>
                </pt>
                <pt idx="76">
                  <v xml:space="preserve"> 31/03/2025 </v>
                </pt>
                <pt idx="77">
                  <v xml:space="preserve"> 01/04/2025 </v>
                </pt>
                <pt idx="78">
                  <v xml:space="preserve"> 02/04/2025 </v>
                </pt>
                <pt idx="79">
                  <v xml:space="preserve"> 03/04/2025 </v>
                </pt>
                <pt idx="80">
                  <v xml:space="preserve"> 04/04/2025 </v>
                </pt>
                <pt idx="81">
                  <v xml:space="preserve"> 06/04/2025 </v>
                </pt>
                <pt idx="82">
                  <v xml:space="preserve"> 06/04/2025 </v>
                </pt>
                <pt idx="83">
                  <v xml:space="preserve"> 07/04/2025 </v>
                </pt>
                <pt idx="84">
                  <v xml:space="preserve"> 07/04/2025 </v>
                </pt>
                <pt idx="85">
                  <v xml:space="preserve"> 09/04/2025 </v>
                </pt>
                <pt idx="86">
                  <v xml:space="preserve"> 09/04/2025 </v>
                </pt>
                <pt idx="87">
                  <v xml:space="preserve"> 10/04/2025 </v>
                </pt>
                <pt idx="88">
                  <v xml:space="preserve"> 10/04/2025 </v>
                </pt>
                <pt idx="89">
                  <v xml:space="preserve"> 11/04/2025 </v>
                </pt>
                <pt idx="90">
                  <v xml:space="preserve"> 11/04/2025 </v>
                </pt>
                <pt idx="91">
                  <v xml:space="preserve"> 12/04/2025 </v>
                </pt>
                <pt idx="92">
                  <v xml:space="preserve"> 12/04/2025 </v>
                </pt>
                <pt idx="93">
                  <v xml:space="preserve"> 15/04/2025 </v>
                </pt>
                <pt idx="94">
                  <v xml:space="preserve"> 16/04/2025 </v>
                </pt>
                <pt idx="95">
                  <v xml:space="preserve"> 18/04/2025 </v>
                </pt>
                <pt idx="96">
                  <v xml:space="preserve"> 20/04/2025 </v>
                </pt>
                <pt idx="97">
                  <v xml:space="preserve"> 20/04/2025 </v>
                </pt>
                <pt idx="98">
                  <v xml:space="preserve"> 24/04/2025 </v>
                </pt>
                <pt idx="99">
                  <v xml:space="preserve"> 24/04/2025 </v>
                </pt>
                <pt idx="100">
                  <v xml:space="preserve"> 24/04/2025 </v>
                </pt>
                <pt idx="101">
                  <v xml:space="preserve"> 27/04/2025 </v>
                </pt>
                <pt idx="102">
                  <v xml:space="preserve"> 28/04/2025 </v>
                </pt>
                <pt idx="103">
                  <v xml:space="preserve"> 29/04/2025 </v>
                </pt>
                <pt idx="104">
                  <v xml:space="preserve"> 03/05/2025 </v>
                </pt>
                <pt idx="105">
                  <v xml:space="preserve"> 07/05/2025 </v>
                </pt>
                <pt idx="106">
                  <v xml:space="preserve"> 07/05/2025 </v>
                </pt>
                <pt idx="107">
                  <v xml:space="preserve"> 08/05/2025 </v>
                </pt>
                <pt idx="108">
                  <v xml:space="preserve"> 09/05/2025 </v>
                </pt>
                <pt idx="109">
                  <v xml:space="preserve"> 09/05/2025 </v>
                </pt>
                <pt idx="110">
                  <v xml:space="preserve"> 10/05/2025 </v>
                </pt>
                <pt idx="111">
                  <v xml:space="preserve"> 12/05/2025 </v>
                </pt>
                <pt idx="112">
                  <v xml:space="preserve"> 13/05/2025 </v>
                </pt>
                <pt idx="113">
                  <v xml:space="preserve"> 15/05/2025 </v>
                </pt>
                <pt idx="114">
                  <v xml:space="preserve"> 17/05/2025 </v>
                </pt>
                <pt idx="115">
                  <v xml:space="preserve"> 17/05/2025 </v>
                </pt>
                <pt idx="116">
                  <v xml:space="preserve"> 20/05/2025 </v>
                </pt>
                <pt idx="117">
                  <v xml:space="preserve"> 22/05/2025 </v>
                </pt>
                <pt idx="118">
                  <v xml:space="preserve"> 24/05/2025 </v>
                </pt>
                <pt idx="119">
                  <v xml:space="preserve"> 25/05/2025 </v>
                </pt>
                <pt idx="120">
                  <v xml:space="preserve"> 25/05/2025 </v>
                </pt>
                <pt idx="121">
                  <v xml:space="preserve"> 25/05/2025 </v>
                </pt>
                <pt idx="122">
                  <v xml:space="preserve"> 27/05/2025 </v>
                </pt>
                <pt idx="123">
                  <v xml:space="preserve"> 28/05/2025 </v>
                </pt>
                <pt idx="124">
                  <v xml:space="preserve"> 03/06/2025 </v>
                </pt>
                <pt idx="125">
                  <v xml:space="preserve"> 05/06/2025 </v>
                </pt>
              </strCache>
            </strRef>
          </cat>
          <val>
            <numRef>
              <f>Base!$T$5:$T$130</f>
              <numCache>
                <formatCode>_("R$"* #,##0.00_);_("R$"* \(#,##0.00\);_("R$"* "-"??_);_(@_)</formatCode>
                <ptCount val="12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formatCode>_-"R$"\ * #,##0.00000_-;\-"R$"\ * #,##0.00000_-;_-"R$"\ * "-"??_-;_-@_-</formatCode>
                  <v>0</v>
                </pt>
                <pt idx="51">
                  <formatCode>_-"R$"\ * #,##0.00000_-;\-"R$"\ * #,##0.00000_-;_-"R$"\ * "-"??_-;_-@_-</formatCode>
                  <v>0</v>
                </pt>
                <pt idx="52">
                  <formatCode>_-"R$"\ * #,##0.00000_-;\-"R$"\ * #,##0.00000_-;_-"R$"\ * "-"??_-;_-@_-</formatCode>
                  <v>0</v>
                </pt>
                <pt idx="53">
                  <formatCode>_-"R$"\ * #,##0.00000_-;\-"R$"\ * #,##0.00000_-;_-"R$"\ * "-"??_-;_-@_-</formatCode>
                  <v>0</v>
                </pt>
                <pt idx="54">
                  <formatCode>_-"R$"\ * #,##0.00000_-;\-"R$"\ * #,##0.00000_-;_-"R$"\ * "-"??_-;_-@_-</formatCode>
                  <v>0</v>
                </pt>
                <pt idx="55">
                  <formatCode>_-"R$"\ * #,##0.00000_-;\-"R$"\ * #,##0.00000_-;_-"R$"\ * "-"??_-;_-@_-</formatCode>
                  <v>0</v>
                </pt>
                <pt idx="56">
                  <formatCode>_-"R$"\ * #,##0.00000_-;\-"R$"\ * #,##0.00000_-;_-"R$"\ * "-"??_-;_-@_-</formatCode>
                  <v>0</v>
                </pt>
                <pt idx="57">
                  <formatCode>_-"R$"\ * #,##0.00000_-;\-"R$"\ * #,##0.00000_-;_-"R$"\ * "-"??_-;_-@_-</formatCode>
                  <v>0</v>
                </pt>
                <pt idx="58">
                  <formatCode>_-"R$"\ * #,##0.00000_-;\-"R$"\ * #,##0.00000_-;_-"R$"\ * "-"??_-;_-@_-</formatCode>
                  <v>0</v>
                </pt>
                <pt idx="59">
                  <formatCode>_-"R$"\ * #,##0.00000_-;\-"R$"\ * #,##0.00000_-;_-"R$"\ * "-"??_-;_-@_-</formatCode>
                  <v>0</v>
                </pt>
                <pt idx="60">
                  <formatCode>_-"R$"\ * #,##0.00000_-;\-"R$"\ * #,##0.00000_-;_-"R$"\ * "-"??_-;_-@_-</formatCode>
                  <v>0</v>
                </pt>
                <pt idx="61">
                  <formatCode>_-"R$"\ * #,##0.00000_-;\-"R$"\ * #,##0.00000_-;_-"R$"\ * "-"??_-;_-@_-</formatCode>
                  <v>0</v>
                </pt>
                <pt idx="62">
                  <formatCode>_-"R$"\ * #,##0.00000_-;\-"R$"\ * #,##0.00000_-;_-"R$"\ * "-"??_-;_-@_-</formatCode>
                  <v>0</v>
                </pt>
                <pt idx="63">
                  <formatCode>_-"R$"\ * #,##0.00000_-;\-"R$"\ * #,##0.00000_-;_-"R$"\ * "-"??_-;_-@_-</formatCode>
                  <v>0</v>
                </pt>
                <pt idx="64">
                  <formatCode>_-"R$"\ * #,##0.00000_-;\-"R$"\ * #,##0.00000_-;_-"R$"\ * "-"??_-;_-@_-</formatCode>
                  <v>0</v>
                </pt>
                <pt idx="65">
                  <formatCode>_-"R$"\ * #,##0.00000_-;\-"R$"\ * #,##0.00000_-;_-"R$"\ * "-"??_-;_-@_-</formatCode>
                  <v>0</v>
                </pt>
                <pt idx="66">
                  <formatCode>_-"R$"\ * #,##0.00000_-;\-"R$"\ * #,##0.00000_-;_-"R$"\ * "-"??_-;_-@_-</formatCode>
                  <v>0</v>
                </pt>
                <pt idx="67">
                  <formatCode>_-"R$"\ * #,##0.00000_-;\-"R$"\ * #,##0.00000_-;_-"R$"\ * "-"??_-;_-@_-</formatCode>
                  <v>0</v>
                </pt>
                <pt idx="68">
                  <formatCode>_-"R$"\ * #,##0.00000_-;\-"R$"\ * #,##0.00000_-;_-"R$"\ * "-"??_-;_-@_-</formatCode>
                  <v>0</v>
                </pt>
                <pt idx="69">
                  <formatCode>_-"R$"\ * #,##0.00000_-;\-"R$"\ * #,##0.00000_-;_-"R$"\ * "-"??_-;_-@_-</formatCode>
                  <v>0</v>
                </pt>
                <pt idx="70">
                  <formatCode>_-"R$"\ * #,##0.00000_-;\-"R$"\ * #,##0.00000_-;_-"R$"\ * "-"??_-;_-@_-</formatCode>
                  <v>0</v>
                </pt>
                <pt idx="71">
                  <formatCode>_-"R$"\ * #,##0.00000_-;\-"R$"\ * #,##0.00000_-;_-"R$"\ * "-"??_-;_-@_-</formatCode>
                  <v>0</v>
                </pt>
                <pt idx="72">
                  <formatCode>_-"R$"\ * #,##0.00000_-;\-"R$"\ * #,##0.00000_-;_-"R$"\ * "-"??_-;_-@_-</formatCode>
                  <v>0</v>
                </pt>
                <pt idx="73">
                  <formatCode>_-"R$"\ * #,##0.00000_-;\-"R$"\ * #,##0.00000_-;_-"R$"\ * "-"??_-;_-@_-</formatCode>
                  <v>0</v>
                </pt>
                <pt idx="74">
                  <formatCode>_-"R$"\ * #,##0.00000_-;\-"R$"\ * #,##0.00000_-;_-"R$"\ * "-"??_-;_-@_-</formatCode>
                  <v>0</v>
                </pt>
                <pt idx="75">
                  <formatCode>_-"R$"\ * #,##0.00000_-;\-"R$"\ * #,##0.00000_-;_-"R$"\ * "-"??_-;_-@_-</formatCode>
                  <v>0</v>
                </pt>
                <pt idx="76">
                  <formatCode>_-"R$"\ * #,##0.00000_-;\-"R$"\ * #,##0.00000_-;_-"R$"\ * "-"??_-;_-@_-</formatCode>
                  <v>0</v>
                </pt>
                <pt idx="77">
                  <formatCode>_-"R$"\ * #,##0.00000_-;\-"R$"\ * #,##0.00000_-;_-"R$"\ * "-"??_-;_-@_-</formatCode>
                  <v>0</v>
                </pt>
                <pt idx="78">
                  <formatCode>_-"R$"\ * #,##0.00000_-;\-"R$"\ * #,##0.00000_-;_-"R$"\ * "-"??_-;_-@_-</formatCode>
                  <v>0</v>
                </pt>
                <pt idx="79">
                  <formatCode>_-"R$"\ * #,##0.00000_-;\-"R$"\ * #,##0.00000_-;_-"R$"\ * "-"??_-;_-@_-</formatCode>
                  <v>0</v>
                </pt>
                <pt idx="80">
                  <formatCode>_-"R$"\ * #,##0.00000_-;\-"R$"\ * #,##0.00000_-;_-"R$"\ * "-"??_-;_-@_-</formatCode>
                  <v>0</v>
                </pt>
                <pt idx="81">
                  <formatCode>_-"R$"\ * #,##0.00000_-;\-"R$"\ * #,##0.00000_-;_-"R$"\ * "-"??_-;_-@_-</formatCode>
                  <v>0</v>
                </pt>
                <pt idx="82">
                  <formatCode>_-"R$"\ * #,##0.00000_-;\-"R$"\ * #,##0.00000_-;_-"R$"\ * "-"??_-;_-@_-</formatCode>
                  <v>0</v>
                </pt>
                <pt idx="83">
                  <formatCode>_-"R$"\ * #,##0.00000_-;\-"R$"\ * #,##0.00000_-;_-"R$"\ * "-"??_-;_-@_-</formatCode>
                  <v>0</v>
                </pt>
                <pt idx="84">
                  <formatCode>_-"R$"\ * #,##0.00000_-;\-"R$"\ * #,##0.00000_-;_-"R$"\ * "-"??_-;_-@_-</formatCode>
                  <v>0</v>
                </pt>
                <pt idx="85">
                  <formatCode>_-"R$"\ * #,##0.00000_-;\-"R$"\ * #,##0.00000_-;_-"R$"\ * "-"??_-;_-@_-</formatCode>
                  <v>0</v>
                </pt>
                <pt idx="86">
                  <formatCode>_-"R$"\ * #,##0.00000_-;\-"R$"\ * #,##0.00000_-;_-"R$"\ * "-"??_-;_-@_-</formatCode>
                  <v>0</v>
                </pt>
                <pt idx="87">
                  <formatCode>_-"R$"\ * #,##0.00000_-;\-"R$"\ * #,##0.00000_-;_-"R$"\ * "-"??_-;_-@_-</formatCode>
                  <v>0</v>
                </pt>
                <pt idx="88">
                  <formatCode>_-"R$"\ * #,##0.00000_-;\-"R$"\ * #,##0.00000_-;_-"R$"\ * "-"??_-;_-@_-</formatCode>
                  <v>0</v>
                </pt>
                <pt idx="89">
                  <formatCode>_-"R$"\ * #,##0.00000_-;\-"R$"\ * #,##0.00000_-;_-"R$"\ * "-"??_-;_-@_-</formatCode>
                  <v>0</v>
                </pt>
                <pt idx="90">
                  <formatCode>_-"R$"\ * #,##0.00000_-;\-"R$"\ * #,##0.00000_-;_-"R$"\ * "-"??_-;_-@_-</formatCode>
                  <v>0</v>
                </pt>
                <pt idx="91">
                  <formatCode>_-"R$"\ * #,##0.00000_-;\-"R$"\ * #,##0.00000_-;_-"R$"\ * "-"??_-;_-@_-</formatCode>
                  <v>0</v>
                </pt>
                <pt idx="92">
                  <formatCode>_-"R$"\ * #,##0.00000_-;\-"R$"\ * #,##0.00000_-;_-"R$"\ * "-"??_-;_-@_-</formatCode>
                  <v>0</v>
                </pt>
                <pt idx="93">
                  <formatCode>_-"R$"\ * #,##0.00000_-;\-"R$"\ * #,##0.00000_-;_-"R$"\ * "-"??_-;_-@_-</formatCode>
                  <v>0</v>
                </pt>
                <pt idx="94">
                  <formatCode>_-"R$"\ * #,##0.00000_-;\-"R$"\ * #,##0.00000_-;_-"R$"\ * "-"??_-;_-@_-</formatCode>
                  <v>0</v>
                </pt>
                <pt idx="95">
                  <formatCode>_-"R$"\ * #,##0.00000_-;\-"R$"\ * #,##0.00000_-;_-"R$"\ * "-"??_-;_-@_-</formatCode>
                  <v>0</v>
                </pt>
                <pt idx="96">
                  <formatCode>_-"R$"\ * #,##0.00000_-;\-"R$"\ * #,##0.00000_-;_-"R$"\ * "-"??_-;_-@_-</formatCode>
                  <v>0</v>
                </pt>
                <pt idx="97">
                  <formatCode>_-"R$"\ * #,##0.00000_-;\-"R$"\ * #,##0.00000_-;_-"R$"\ * "-"??_-;_-@_-</formatCode>
                  <v>0</v>
                </pt>
                <pt idx="98">
                  <formatCode>_-"R$"\ * #,##0.00000_-;\-"R$"\ * #,##0.00000_-;_-"R$"\ * "-"??_-;_-@_-</formatCode>
                  <v>0</v>
                </pt>
                <pt idx="99">
                  <formatCode>_-"R$"\ * #,##0.00000_-;\-"R$"\ * #,##0.00000_-;_-"R$"\ * "-"??_-;_-@_-</formatCode>
                  <v>0</v>
                </pt>
                <pt idx="100">
                  <formatCode>_-"R$"\ * #,##0.00000_-;\-"R$"\ * #,##0.00000_-;_-"R$"\ * "-"??_-;_-@_-</formatCode>
                  <v>0</v>
                </pt>
                <pt idx="101">
                  <formatCode>_-"R$"\ * #,##0.00000_-;\-"R$"\ * #,##0.00000_-;_-"R$"\ * "-"??_-;_-@_-</formatCode>
                  <v>0</v>
                </pt>
                <pt idx="102">
                  <formatCode>_-"R$"\ * #,##0.00000_-;\-"R$"\ * #,##0.00000_-;_-"R$"\ * "-"??_-;_-@_-</formatCode>
                  <v>0</v>
                </pt>
                <pt idx="103">
                  <formatCode>_-"R$"\ * #,##0.00000_-;\-"R$"\ * #,##0.00000_-;_-"R$"\ * "-"??_-;_-@_-</formatCode>
                  <v>0</v>
                </pt>
                <pt idx="104">
                  <formatCode>_-"R$"\ * #,##0.00000_-;\-"R$"\ * #,##0.00000_-;_-"R$"\ * "-"??_-;_-@_-</formatCode>
                  <v>0</v>
                </pt>
                <pt idx="105">
                  <formatCode>_-"R$"\ * #,##0.00000_-;\-"R$"\ * #,##0.00000_-;_-"R$"\ * "-"??_-;_-@_-</formatCode>
                  <v>0</v>
                </pt>
                <pt idx="106">
                  <formatCode>_-"R$"\ * #,##0.00000_-;\-"R$"\ * #,##0.00000_-;_-"R$"\ * "-"??_-;_-@_-</formatCode>
                  <v>0</v>
                </pt>
                <pt idx="107">
                  <formatCode>_-"R$"\ * #,##0.00000_-;\-"R$"\ * #,##0.00000_-;_-"R$"\ * "-"??_-;_-@_-</formatCode>
                  <v>0</v>
                </pt>
                <pt idx="108">
                  <formatCode>_-"R$"\ * #,##0.00000_-;\-"R$"\ * #,##0.00000_-;_-"R$"\ * "-"??_-;_-@_-</formatCode>
                  <v>0</v>
                </pt>
                <pt idx="109">
                  <formatCode>_-"R$"\ * #,##0.00000_-;\-"R$"\ * #,##0.00000_-;_-"R$"\ * "-"??_-;_-@_-</formatCode>
                  <v>0</v>
                </pt>
                <pt idx="110">
                  <formatCode>_-"R$"\ * #,##0.00000_-;\-"R$"\ * #,##0.00000_-;_-"R$"\ * "-"??_-;_-@_-</formatCode>
                  <v>0</v>
                </pt>
                <pt idx="111">
                  <formatCode>_-"R$"\ * #,##0.00000_-;\-"R$"\ * #,##0.00000_-;_-"R$"\ * "-"??_-;_-@_-</formatCode>
                  <v>0</v>
                </pt>
                <pt idx="112">
                  <formatCode>_-"R$"\ * #,##0.00000_-;\-"R$"\ * #,##0.00000_-;_-"R$"\ * "-"??_-;_-@_-</formatCode>
                  <v>0</v>
                </pt>
                <pt idx="113">
                  <formatCode>_-"R$"\ * #,##0.00000_-;\-"R$"\ * #,##0.00000_-;_-"R$"\ * "-"??_-;_-@_-</formatCode>
                  <v>0</v>
                </pt>
                <pt idx="114">
                  <formatCode>_-"R$"\ * #,##0.00000_-;\-"R$"\ * #,##0.00000_-;_-"R$"\ * "-"??_-;_-@_-</formatCode>
                  <v>0</v>
                </pt>
                <pt idx="115">
                  <formatCode>_-"R$"\ * #,##0.00000_-;\-"R$"\ * #,##0.00000_-;_-"R$"\ * "-"??_-;_-@_-</formatCode>
                  <v>0</v>
                </pt>
                <pt idx="116">
                  <formatCode>_-"R$"\ * #,##0.00000_-;\-"R$"\ * #,##0.00000_-;_-"R$"\ * "-"??_-;_-@_-</formatCode>
                  <v>0</v>
                </pt>
                <pt idx="117">
                  <formatCode>_-"R$"\ * #,##0.00000_-;\-"R$"\ * #,##0.00000_-;_-"R$"\ * "-"??_-;_-@_-</formatCode>
                  <v>0</v>
                </pt>
                <pt idx="118">
                  <formatCode>_-"R$"\ * #,##0.00000_-;\-"R$"\ * #,##0.00000_-;_-"R$"\ * "-"??_-;_-@_-</formatCode>
                  <v>0</v>
                </pt>
                <pt idx="119">
                  <formatCode>_-"R$"\ * #,##0.00000_-;\-"R$"\ * #,##0.00000_-;_-"R$"\ * "-"??_-;_-@_-</formatCode>
                  <v>0</v>
                </pt>
                <pt idx="120">
                  <formatCode>_-"R$"\ * #,##0.00000_-;\-"R$"\ * #,##0.00000_-;_-"R$"\ * "-"??_-;_-@_-</formatCode>
                  <v>0</v>
                </pt>
                <pt idx="121">
                  <formatCode>_-"R$"\ * #,##0.00000_-;\-"R$"\ * #,##0.00000_-;_-"R$"\ * "-"??_-;_-@_-</formatCode>
                  <v>0</v>
                </pt>
                <pt idx="122">
                  <formatCode>_-"R$"\ * #,##0.00000_-;\-"R$"\ * #,##0.00000_-;_-"R$"\ * "-"??_-;_-@_-</formatCode>
                  <v>0</v>
                </pt>
                <pt idx="123">
                  <formatCode>_-"R$"\ * #,##0.00000_-;\-"R$"\ * #,##0.00000_-;_-"R$"\ * "-"??_-;_-@_-</formatCode>
                  <v>0</v>
                </pt>
                <pt idx="124">
                  <formatCode>_-"R$"\ * #,##0.00000_-;\-"R$"\ * #,##0.00000_-;_-"R$"\ * "-"??_-;_-@_-</formatCode>
                  <v>0</v>
                </pt>
                <pt idx="125">
                  <formatCode>_-"R$"\ * #,##0.00000_-;\-"R$"\ * #,##0.00000_-;_-"R$"\ * "-"??_-;_-@_-</formatCode>
                  <v>0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225496976"/>
        <axId val="225497456"/>
      </barChart>
      <catAx>
        <axId val="2254969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225497456"/>
        <crosses val="autoZero"/>
        <auto val="1"/>
        <lblAlgn val="ctr"/>
        <lblOffset val="100"/>
        <noMultiLvlLbl val="0"/>
      </catAx>
      <valAx>
        <axId val="22549745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2254969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pt-BR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Base!$S$4</f>
              <strCache>
                <ptCount val="1"/>
                <pt idx="0">
                  <v>preço de mercado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Base!$S$5:$S$130</f>
              <numCache>
                <formatCode>_-"R$"\ * #,##0.00000_-;\-"R$"\ * #,##0.00000_-;_-"R$"\ * "-"??_-;_-@_-</formatCode>
                <ptCount val="126"/>
                <pt idx="0">
                  <v>0.04112426137455342</v>
                </pt>
                <pt idx="1">
                  <v>0.04387266575143035</v>
                </pt>
                <pt idx="2">
                  <v>0.04444328117594436</v>
                </pt>
                <pt idx="3">
                  <v>0.04973169199147259</v>
                </pt>
                <pt idx="4">
                  <v>0.04954797841676521</v>
                </pt>
                <pt idx="5">
                  <v>0.04093024872547282</v>
                </pt>
                <pt idx="6">
                  <v>0.03453146606091732</v>
                </pt>
                <pt idx="7">
                  <v>0.03507754705954982</v>
                </pt>
                <pt idx="8">
                  <v>0.03578371242630689</v>
                </pt>
                <pt idx="9">
                  <v>0.03578371242630689</v>
                </pt>
                <pt idx="10">
                  <v>0.03521915766316101</v>
                </pt>
                <pt idx="11">
                  <v>0.03973299229640395</v>
                </pt>
                <pt idx="12">
                  <v>0.03976760041149102</v>
                </pt>
                <pt idx="13">
                  <v>0.03975605301687497</v>
                </pt>
                <pt idx="14">
                  <v>0.03975605301687497</v>
                </pt>
                <pt idx="15">
                  <v>0.06777073869561034</v>
                </pt>
                <pt idx="16">
                  <v>0.02556073869561034</v>
                </pt>
                <pt idx="17">
                  <v>0.02787705101991013</v>
                </pt>
                <pt idx="18">
                  <v>0.02787705101991013</v>
                </pt>
                <pt idx="19">
                  <v>0.02781476870981021</v>
                </pt>
                <pt idx="20">
                  <v>0.02769051348234803</v>
                </pt>
                <pt idx="21">
                  <v>0.02769051348234803</v>
                </pt>
                <pt idx="22">
                  <v>0.02761421270240227</v>
                </pt>
                <pt idx="23">
                  <v>0.02762458530413508</v>
                </pt>
                <pt idx="24">
                  <v>0.02762458530413508</v>
                </pt>
                <pt idx="25">
                  <v>0.02762458530413508</v>
                </pt>
                <pt idx="26">
                  <v>0.02762458530413508</v>
                </pt>
                <pt idx="27">
                  <v>0.02762458530413508</v>
                </pt>
                <pt idx="28">
                  <v>0.02762458530413508</v>
                </pt>
                <pt idx="29">
                  <v>0.02762458530413508</v>
                </pt>
                <pt idx="30">
                  <v>0.02323128739511995</v>
                </pt>
                <pt idx="31">
                  <v>0.02336628739511994</v>
                </pt>
                <pt idx="32">
                  <v>0.01731259310359269</v>
                </pt>
                <pt idx="33">
                  <v>0.02330259310359268</v>
                </pt>
                <pt idx="34">
                  <v>0.02330259310359268</v>
                </pt>
                <pt idx="35">
                  <v>0.02346200302742368</v>
                </pt>
                <pt idx="36">
                  <v>0.02954700302742368</v>
                </pt>
                <pt idx="37">
                  <v>0.0712247703564492</v>
                </pt>
                <pt idx="38">
                  <v>0.07113911433521095</v>
                </pt>
                <pt idx="39">
                  <v>0.07113911433521095</v>
                </pt>
                <pt idx="40">
                  <v>0.07084913094636605</v>
                </pt>
                <pt idx="41">
                  <v>0.07085445038348576</v>
                </pt>
                <pt idx="42">
                  <v>0.07082247321042791</v>
                </pt>
                <pt idx="43">
                  <v>0.07080483572938215</v>
                </pt>
                <pt idx="44">
                  <v>0.07020983572938215</v>
                </pt>
                <pt idx="45">
                  <v>0.02497813834100927</v>
                </pt>
                <pt idx="46">
                  <v>0.02517147417494659</v>
                </pt>
                <pt idx="47">
                  <v>0.1106304590641539</v>
                </pt>
                <pt idx="48">
                  <v>0.1296248135084024</v>
                </pt>
                <pt idx="49">
                  <v>0.1241248135084025</v>
                </pt>
                <pt idx="50">
                  <v>0.124140310146378</v>
                </pt>
                <pt idx="51">
                  <v>0.1240417393269588</v>
                </pt>
                <pt idx="52">
                  <v>0.1234712871544685</v>
                </pt>
                <pt idx="53">
                  <v>0.1309622891066118</v>
                </pt>
                <pt idx="54">
                  <v>0.1310423010363761</v>
                </pt>
                <pt idx="55">
                  <v>0.1263833008194713</v>
                </pt>
                <pt idx="56">
                  <v>0.1419234246172886</v>
                </pt>
                <pt idx="57">
                  <v>0.1420078317491841</v>
                </pt>
                <pt idx="58">
                  <v>0.141650671697172</v>
                </pt>
                <pt idx="59">
                  <v>0.09505877285669087</v>
                </pt>
                <pt idx="60">
                  <v>0.09189141796710154</v>
                </pt>
                <pt idx="61">
                  <v>0.09178117749476621</v>
                </pt>
                <pt idx="62">
                  <v>0.09218443205611009</v>
                </pt>
                <pt idx="63">
                  <v>0.1762097617790763</v>
                </pt>
                <pt idx="64">
                  <v>0.113999372823367</v>
                </pt>
                <pt idx="65">
                  <v>0.1136468720325659</v>
                </pt>
                <pt idx="66">
                  <v>0.1134453715580853</v>
                </pt>
                <pt idx="67">
                  <v>0.1134743705388305</v>
                </pt>
                <pt idx="68">
                  <v>0.1135513658994641</v>
                </pt>
                <pt idx="69">
                  <v>0.1156936908078193</v>
                </pt>
                <pt idx="70">
                  <v>0.1191175396111707</v>
                </pt>
                <pt idx="71">
                  <v>0.1195934073282797</v>
                </pt>
                <pt idx="72">
                  <v>0.1197525126814383</v>
                </pt>
                <pt idx="73">
                  <v>0.1280893276953158</v>
                </pt>
                <pt idx="74">
                  <v>0.1230893276953158</v>
                </pt>
                <pt idx="75">
                  <v>0.07825375200258228</v>
                </pt>
                <pt idx="76">
                  <v>0.07804954954754055</v>
                </pt>
                <pt idx="77">
                  <v>0.07792335628986644</v>
                </pt>
                <pt idx="78">
                  <v>0.07992018594373654</v>
                </pt>
                <pt idx="79">
                  <v>0.07983096827558139</v>
                </pt>
                <pt idx="80">
                  <v>0.2042340740091267</v>
                </pt>
                <pt idx="81">
                  <v>0.1605930742779987</v>
                </pt>
                <pt idx="82">
                  <v>0.1606680742779988</v>
                </pt>
                <pt idx="83">
                  <v>0.160311800247558</v>
                </pt>
                <pt idx="84">
                  <v>0.160311800247558</v>
                </pt>
                <pt idx="85">
                  <v>0.1596027667057681</v>
                </pt>
                <pt idx="86">
                  <v>0.1607295826130327</v>
                </pt>
                <pt idx="87">
                  <v>0.1615940602294334</v>
                </pt>
                <pt idx="88">
                  <v>0.1584890602294334</v>
                </pt>
                <pt idx="89">
                  <v>0.1592603167831899</v>
                </pt>
                <pt idx="90">
                  <v>0.1287103167831899</v>
                </pt>
                <pt idx="91">
                  <v>0.1287103167831899</v>
                </pt>
                <pt idx="92">
                  <v>0.1287103167831899</v>
                </pt>
                <pt idx="93">
                  <v>0.1300248098597343</v>
                </pt>
                <pt idx="94">
                  <v>0.1300180665479269</v>
                </pt>
                <pt idx="95">
                  <v>0.1307570866461137</v>
                </pt>
                <pt idx="96">
                  <v>0.1332570866461137</v>
                </pt>
                <pt idx="97">
                  <v>0.1416606324618704</v>
                </pt>
                <pt idx="98">
                  <v>0.1414446740698223</v>
                </pt>
                <pt idx="99">
                  <v>0.1414616768929789</v>
                </pt>
                <pt idx="100">
                  <v>0.1422341748764384</v>
                </pt>
                <pt idx="101">
                  <v>0.1419491728598979</v>
                </pt>
                <pt idx="102">
                  <v>0.1317756838836526</v>
                </pt>
                <pt idx="103">
                  <v>0.09771044520988825</v>
                </pt>
                <pt idx="104">
                  <v>0.09834868274094628</v>
                </pt>
                <pt idx="105">
                  <v>0.09917540319862826</v>
                </pt>
                <pt idx="106">
                  <v>0.1620786531986283</v>
                </pt>
                <pt idx="107">
                  <v>0.1636136810941049</v>
                </pt>
                <pt idx="108">
                  <v>0.1762024369756813</v>
                </pt>
                <pt idx="109">
                  <v>0.1871181600911709</v>
                </pt>
                <pt idx="110">
                  <v>0.1871181600911709</v>
                </pt>
                <pt idx="111">
                  <v>0.1878711515544829</v>
                </pt>
                <pt idx="112">
                  <v>0.1876364224928948</v>
                </pt>
                <pt idx="113">
                  <v>0.1885971475886199</v>
                </pt>
                <pt idx="114">
                  <v>0.1892181540415494</v>
                </pt>
                <pt idx="115">
                  <v>0.1311806540415494</v>
                </pt>
                <pt idx="116">
                  <v>0.13187140232749</v>
                </pt>
                <pt idx="117">
                  <v>0.2018451773108895</v>
                </pt>
                <pt idx="118">
                  <v>0.2024266782519417</v>
                </pt>
                <pt idx="119">
                  <v>0.2050185457535675</v>
                </pt>
                <pt idx="120">
                  <v>0.2125185457535675</v>
                </pt>
                <pt idx="121">
                  <v>0.22687</v>
                </pt>
                <pt idx="122">
                  <v>0.2291538266517324</v>
                </pt>
                <pt idx="123">
                  <v>0.1995398951491814</v>
                </pt>
                <pt idx="124">
                  <v>0.1295330975359491</v>
                </pt>
                <pt idx="125">
                  <v>0.1295330975359491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91214927"/>
        <axId val="1191213487"/>
      </lineChart>
      <catAx>
        <axId val="119121492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91213487"/>
        <crosses val="autoZero"/>
        <auto val="1"/>
        <lblAlgn val="ctr"/>
        <lblOffset val="100"/>
        <noMultiLvlLbl val="0"/>
      </catAx>
      <valAx>
        <axId val="11912134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R$&quot;\ * #,##0.00000_-;\-&quot;R$&quot;\ * #,##0.00000_-;_-&quot;R$&quot;\ 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912149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pt-BR"/>
              <a:t>Evolução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00813648293963"/>
          <y val="0.171712962962963"/>
          <w val="0.8149186351706037"/>
          <h val="0.7773611111111111"/>
        </manualLayout>
      </layout>
      <lineChart>
        <grouping val="standard"/>
        <varyColors val="0"/>
        <ser>
          <idx val="0"/>
          <order val="0"/>
          <tx>
            <strRef>
              <f>'Saúde financeira'!$B$4</f>
              <strCache>
                <ptCount val="1"/>
                <pt idx="0">
                  <v>Valor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'Saúde financeira'!$A$5:$A$9</f>
              <strCache>
                <ptCount val="5"/>
                <pt idx="0">
                  <v>jan/25</v>
                </pt>
                <pt idx="1">
                  <v>fev/25</v>
                </pt>
                <pt idx="2">
                  <v>mar/25</v>
                </pt>
                <pt idx="3">
                  <v>abr/25</v>
                </pt>
                <pt idx="4">
                  <v>mai/25</v>
                </pt>
              </strCache>
            </strRef>
          </cat>
          <val>
            <numRef>
              <f>'Saúde financeira'!$B$5:$B$9</f>
              <numCache>
                <formatCode>_("R$"* #,##0.00_);_("R$"* \(#,##0.00\);_("R$"* "-"??_);_(@_)</formatCode>
                <ptCount val="5"/>
                <pt idx="0">
                  <v>-27.01712459565215</v>
                </pt>
                <pt idx="1">
                  <v>25.1199742566731</v>
                </pt>
                <pt idx="2">
                  <v>-201.3886908212027</v>
                </pt>
                <pt idx="3">
                  <v>-262.2077358803492</v>
                </pt>
                <pt idx="4">
                  <v>318.6375553049938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92569071"/>
        <axId val="792509551"/>
      </lineChart>
      <catAx>
        <axId val="7925690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92509551"/>
        <crosses val="autoZero"/>
        <auto val="1"/>
        <lblAlgn val="ctr"/>
        <lblOffset val="100"/>
        <noMultiLvlLbl val="0"/>
      </catAx>
      <valAx>
        <axId val="7925095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9256907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220447</colOff>
      <row>132</row>
      <rowOff>96777</rowOff>
    </from>
    <to>
      <col>18</col>
      <colOff>229251</colOff>
      <row>159</row>
      <rowOff>19136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23</col>
      <colOff>388828</colOff>
      <row>7</row>
      <rowOff>41801</rowOff>
    </from>
    <to>
      <col>45</col>
      <colOff>232834</colOff>
      <row>29</row>
      <rowOff>169334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23</col>
      <colOff>579154</colOff>
      <row>31</row>
      <rowOff>122633</rowOff>
    </from>
    <to>
      <col>42</col>
      <colOff>597014</colOff>
      <row>55</row>
      <rowOff>35719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85725</colOff>
      <row>1</row>
      <rowOff>52387</rowOff>
    </from>
    <to>
      <col>13</col>
      <colOff>390525</colOff>
      <row>15</row>
      <rowOff>128587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11" displayName="Tabela11" ref="A4:W130" headerRowCount="1" totalsRowShown="0" headerRowDxfId="35" dataDxfId="33" headerRowBorderDxfId="34" tableBorderDxfId="32" totalsRowBorderDxfId="31" dataCellStyle="Moeda">
  <autoFilter ref="A4:W1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</autoFilter>
  <tableColumns count="23">
    <tableColumn id="1" name="Capital investido" dataDxfId="30" dataCellStyle="Moeda"/>
    <tableColumn id="2" name="Capital total" dataDxfId="29" dataCellStyle="Moeda"/>
    <tableColumn id="3" name="Lucro" dataDxfId="28" dataCellStyle="Moeda"/>
    <tableColumn id="4" name="Pagamento De funcionários" dataDxfId="27" dataCellStyle="Moeda"/>
    <tableColumn id="5" name="Último Salário Pago" dataDxfId="26" dataCellStyle="Moeda"/>
    <tableColumn id="6" name="Saldo em caixa" dataDxfId="25" dataCellStyle="Moeda"/>
    <tableColumn id="19" name="Saldo projetado" dataDxfId="24" dataCellStyle="Moeda"/>
    <tableColumn id="7" name="CDB" dataDxfId="23" dataCellStyle="Moeda"/>
    <tableColumn id="8" name="Ação/BDR" dataDxfId="22" dataCellStyle="Moeda"/>
    <tableColumn id="9" name="Dolar" dataDxfId="21" dataCellStyle="Moeda"/>
    <tableColumn id="10" name="FII" dataDxfId="20" dataCellStyle="Moeda"/>
    <tableColumn id="11" name="Caixa 2" dataDxfId="19" dataCellStyle="Moeda"/>
    <tableColumn id="12" name="Empréstimo" dataDxfId="18" dataCellStyle="Moeda"/>
    <tableColumn id="13" name="Despesas" dataDxfId="17" dataCellStyle="Moeda"/>
    <tableColumn id="14" name="Day trade" dataDxfId="16" dataCellStyle="Moeda"/>
    <tableColumn id="21" name="ETF" dataDxfId="15" dataCellStyle="Moeda"/>
    <tableColumn id="15" name="Tesouro direto" dataDxfId="14" dataCellStyle="Moeda"/>
    <tableColumn id="23" name="Fundos de investimento" dataDxfId="13" dataCellStyle="Moeda"/>
    <tableColumn id="20" name="preço de mercado" dataDxfId="12" dataCellStyle="Moeda">
      <calculatedColumnFormula>Tabela11[[#This Row],[Capital total]]/2000</calculatedColumnFormula>
    </tableColumn>
    <tableColumn id="22" name="Data" dataDxfId="11" dataCellStyle="Moeda"/>
    <tableColumn id="16" name="Hora" dataDxfId="10"/>
    <tableColumn id="17" name="% lucro" dataDxfId="9" dataCellStyle="Porcentagem">
      <calculatedColumnFormula>IFERROR(Tabela11[[#This Row],[Lucro]]*1/Tabela11[[#This Row],[Capital total]],"")</calculatedColumnFormula>
    </tableColumn>
    <tableColumn id="18" name="Variação no Período" dataDxfId="8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2" displayName="Tabela12" ref="A4:B9" headerRowCount="1" totalsRowShown="0" headerRowDxfId="7" headerRowBorderDxfId="6" tableBorderDxfId="5" totalsRowBorderDxfId="4">
  <autoFilter ref="A4:B9"/>
  <tableColumns count="2">
    <tableColumn id="1" name="Mês" dataDxfId="3"/>
    <tableColumn id="2" name="Valor" dataDxfId="2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3"/>
  <sheetViews>
    <sheetView tabSelected="1" topLeftCell="D107" zoomScale="55" zoomScaleNormal="55" workbookViewId="0">
      <selection activeCell="W121" sqref="W121:W130"/>
    </sheetView>
  </sheetViews>
  <sheetFormatPr baseColWidth="8" defaultRowHeight="15"/>
  <cols>
    <col width="16.42578125" customWidth="1" style="51" min="1" max="1"/>
    <col width="13.140625" bestFit="1" customWidth="1" style="51" min="2" max="3"/>
    <col width="19.140625" bestFit="1" customWidth="1" style="51" min="4" max="4"/>
    <col width="14.140625" bestFit="1" customWidth="1" style="51" min="5" max="5"/>
    <col width="13.140625" bestFit="1" customWidth="1" style="51" min="6" max="6"/>
    <col width="13.140625" bestFit="1" customWidth="1" style="52" min="7" max="7"/>
    <col width="15.85546875" bestFit="1" customWidth="1" style="51" min="8" max="8"/>
    <col width="15" bestFit="1" customWidth="1" style="51" min="9" max="9"/>
    <col width="13.42578125" customWidth="1" style="51" min="10" max="10"/>
    <col width="15.85546875" bestFit="1" customWidth="1" style="51" min="11" max="11"/>
    <col width="12.42578125" bestFit="1" customWidth="1" style="51" min="12" max="12"/>
    <col width="14.42578125" bestFit="1" customWidth="1" style="51" min="13" max="13"/>
    <col width="12.85546875" bestFit="1" customWidth="1" style="51" min="14" max="14"/>
    <col width="11.5703125" bestFit="1" customWidth="1" style="45" min="15" max="15"/>
    <col width="11.85546875" bestFit="1" customWidth="1" style="45" min="16" max="16"/>
    <col width="16.7109375" bestFit="1" customWidth="1" style="45" min="17" max="19"/>
    <col width="14.42578125" bestFit="1" customWidth="1" style="45" min="20" max="20"/>
    <col width="14" bestFit="1" customWidth="1" style="45" min="21" max="23"/>
    <col width="13.42578125" bestFit="1" customWidth="1" style="45" min="26" max="26"/>
  </cols>
  <sheetData>
    <row r="1" ht="15" customHeight="1" s="45">
      <c r="A1" s="53" t="inlineStr">
        <is>
          <t>Dados Financeiros</t>
        </is>
      </c>
    </row>
    <row r="2">
      <c r="A2" s="46" t="n"/>
    </row>
    <row r="3" ht="15" customHeight="1" s="45"/>
    <row r="4" ht="30" customHeight="1" s="45">
      <c r="A4" s="54" t="inlineStr">
        <is>
          <t>Capital investido</t>
        </is>
      </c>
      <c r="B4" s="55" t="inlineStr">
        <is>
          <t>Capital total</t>
        </is>
      </c>
      <c r="C4" s="55" t="inlineStr">
        <is>
          <t>Lucro</t>
        </is>
      </c>
      <c r="D4" s="55" t="inlineStr">
        <is>
          <t>Pagamento De funcionários</t>
        </is>
      </c>
      <c r="E4" s="55" t="inlineStr">
        <is>
          <t>Último Salário Pago</t>
        </is>
      </c>
      <c r="F4" s="55" t="inlineStr">
        <is>
          <t>Saldo em caixa</t>
        </is>
      </c>
      <c r="G4" s="55" t="inlineStr">
        <is>
          <t>Saldo projetado</t>
        </is>
      </c>
      <c r="H4" s="55" t="inlineStr">
        <is>
          <t>CDB</t>
        </is>
      </c>
      <c r="I4" s="55" t="inlineStr">
        <is>
          <t>Ação/BDR</t>
        </is>
      </c>
      <c r="J4" s="55" t="inlineStr">
        <is>
          <t>Dolar</t>
        </is>
      </c>
      <c r="K4" s="55" t="inlineStr">
        <is>
          <t>FII</t>
        </is>
      </c>
      <c r="L4" s="55" t="inlineStr">
        <is>
          <t>Caixa 2</t>
        </is>
      </c>
      <c r="M4" s="55" t="inlineStr">
        <is>
          <t>Empréstimo</t>
        </is>
      </c>
      <c r="N4" s="55" t="inlineStr">
        <is>
          <t>Despesas</t>
        </is>
      </c>
      <c r="O4" s="55" t="inlineStr">
        <is>
          <t>Day trade</t>
        </is>
      </c>
      <c r="P4" s="55" t="inlineStr">
        <is>
          <t>ETF</t>
        </is>
      </c>
      <c r="Q4" s="55" t="inlineStr">
        <is>
          <t>Tesouro direto</t>
        </is>
      </c>
      <c r="R4" s="55" t="inlineStr">
        <is>
          <t>Fundos de investimento</t>
        </is>
      </c>
      <c r="S4" s="1" t="inlineStr">
        <is>
          <t>preço de mercado</t>
        </is>
      </c>
      <c r="T4" s="1" t="inlineStr">
        <is>
          <t>Data</t>
        </is>
      </c>
      <c r="U4" s="1" t="inlineStr">
        <is>
          <t>Hora</t>
        </is>
      </c>
      <c r="V4" s="1" t="inlineStr">
        <is>
          <t>% lucro</t>
        </is>
      </c>
      <c r="W4" s="2" t="inlineStr">
        <is>
          <t>Variação no Período</t>
        </is>
      </c>
    </row>
    <row r="5">
      <c r="A5" s="56" t="n">
        <v>82.70250101356964</v>
      </c>
      <c r="B5" s="57" t="n">
        <v>82.24852274910684</v>
      </c>
      <c r="C5" s="57" t="n">
        <v>-0.4539782644628048</v>
      </c>
      <c r="D5" s="57" t="n">
        <v>1.04</v>
      </c>
      <c r="E5" s="57" t="n">
        <v>1.04</v>
      </c>
      <c r="F5" s="57" t="n">
        <v>82.24852274910684</v>
      </c>
      <c r="G5" s="57" t="inlineStr">
        <is>
          <t>-</t>
        </is>
      </c>
      <c r="H5" s="57" t="n">
        <v>20.41250101356965</v>
      </c>
      <c r="I5" s="57" t="n">
        <v>1.769999999999996</v>
      </c>
      <c r="J5" s="57" t="n">
        <v>19.2460217355372</v>
      </c>
      <c r="K5" s="57" t="n">
        <v>27.58</v>
      </c>
      <c r="L5" s="57" t="n">
        <v>1.189999999999998</v>
      </c>
      <c r="M5" s="57" t="n">
        <v>2.159999999999997</v>
      </c>
      <c r="N5" s="57" t="n">
        <v>0</v>
      </c>
      <c r="O5" s="57" t="n">
        <v>9.159999999999997</v>
      </c>
      <c r="P5" s="58" t="inlineStr">
        <is>
          <t>-</t>
        </is>
      </c>
      <c r="Q5" s="58" t="inlineStr">
        <is>
          <t>-</t>
        </is>
      </c>
      <c r="R5" s="58" t="inlineStr">
        <is>
          <t>-</t>
        </is>
      </c>
      <c r="S5" s="59">
        <f>Tabela11[[#This Row],[Capital total]]/2000</f>
        <v/>
      </c>
      <c r="T5" s="57" t="inlineStr">
        <is>
          <t>25/01/2025</t>
        </is>
      </c>
      <c r="U5" s="15" t="inlineStr">
        <is>
          <t>11:39:45</t>
        </is>
      </c>
      <c r="V5" s="60">
        <f>IFERROR(Tabela11[[#This Row],[Lucro]]*1/Tabela11[[#This Row],[Capital total]],"")</f>
        <v/>
      </c>
      <c r="W5" s="61" t="n">
        <v>0</v>
      </c>
      <c r="X5" s="3" t="inlineStr">
        <is>
          <t>Índice</t>
        </is>
      </c>
    </row>
    <row r="6">
      <c r="A6" s="56" t="n">
        <v>89.96930976732349</v>
      </c>
      <c r="B6" s="57" t="n">
        <v>87.74533150286069</v>
      </c>
      <c r="C6" s="57" t="n">
        <v>-2.223978264462804</v>
      </c>
      <c r="D6" s="57" t="n">
        <v>1.04</v>
      </c>
      <c r="E6" s="57" t="n">
        <v>1.04</v>
      </c>
      <c r="F6" s="57" t="n">
        <v>87.74533150286069</v>
      </c>
      <c r="G6" s="57" t="inlineStr">
        <is>
          <t>-</t>
        </is>
      </c>
      <c r="H6" s="57" t="n">
        <v>22.67930976732349</v>
      </c>
      <c r="I6" s="57" t="n">
        <v>1.769999999999996</v>
      </c>
      <c r="J6" s="57" t="n">
        <v>19.2460217355372</v>
      </c>
      <c r="K6" s="57" t="n">
        <v>27.68000000000001</v>
      </c>
      <c r="L6" s="57" t="n">
        <v>1.189999999999998</v>
      </c>
      <c r="M6" s="57" t="n">
        <v>2.159999999999997</v>
      </c>
      <c r="N6" s="57" t="n">
        <v>5</v>
      </c>
      <c r="O6" s="57" t="n">
        <v>9.159999999999997</v>
      </c>
      <c r="P6" s="58" t="inlineStr">
        <is>
          <t>-</t>
        </is>
      </c>
      <c r="Q6" s="58" t="inlineStr">
        <is>
          <t>-</t>
        </is>
      </c>
      <c r="R6" s="58" t="inlineStr">
        <is>
          <t>-</t>
        </is>
      </c>
      <c r="S6" s="59">
        <f>Tabela11[[#This Row],[Capital total]]/2000</f>
        <v/>
      </c>
      <c r="T6" s="57" t="inlineStr">
        <is>
          <t>26/01/2025</t>
        </is>
      </c>
      <c r="U6" s="15" t="inlineStr">
        <is>
          <t>16:32:49</t>
        </is>
      </c>
      <c r="V6" s="60">
        <f>IFERROR(Tabela11[[#This Row],[Lucro]]*1/Tabela11[[#This Row],[Capital total]],"")</f>
        <v/>
      </c>
      <c r="W6" s="61">
        <f>Tabela11[[#This Row],[Lucro]]-C5</f>
        <v/>
      </c>
      <c r="X6" s="4">
        <f>COUNTA(Tabela11[Capital investido])</f>
        <v/>
      </c>
    </row>
    <row r="7" ht="15.75" customHeight="1" s="45">
      <c r="A7" s="56" t="n">
        <v>91.11054061635153</v>
      </c>
      <c r="B7" s="57" t="n">
        <v>88.88656235188873</v>
      </c>
      <c r="C7" s="57" t="n">
        <v>-2.223978264462804</v>
      </c>
      <c r="D7" s="57" t="n">
        <v>1.04</v>
      </c>
      <c r="E7" s="57" t="n">
        <v>1.04</v>
      </c>
      <c r="F7" s="57" t="n">
        <v>88.88656235188873</v>
      </c>
      <c r="G7" s="57" t="inlineStr">
        <is>
          <t>-</t>
        </is>
      </c>
      <c r="H7" s="57" t="n">
        <v>23.82054061635152</v>
      </c>
      <c r="I7" s="57" t="n">
        <v>1.769999999999996</v>
      </c>
      <c r="J7" s="57" t="n">
        <v>19.2460217355372</v>
      </c>
      <c r="K7" s="57" t="n">
        <v>27.48</v>
      </c>
      <c r="L7" s="57" t="n">
        <v>1.189999999999998</v>
      </c>
      <c r="M7" s="57" t="n">
        <v>2.159999999999997</v>
      </c>
      <c r="N7" s="57" t="n">
        <v>5</v>
      </c>
      <c r="O7" s="57" t="n">
        <v>9.159999999999997</v>
      </c>
      <c r="P7" s="58" t="inlineStr">
        <is>
          <t>-</t>
        </is>
      </c>
      <c r="Q7" s="58" t="inlineStr">
        <is>
          <t>-</t>
        </is>
      </c>
      <c r="R7" s="58" t="inlineStr">
        <is>
          <t>-</t>
        </is>
      </c>
      <c r="S7" s="59">
        <f>Tabela11[[#This Row],[Capital total]]/2000</f>
        <v/>
      </c>
      <c r="T7" s="57" t="inlineStr">
        <is>
          <t>27/01/2025</t>
        </is>
      </c>
      <c r="U7" s="15" t="inlineStr">
        <is>
          <t>18:02:53</t>
        </is>
      </c>
      <c r="V7" s="60">
        <f>IFERROR(Tabela11[[#This Row],[Lucro]]*1/Tabela11[[#This Row],[Capital total]],"")</f>
        <v/>
      </c>
      <c r="W7" s="61">
        <f>Tabela11[[#This Row],[Lucro]]-C6</f>
        <v/>
      </c>
    </row>
    <row r="8">
      <c r="A8" s="56" t="n">
        <v>102.2570211272851</v>
      </c>
      <c r="B8" s="57" t="n">
        <v>99.46338398294519</v>
      </c>
      <c r="C8" s="57" t="n">
        <v>-2.793637144339907</v>
      </c>
      <c r="D8" s="57" t="n">
        <v>1.04</v>
      </c>
      <c r="E8" s="57" t="n">
        <v>1.04</v>
      </c>
      <c r="F8" s="57" t="n">
        <v>99.46338398294519</v>
      </c>
      <c r="G8" s="57" t="inlineStr">
        <is>
          <t>-</t>
        </is>
      </c>
      <c r="H8" s="57" t="n">
        <v>24.96702112728509</v>
      </c>
      <c r="I8" s="57" t="n">
        <v>1.609999999999999</v>
      </c>
      <c r="J8" s="57" t="n">
        <v>29.07636285566009</v>
      </c>
      <c r="K8" s="57" t="n">
        <v>27.3</v>
      </c>
      <c r="L8" s="57" t="n">
        <v>1.189999999999998</v>
      </c>
      <c r="M8" s="57" t="n">
        <v>2.159999999999997</v>
      </c>
      <c r="N8" s="57" t="n">
        <v>5</v>
      </c>
      <c r="O8" s="57" t="n">
        <v>9.099999999999994</v>
      </c>
      <c r="P8" s="58" t="inlineStr">
        <is>
          <t>-</t>
        </is>
      </c>
      <c r="Q8" s="58" t="inlineStr">
        <is>
          <t>-</t>
        </is>
      </c>
      <c r="R8" s="58" t="inlineStr">
        <is>
          <t>-</t>
        </is>
      </c>
      <c r="S8" s="59">
        <f>Tabela11[[#This Row],[Capital total]]/2000</f>
        <v/>
      </c>
      <c r="T8" s="57" t="inlineStr">
        <is>
          <t>28/01/2025</t>
        </is>
      </c>
      <c r="U8" s="15" t="inlineStr">
        <is>
          <t>18:03:11</t>
        </is>
      </c>
      <c r="V8" s="60">
        <f>IFERROR(Tabela11[[#This Row],[Lucro]]*1/Tabela11[[#This Row],[Capital total]],"")</f>
        <v/>
      </c>
      <c r="W8" s="61">
        <f>Tabela11[[#This Row],[Lucro]]-C7</f>
        <v/>
      </c>
    </row>
    <row r="9">
      <c r="A9" s="56" t="n">
        <v>102.2570211272851</v>
      </c>
      <c r="B9" s="57" t="n">
        <v>99.09595683353041</v>
      </c>
      <c r="C9" s="57" t="n">
        <v>-3.161064293754688</v>
      </c>
      <c r="D9" s="57" t="n">
        <v>1.04</v>
      </c>
      <c r="E9" s="57" t="n">
        <v>1.04</v>
      </c>
      <c r="F9" s="57" t="n">
        <v>99.09595683353041</v>
      </c>
      <c r="G9" s="57" t="inlineStr">
        <is>
          <t>-</t>
        </is>
      </c>
      <c r="H9" s="57" t="n">
        <v>24.96702112728509</v>
      </c>
      <c r="I9" s="57" t="n">
        <v>1.549999999999997</v>
      </c>
      <c r="J9" s="57" t="n">
        <v>28.88893570624531</v>
      </c>
      <c r="K9" s="57" t="n">
        <v>27.20999999999999</v>
      </c>
      <c r="L9" s="57" t="n">
        <v>1.189999999999998</v>
      </c>
      <c r="M9" s="57" t="n">
        <v>2.159999999999997</v>
      </c>
      <c r="N9" s="57" t="n">
        <v>5</v>
      </c>
      <c r="O9" s="57" t="n">
        <v>9.069999999999993</v>
      </c>
      <c r="P9" s="58" t="inlineStr">
        <is>
          <t>-</t>
        </is>
      </c>
      <c r="Q9" s="58" t="inlineStr">
        <is>
          <t>-</t>
        </is>
      </c>
      <c r="R9" s="58" t="inlineStr">
        <is>
          <t>-</t>
        </is>
      </c>
      <c r="S9" s="59">
        <f>Tabela11[[#This Row],[Capital total]]/2000</f>
        <v/>
      </c>
      <c r="T9" s="57" t="inlineStr">
        <is>
          <t>29/01/2025</t>
        </is>
      </c>
      <c r="U9" s="15" t="inlineStr">
        <is>
          <t>18:00:40</t>
        </is>
      </c>
      <c r="V9" s="60">
        <f>IFERROR(Tabela11[[#This Row],[Lucro]]*1/Tabela11[[#This Row],[Capital total]],"")</f>
        <v/>
      </c>
      <c r="W9" s="61">
        <f>Tabela11[[#This Row],[Lucro]]-C8</f>
        <v/>
      </c>
    </row>
    <row r="10">
      <c r="A10" s="56" t="n">
        <v>104.5537669220797</v>
      </c>
      <c r="B10" s="57" t="n">
        <v>81.86049745094564</v>
      </c>
      <c r="C10" s="57" t="n">
        <v>-22.69326947113408</v>
      </c>
      <c r="D10" s="57" t="n">
        <v>1.04</v>
      </c>
      <c r="E10" s="57" t="n">
        <v>1.04</v>
      </c>
      <c r="F10" s="57" t="n">
        <v>81.86049745094564</v>
      </c>
      <c r="G10" s="57" t="inlineStr">
        <is>
          <t>-</t>
        </is>
      </c>
      <c r="H10" s="57" t="n">
        <v>27.26376692207972</v>
      </c>
      <c r="I10" s="57" t="n">
        <v>1.530000000000001</v>
      </c>
      <c r="J10" s="57" t="n">
        <v>28.97673052886591</v>
      </c>
      <c r="K10" s="57" t="n">
        <v>27.50999999999999</v>
      </c>
      <c r="L10" s="57" t="n">
        <v>1.189999999999998</v>
      </c>
      <c r="M10" s="57" t="n">
        <v>2.159999999999997</v>
      </c>
      <c r="N10" s="57" t="n">
        <v>5</v>
      </c>
      <c r="O10" s="57" t="n">
        <v>9.170000000000002</v>
      </c>
      <c r="P10" s="58" t="inlineStr">
        <is>
          <t>-</t>
        </is>
      </c>
      <c r="Q10" s="58" t="inlineStr">
        <is>
          <t>-</t>
        </is>
      </c>
      <c r="R10" s="58" t="inlineStr">
        <is>
          <t>-</t>
        </is>
      </c>
      <c r="S10" s="59">
        <f>Tabela11[[#This Row],[Capital total]]/2000</f>
        <v/>
      </c>
      <c r="T10" s="57" t="inlineStr">
        <is>
          <t>30/01/2025</t>
        </is>
      </c>
      <c r="U10" s="15" t="inlineStr">
        <is>
          <t>18:02:42</t>
        </is>
      </c>
      <c r="V10" s="62">
        <f>IFERROR(Tabela11[[#This Row],[Lucro]]*1/Tabela11[[#This Row],[Capital total]],"")</f>
        <v/>
      </c>
      <c r="W10" s="61">
        <f>Tabela11[[#This Row],[Lucro]]-C9</f>
        <v/>
      </c>
    </row>
    <row r="11">
      <c r="A11" s="56" t="n">
        <v>96.53403498194959</v>
      </c>
      <c r="B11" s="57" t="n">
        <v>69.06293212183465</v>
      </c>
      <c r="C11" s="57" t="n">
        <v>-27.47110286011495</v>
      </c>
      <c r="D11" s="57" t="n">
        <v>1.04</v>
      </c>
      <c r="E11" s="57" t="n">
        <v>1.04</v>
      </c>
      <c r="F11" s="57" t="n">
        <v>69.06293212183465</v>
      </c>
      <c r="G11" s="57" t="inlineStr">
        <is>
          <t>-</t>
        </is>
      </c>
      <c r="H11" s="57" t="n">
        <v>28.41403498194958</v>
      </c>
      <c r="I11" s="57" t="n">
        <v>1.579999999999998</v>
      </c>
      <c r="J11" s="57" t="n">
        <v>28.81889713988505</v>
      </c>
      <c r="K11" s="57" t="n">
        <v>27.66</v>
      </c>
      <c r="L11" s="57" t="n">
        <v>1.189999999999998</v>
      </c>
      <c r="M11" s="57" t="n">
        <v>2.159999999999997</v>
      </c>
      <c r="N11" s="57" t="n">
        <v>5.010000000000005</v>
      </c>
      <c r="O11" s="57" t="n">
        <v>0</v>
      </c>
      <c r="P11" s="58" t="inlineStr">
        <is>
          <t>-</t>
        </is>
      </c>
      <c r="Q11" s="58" t="inlineStr">
        <is>
          <t>-</t>
        </is>
      </c>
      <c r="R11" s="58" t="inlineStr">
        <is>
          <t>-</t>
        </is>
      </c>
      <c r="S11" s="59">
        <f>Tabela11[[#This Row],[Capital total]]/2000</f>
        <v/>
      </c>
      <c r="T11" s="57" t="inlineStr">
        <is>
          <t>31/01/2025</t>
        </is>
      </c>
      <c r="U11" s="15" t="inlineStr">
        <is>
          <t>18:00:47</t>
        </is>
      </c>
      <c r="V11" s="60">
        <f>IFERROR(Tabela11[[#This Row],[Lucro]]*1/Tabela11[[#This Row],[Capital total]],"")</f>
        <v/>
      </c>
      <c r="W11" s="61">
        <f>Tabela11[[#This Row],[Lucro]]-C10</f>
        <v/>
      </c>
    </row>
    <row r="12">
      <c r="A12" s="56" t="n">
        <v>97.68556833668532</v>
      </c>
      <c r="B12" s="57" t="n">
        <v>70.15509411909963</v>
      </c>
      <c r="C12" s="57" t="n">
        <v>-27.53047421758568</v>
      </c>
      <c r="D12" s="57" t="n">
        <v>1.04</v>
      </c>
      <c r="E12" s="57" t="n">
        <v>1.04</v>
      </c>
      <c r="F12" s="57" t="n">
        <v>70.15509411909963</v>
      </c>
      <c r="G12" s="57" t="inlineStr">
        <is>
          <t>-</t>
        </is>
      </c>
      <c r="H12" s="57" t="n">
        <v>29.56556833668532</v>
      </c>
      <c r="I12" s="57" t="n">
        <v>1.560000000000002</v>
      </c>
      <c r="J12" s="57" t="n">
        <v>28.80952578241431</v>
      </c>
      <c r="K12" s="57" t="n">
        <v>27.63</v>
      </c>
      <c r="L12" s="57" t="n">
        <v>1.189999999999998</v>
      </c>
      <c r="M12" s="57" t="n">
        <v>2.159999999999997</v>
      </c>
      <c r="N12" s="57" t="n">
        <v>5.010000000000005</v>
      </c>
      <c r="O12" s="57" t="n">
        <v>0</v>
      </c>
      <c r="P12" s="58" t="inlineStr">
        <is>
          <t>-</t>
        </is>
      </c>
      <c r="Q12" s="58" t="inlineStr">
        <is>
          <t>-</t>
        </is>
      </c>
      <c r="R12" s="58" t="inlineStr">
        <is>
          <t>-</t>
        </is>
      </c>
      <c r="S12" s="59">
        <f>Tabela11[[#This Row],[Capital total]]/2000</f>
        <v/>
      </c>
      <c r="T12" s="57" t="inlineStr">
        <is>
          <t>01/02/2025</t>
        </is>
      </c>
      <c r="U12" s="15" t="inlineStr">
        <is>
          <t>11:33:35</t>
        </is>
      </c>
      <c r="V12" s="60">
        <f>IFERROR(Tabela11[[#This Row],[Lucro]]*1/Tabela11[[#This Row],[Capital total]],"")</f>
        <v/>
      </c>
      <c r="W12" s="61">
        <f>Tabela11[[#This Row],[Lucro]]-C11</f>
        <v/>
      </c>
    </row>
    <row r="13">
      <c r="A13" s="56" t="n">
        <v>99.08556833668533</v>
      </c>
      <c r="B13" s="57" t="n">
        <v>71.56742485261377</v>
      </c>
      <c r="C13" s="57" t="n">
        <v>-27.51814348407156</v>
      </c>
      <c r="D13" s="57" t="n">
        <v>1.04</v>
      </c>
      <c r="E13" s="57" t="n">
        <v>1.04</v>
      </c>
      <c r="F13" s="57" t="n">
        <v>71.56742485261377</v>
      </c>
      <c r="G13" s="57" t="n">
        <v>39.47218916666667</v>
      </c>
      <c r="H13" s="57" t="n">
        <v>29.56556833668532</v>
      </c>
      <c r="I13" s="57" t="n">
        <v>1.560000000000002</v>
      </c>
      <c r="J13" s="57" t="n">
        <v>28.82185651592845</v>
      </c>
      <c r="K13" s="57" t="n">
        <v>27.63000000000001</v>
      </c>
      <c r="L13" s="57" t="n">
        <v>1.189999999999998</v>
      </c>
      <c r="M13" s="57" t="n">
        <v>2.159999999999997</v>
      </c>
      <c r="N13" s="57" t="n">
        <v>6.409999999999997</v>
      </c>
      <c r="O13" s="57" t="n">
        <v>0</v>
      </c>
      <c r="P13" s="58" t="inlineStr">
        <is>
          <t>-</t>
        </is>
      </c>
      <c r="Q13" s="58" t="inlineStr">
        <is>
          <t>-</t>
        </is>
      </c>
      <c r="R13" s="58" t="inlineStr">
        <is>
          <t>-</t>
        </is>
      </c>
      <c r="S13" s="59">
        <f>Tabela11[[#This Row],[Capital total]]/2000</f>
        <v/>
      </c>
      <c r="T13" s="57" t="inlineStr">
        <is>
          <t>02/02/2025</t>
        </is>
      </c>
      <c r="U13" s="15" t="inlineStr">
        <is>
          <t>23:40:46</t>
        </is>
      </c>
      <c r="V13" s="60">
        <f>IFERROR(Tabela11[[#This Row],[Lucro]]*1/Tabela11[[#This Row],[Capital total]],"")</f>
        <v/>
      </c>
      <c r="W13" s="61">
        <f>Tabela11[[#This Row],[Lucro]]-C12</f>
        <v/>
      </c>
    </row>
    <row r="14">
      <c r="A14" s="56" t="n">
        <v>99.08556833668533</v>
      </c>
      <c r="B14" s="57" t="n">
        <v>71.56742485261377</v>
      </c>
      <c r="C14" s="57" t="n">
        <v>-27.51814348407156</v>
      </c>
      <c r="D14" s="57" t="n">
        <v>1.04</v>
      </c>
      <c r="E14" s="57" t="n">
        <v>1.04</v>
      </c>
      <c r="F14" s="57" t="n">
        <v>71.56742485261377</v>
      </c>
      <c r="G14" s="57" t="inlineStr">
        <is>
          <t>-</t>
        </is>
      </c>
      <c r="H14" s="57" t="n">
        <v>29.56556833668532</v>
      </c>
      <c r="I14" s="57" t="n">
        <v>1.560000000000002</v>
      </c>
      <c r="J14" s="57" t="n">
        <v>28.82185651592845</v>
      </c>
      <c r="K14" s="57" t="n">
        <v>27.63000000000001</v>
      </c>
      <c r="L14" s="57" t="n">
        <v>1.189999999999998</v>
      </c>
      <c r="M14" s="57" t="n">
        <v>2.159999999999997</v>
      </c>
      <c r="N14" s="57" t="n">
        <v>6.409999999999997</v>
      </c>
      <c r="O14" s="57" t="n">
        <v>0</v>
      </c>
      <c r="P14" s="58" t="inlineStr">
        <is>
          <t>-</t>
        </is>
      </c>
      <c r="Q14" s="58" t="inlineStr">
        <is>
          <t>-</t>
        </is>
      </c>
      <c r="R14" s="58" t="inlineStr">
        <is>
          <t>-</t>
        </is>
      </c>
      <c r="S14" s="59">
        <f>Tabela11[[#This Row],[Capital total]]/2000</f>
        <v/>
      </c>
      <c r="T14" s="57" t="inlineStr">
        <is>
          <t>03/02/2025</t>
        </is>
      </c>
      <c r="U14" s="15" t="inlineStr">
        <is>
          <t>18:04:05</t>
        </is>
      </c>
      <c r="V14" s="60">
        <f>IFERROR(Tabela11[[#This Row],[Lucro]]*1/Tabela11[[#This Row],[Capital total]],"")</f>
        <v/>
      </c>
      <c r="W14" s="61">
        <f>Tabela11[[#This Row],[Lucro]]-C13</f>
        <v/>
      </c>
    </row>
    <row r="15">
      <c r="A15" s="56" t="n">
        <v>99.08556833668533</v>
      </c>
      <c r="B15" s="57" t="n">
        <v>70.43831532632203</v>
      </c>
      <c r="C15" s="57" t="n">
        <v>-28.64725301036329</v>
      </c>
      <c r="D15" s="57" t="n">
        <v>1.04</v>
      </c>
      <c r="E15" s="57" t="n">
        <v>1.04</v>
      </c>
      <c r="F15" s="57" t="n">
        <v>70.43831532632203</v>
      </c>
      <c r="G15" s="57" t="inlineStr">
        <is>
          <t>-</t>
        </is>
      </c>
      <c r="H15" s="57" t="n">
        <v>29.56556833668532</v>
      </c>
      <c r="I15" s="57" t="n">
        <v>1.519999999999996</v>
      </c>
      <c r="J15" s="57" t="n">
        <v>28.39274698963671</v>
      </c>
      <c r="K15" s="57" t="n">
        <v>26.97</v>
      </c>
      <c r="L15" s="57" t="n">
        <v>1.189999999999998</v>
      </c>
      <c r="M15" s="57" t="n">
        <v>2.159999999999997</v>
      </c>
      <c r="N15" s="57" t="n">
        <v>6.409999999999997</v>
      </c>
      <c r="O15" s="57" t="n">
        <v>0</v>
      </c>
      <c r="P15" s="58" t="inlineStr">
        <is>
          <t>-</t>
        </is>
      </c>
      <c r="Q15" s="58" t="inlineStr">
        <is>
          <t>-</t>
        </is>
      </c>
      <c r="R15" s="58" t="inlineStr">
        <is>
          <t>-</t>
        </is>
      </c>
      <c r="S15" s="59">
        <f>Tabela11[[#This Row],[Capital total]]/2000</f>
        <v/>
      </c>
      <c r="T15" s="57" t="inlineStr">
        <is>
          <t>04/02/2025</t>
        </is>
      </c>
      <c r="U15" s="15" t="inlineStr">
        <is>
          <t>18:49:41</t>
        </is>
      </c>
      <c r="V15" s="60">
        <f>IFERROR(Tabela11[[#This Row],[Lucro]]*1/Tabela11[[#This Row],[Capital total]],"")</f>
        <v/>
      </c>
      <c r="W15" s="61">
        <f>Tabela11[[#This Row],[Lucro]]-C14</f>
        <v/>
      </c>
    </row>
    <row r="16">
      <c r="A16" s="56" t="n">
        <v>108.0655683366853</v>
      </c>
      <c r="B16" s="57" t="n">
        <v>79.4659845928079</v>
      </c>
      <c r="C16" s="57" t="n">
        <v>-28.59958374387743</v>
      </c>
      <c r="D16" s="57" t="n">
        <v>1.04</v>
      </c>
      <c r="E16" s="57" t="n">
        <v>1.04</v>
      </c>
      <c r="F16" s="57" t="n">
        <v>79.4659845928079</v>
      </c>
      <c r="G16" s="57" t="n">
        <v>54.85096416666666</v>
      </c>
      <c r="H16" s="57" t="n">
        <v>29.56556833668532</v>
      </c>
      <c r="I16" s="57" t="n">
        <v>1.530000000000001</v>
      </c>
      <c r="J16" s="57" t="n">
        <v>28.38041625612257</v>
      </c>
      <c r="K16" s="57" t="n">
        <v>27</v>
      </c>
      <c r="L16" s="57" t="n">
        <v>1.189999999999998</v>
      </c>
      <c r="M16" s="57" t="n">
        <v>2.159999999999997</v>
      </c>
      <c r="N16" s="57" t="n">
        <v>6.409999999999997</v>
      </c>
      <c r="O16" s="57" t="n">
        <v>9</v>
      </c>
      <c r="P16" s="58" t="inlineStr">
        <is>
          <t>-</t>
        </is>
      </c>
      <c r="Q16" s="58" t="inlineStr">
        <is>
          <t>-</t>
        </is>
      </c>
      <c r="R16" s="58" t="inlineStr">
        <is>
          <t>-</t>
        </is>
      </c>
      <c r="S16" s="59">
        <f>Tabela11[[#This Row],[Capital total]]/2000</f>
        <v/>
      </c>
      <c r="T16" s="57" t="inlineStr">
        <is>
          <t>04/02/2025</t>
        </is>
      </c>
      <c r="U16" s="15" t="inlineStr">
        <is>
          <t>18:54:49</t>
        </is>
      </c>
      <c r="V16" s="60">
        <f>IFERROR(Tabela11[[#This Row],[Lucro]]*1/Tabela11[[#This Row],[Capital total]],"")</f>
        <v/>
      </c>
      <c r="W16" s="61">
        <f>Tabela11[[#This Row],[Lucro]]-C15</f>
        <v/>
      </c>
    </row>
    <row r="17">
      <c r="A17" s="56" t="n">
        <v>108.0655683366853</v>
      </c>
      <c r="B17" s="57" t="n">
        <v>79.53520082298203</v>
      </c>
      <c r="C17" s="57" t="n">
        <v>-28.53036751370329</v>
      </c>
      <c r="D17" s="57" t="n">
        <v>1.04</v>
      </c>
      <c r="E17" s="57" t="n">
        <v>1.04</v>
      </c>
      <c r="F17" s="57" t="n">
        <v>79.53520082298203</v>
      </c>
      <c r="G17" s="57" t="inlineStr">
        <is>
          <t>-</t>
        </is>
      </c>
      <c r="H17" s="57" t="n">
        <v>29.56556833668532</v>
      </c>
      <c r="I17" s="57" t="n">
        <v>1.480000000000004</v>
      </c>
      <c r="J17" s="57" t="n">
        <v>28.61963248629671</v>
      </c>
      <c r="K17" s="57" t="n">
        <v>26.91000000000001</v>
      </c>
      <c r="L17" s="57" t="n">
        <v>1.189999999999998</v>
      </c>
      <c r="M17" s="57" t="n">
        <v>2.159999999999997</v>
      </c>
      <c r="N17" s="57" t="n">
        <v>6.409999999999997</v>
      </c>
      <c r="O17" s="57" t="n">
        <v>8.969999999999999</v>
      </c>
      <c r="P17" s="58" t="inlineStr">
        <is>
          <t>-</t>
        </is>
      </c>
      <c r="Q17" s="58" t="inlineStr">
        <is>
          <t>-</t>
        </is>
      </c>
      <c r="R17" s="58" t="inlineStr">
        <is>
          <t>-</t>
        </is>
      </c>
      <c r="S17" s="59">
        <f>Tabela11[[#This Row],[Capital total]]/2000</f>
        <v/>
      </c>
      <c r="T17" s="57" t="inlineStr">
        <is>
          <t>05/02/2025</t>
        </is>
      </c>
      <c r="U17" s="15" t="inlineStr">
        <is>
          <t>20:32:20</t>
        </is>
      </c>
      <c r="V17" s="60">
        <f>IFERROR(Tabela11[[#This Row],[Lucro]]*1/Tabela11[[#This Row],[Capital total]],"")</f>
        <v/>
      </c>
      <c r="W17" s="61">
        <f>Tabela11[[#This Row],[Lucro]]-C16</f>
        <v/>
      </c>
    </row>
    <row r="18">
      <c r="A18" s="56" t="n">
        <v>108.0655683366853</v>
      </c>
      <c r="B18" s="57" t="n">
        <v>79.51210603374994</v>
      </c>
      <c r="C18" s="57" t="n">
        <v>-28.55346230293538</v>
      </c>
      <c r="D18" s="57" t="n">
        <v>1.04</v>
      </c>
      <c r="E18" s="57" t="n">
        <v>1.04</v>
      </c>
      <c r="F18" s="57" t="n">
        <v>79.51210603374994</v>
      </c>
      <c r="G18" s="57" t="n">
        <v>54.85096416666666</v>
      </c>
      <c r="H18" s="57" t="n">
        <v>29.56556833668532</v>
      </c>
      <c r="I18" s="57" t="n">
        <v>1.450000000000003</v>
      </c>
      <c r="J18" s="57" t="n">
        <v>28.62653769706461</v>
      </c>
      <c r="K18" s="57" t="n">
        <v>26.91</v>
      </c>
      <c r="L18" s="57" t="n">
        <v>1.189999999999998</v>
      </c>
      <c r="M18" s="57" t="n">
        <v>2.159999999999997</v>
      </c>
      <c r="N18" s="57" t="n">
        <v>6.409999999999997</v>
      </c>
      <c r="O18" s="57" t="n">
        <v>8.969999999999999</v>
      </c>
      <c r="P18" s="58" t="inlineStr">
        <is>
          <t>-</t>
        </is>
      </c>
      <c r="Q18" s="58" t="inlineStr">
        <is>
          <t>-</t>
        </is>
      </c>
      <c r="R18" s="58" t="inlineStr">
        <is>
          <t>-</t>
        </is>
      </c>
      <c r="S18" s="59">
        <f>Tabela11[[#This Row],[Capital total]]/2000</f>
        <v/>
      </c>
      <c r="T18" s="57" t="inlineStr">
        <is>
          <t>06/02/2025</t>
        </is>
      </c>
      <c r="U18" s="15" t="inlineStr">
        <is>
          <t>18:04:04</t>
        </is>
      </c>
      <c r="V18" s="60">
        <f>IFERROR(Tabela11[[#This Row],[Lucro]]*1/Tabela11[[#This Row],[Capital total]],"")</f>
        <v/>
      </c>
      <c r="W18" s="61">
        <f>Tabela11[[#This Row],[Lucro]]-C17</f>
        <v/>
      </c>
    </row>
    <row r="19">
      <c r="A19" s="56" t="n">
        <v>108.0655683366853</v>
      </c>
      <c r="B19" s="57" t="n">
        <v>79.51210603374994</v>
      </c>
      <c r="C19" s="57" t="n">
        <v>-28.55346230293538</v>
      </c>
      <c r="D19" s="57" t="n">
        <v>1.04</v>
      </c>
      <c r="E19" s="57" t="n">
        <v>1.04</v>
      </c>
      <c r="F19" s="57" t="n">
        <v>79.51210603374994</v>
      </c>
      <c r="G19" s="57" t="n">
        <v>54.85096416666666</v>
      </c>
      <c r="H19" s="57" t="n">
        <v>29.56556833668532</v>
      </c>
      <c r="I19" s="57" t="n">
        <v>1.450000000000003</v>
      </c>
      <c r="J19" s="57" t="n">
        <v>28.62653769706461</v>
      </c>
      <c r="K19" s="57" t="n">
        <v>26.91</v>
      </c>
      <c r="L19" s="57" t="n">
        <v>1.189999999999998</v>
      </c>
      <c r="M19" s="57" t="n">
        <v>2.159999999999997</v>
      </c>
      <c r="N19" s="57" t="n">
        <v>6.409999999999997</v>
      </c>
      <c r="O19" s="57" t="n">
        <v>8.969999999999999</v>
      </c>
      <c r="P19" s="58" t="inlineStr">
        <is>
          <t>-</t>
        </is>
      </c>
      <c r="Q19" s="58" t="inlineStr">
        <is>
          <t>-</t>
        </is>
      </c>
      <c r="R19" s="58" t="inlineStr">
        <is>
          <t>-</t>
        </is>
      </c>
      <c r="S19" s="59">
        <f>Tabela11[[#This Row],[Capital total]]/2000</f>
        <v/>
      </c>
      <c r="T19" s="57" t="inlineStr">
        <is>
          <t>07/02/2025</t>
        </is>
      </c>
      <c r="U19" s="15" t="inlineStr">
        <is>
          <t>18:01:22</t>
        </is>
      </c>
      <c r="V19" s="60">
        <f>IFERROR(Tabela11[[#This Row],[Lucro]]*1/Tabela11[[#This Row],[Capital total]],"")</f>
        <v/>
      </c>
      <c r="W19" s="61">
        <f>Tabela11[[#This Row],[Lucro]]-C18</f>
        <v/>
      </c>
    </row>
    <row r="20">
      <c r="A20" s="56" t="n">
        <v>108.0655683366853</v>
      </c>
      <c r="B20" s="57" t="n">
        <v>135.5414773912207</v>
      </c>
      <c r="C20" s="57" t="n">
        <v>27.47590905453536</v>
      </c>
      <c r="D20" s="57" t="n">
        <v>1.04</v>
      </c>
      <c r="E20" s="57" t="n">
        <v>1.04</v>
      </c>
      <c r="F20" s="57" t="n">
        <v>135.5414773912207</v>
      </c>
      <c r="G20" s="57" t="n">
        <v>0</v>
      </c>
      <c r="H20" s="57" t="n">
        <v>29.56556833668532</v>
      </c>
      <c r="I20" s="57" t="n">
        <v>1.469999999999999</v>
      </c>
      <c r="J20" s="57" t="n">
        <v>28.63590905453535</v>
      </c>
      <c r="K20" s="57" t="n">
        <v>26.97</v>
      </c>
      <c r="L20" s="57" t="n">
        <v>1.189999999999998</v>
      </c>
      <c r="M20" s="57" t="n">
        <v>2.159999999999997</v>
      </c>
      <c r="N20" s="57" t="n">
        <v>6.409999999999997</v>
      </c>
      <c r="O20" s="57" t="n">
        <v>8.990000000000009</v>
      </c>
      <c r="P20" s="58" t="inlineStr">
        <is>
          <t>-</t>
        </is>
      </c>
      <c r="Q20" s="58" t="inlineStr">
        <is>
          <t>-</t>
        </is>
      </c>
      <c r="R20" s="58" t="inlineStr">
        <is>
          <t>-</t>
        </is>
      </c>
      <c r="S20" s="59">
        <f>Tabela11[[#This Row],[Capital total]]/2000</f>
        <v/>
      </c>
      <c r="T20" s="57" t="inlineStr">
        <is>
          <t>08/02/2025</t>
        </is>
      </c>
      <c r="U20" s="15" t="inlineStr">
        <is>
          <t>20:05:54</t>
        </is>
      </c>
      <c r="V20" s="60">
        <f>IFERROR(Tabela11[[#This Row],[Lucro]]*1/Tabela11[[#This Row],[Capital total]],"")</f>
        <v/>
      </c>
      <c r="W20" s="61">
        <f>Tabela11[[#This Row],[Lucro]]-C19</f>
        <v/>
      </c>
    </row>
    <row r="21">
      <c r="A21" s="56" t="n">
        <v>108.0655683366853</v>
      </c>
      <c r="B21" s="57" t="n">
        <v>51.12147739122069</v>
      </c>
      <c r="C21" s="57" t="n">
        <v>-56.94409094546464</v>
      </c>
      <c r="D21" s="57" t="n">
        <v>2.18</v>
      </c>
      <c r="E21" s="57" t="n">
        <v>1.14</v>
      </c>
      <c r="F21" s="57" t="n">
        <v>51.12147739122069</v>
      </c>
      <c r="G21" s="57" t="n">
        <v>56.19473002</v>
      </c>
      <c r="H21" s="57" t="n">
        <v>29.56556833668532</v>
      </c>
      <c r="I21" s="57" t="n">
        <v>1.469999999999999</v>
      </c>
      <c r="J21" s="57" t="n">
        <v>28.63590905453535</v>
      </c>
      <c r="K21" s="57" t="n">
        <v>26.97</v>
      </c>
      <c r="L21" s="57" t="n">
        <v>1.189999999999998</v>
      </c>
      <c r="M21" s="57" t="n">
        <v>2.159999999999997</v>
      </c>
      <c r="N21" s="57" t="n">
        <v>6.409999999999997</v>
      </c>
      <c r="O21" s="57" t="n">
        <v>8.990000000000002</v>
      </c>
      <c r="P21" s="58" t="inlineStr">
        <is>
          <t>-</t>
        </is>
      </c>
      <c r="Q21" s="58" t="inlineStr">
        <is>
          <t>-</t>
        </is>
      </c>
      <c r="R21" s="58" t="inlineStr">
        <is>
          <t>-</t>
        </is>
      </c>
      <c r="S21" s="59">
        <f>Tabela11[[#This Row],[Capital total]]/2000</f>
        <v/>
      </c>
      <c r="T21" s="57" t="inlineStr">
        <is>
          <t>09/02/2025</t>
        </is>
      </c>
      <c r="U21" s="15" t="inlineStr">
        <is>
          <t>13:07:22</t>
        </is>
      </c>
      <c r="V21" s="60">
        <f>IFERROR(Tabela11[[#This Row],[Lucro]]*1/Tabela11[[#This Row],[Capital total]],"")</f>
        <v/>
      </c>
      <c r="W21" s="61">
        <f>Tabela11[[#This Row],[Lucro]]-C20</f>
        <v/>
      </c>
    </row>
    <row r="22">
      <c r="A22" s="56" t="n">
        <v>112.6843825637491</v>
      </c>
      <c r="B22" s="57" t="n">
        <v>55.75410203982025</v>
      </c>
      <c r="C22" s="57" t="n">
        <v>-56.93028052392881</v>
      </c>
      <c r="D22" s="57" t="n">
        <v>2.18</v>
      </c>
      <c r="E22" s="57" t="n">
        <v>1.14</v>
      </c>
      <c r="F22" s="57" t="n">
        <v>55.75410203982025</v>
      </c>
      <c r="G22" s="57" t="inlineStr">
        <is>
          <t>-</t>
        </is>
      </c>
      <c r="H22" s="57" t="n">
        <v>34.18438256374905</v>
      </c>
      <c r="I22" s="57" t="n">
        <v>1.469999999999999</v>
      </c>
      <c r="J22" s="57" t="n">
        <v>28.64971947607118</v>
      </c>
      <c r="K22" s="57" t="n">
        <v>26.97000000000001</v>
      </c>
      <c r="L22" s="57" t="n">
        <v>1.189999999999998</v>
      </c>
      <c r="M22" s="57" t="n">
        <v>2.160000000000004</v>
      </c>
      <c r="N22" s="57" t="n">
        <v>6.410000000000004</v>
      </c>
      <c r="O22" s="57" t="n">
        <v>8.990000000000002</v>
      </c>
      <c r="P22" s="58" t="inlineStr">
        <is>
          <t>-</t>
        </is>
      </c>
      <c r="Q22" s="58" t="inlineStr">
        <is>
          <t>-</t>
        </is>
      </c>
      <c r="R22" s="58" t="inlineStr">
        <is>
          <t>-</t>
        </is>
      </c>
      <c r="S22" s="59">
        <f>Tabela11[[#This Row],[Capital total]]/2000</f>
        <v/>
      </c>
      <c r="T22" s="57" t="inlineStr">
        <is>
          <t>09/02/2025</t>
        </is>
      </c>
      <c r="U22" s="15" t="inlineStr">
        <is>
          <t>20:14:40</t>
        </is>
      </c>
      <c r="V22" s="60">
        <f>IFERROR(Tabela11[[#This Row],[Lucro]]*1/Tabela11[[#This Row],[Capital total]],"")</f>
        <v/>
      </c>
      <c r="W22" s="61">
        <f>Tabela11[[#This Row],[Lucro]]-C21</f>
        <v/>
      </c>
    </row>
    <row r="23">
      <c r="A23" s="56" t="n">
        <v>112.6843825637491</v>
      </c>
      <c r="B23" s="57" t="n">
        <v>55.75410203982025</v>
      </c>
      <c r="C23" s="57" t="n">
        <v>-56.93028052392881</v>
      </c>
      <c r="D23" s="57" t="n">
        <v>2.18</v>
      </c>
      <c r="E23" s="57" t="n">
        <v>1.14</v>
      </c>
      <c r="F23" s="57" t="n">
        <v>55.75410203982025</v>
      </c>
      <c r="G23" s="57" t="inlineStr">
        <is>
          <t>-</t>
        </is>
      </c>
      <c r="H23" s="57" t="n">
        <v>34.18438256374905</v>
      </c>
      <c r="I23" s="57" t="n">
        <v>1.469999999999999</v>
      </c>
      <c r="J23" s="57" t="n">
        <v>28.64971947607118</v>
      </c>
      <c r="K23" s="57" t="n">
        <v>26.97000000000001</v>
      </c>
      <c r="L23" s="57" t="n">
        <v>1.189999999999998</v>
      </c>
      <c r="M23" s="57" t="n">
        <v>2.160000000000004</v>
      </c>
      <c r="N23" s="57" t="n">
        <v>6.410000000000004</v>
      </c>
      <c r="O23" s="57" t="n">
        <v>8.990000000000002</v>
      </c>
      <c r="P23" s="58" t="inlineStr">
        <is>
          <t>-</t>
        </is>
      </c>
      <c r="Q23" s="58" t="inlineStr">
        <is>
          <t>-</t>
        </is>
      </c>
      <c r="R23" s="58" t="inlineStr">
        <is>
          <t>-</t>
        </is>
      </c>
      <c r="S23" s="59">
        <f>Tabela11[[#This Row],[Capital total]]/2000</f>
        <v/>
      </c>
      <c r="T23" s="57" t="inlineStr">
        <is>
          <t>10/02/2025</t>
        </is>
      </c>
      <c r="U23" s="15" t="inlineStr">
        <is>
          <t>18:01:43</t>
        </is>
      </c>
      <c r="V23" s="60">
        <f>IFERROR(Tabela11[[#This Row],[Lucro]]*1/Tabela11[[#This Row],[Capital total]],"")</f>
        <v/>
      </c>
      <c r="W23" s="61">
        <f>Tabela11[[#This Row],[Lucro]]-C22</f>
        <v/>
      </c>
    </row>
    <row r="24">
      <c r="A24" s="56" t="n">
        <v>112.6843825637491</v>
      </c>
      <c r="B24" s="57" t="n">
        <v>55.62953741962042</v>
      </c>
      <c r="C24" s="57" t="n">
        <v>-57.05484514412863</v>
      </c>
      <c r="D24" s="57" t="n">
        <v>2.18</v>
      </c>
      <c r="E24" s="57" t="n">
        <v>1.14</v>
      </c>
      <c r="F24" s="57" t="n">
        <v>55.62953741962042</v>
      </c>
      <c r="G24" s="57" t="inlineStr">
        <is>
          <t>-</t>
        </is>
      </c>
      <c r="H24" s="57" t="n">
        <v>34.18438256374904</v>
      </c>
      <c r="I24" s="57" t="n">
        <v>1.450000000000003</v>
      </c>
      <c r="J24" s="57" t="n">
        <v>28.54515485587135</v>
      </c>
      <c r="K24" s="57" t="n">
        <v>26.97</v>
      </c>
      <c r="L24" s="57" t="n">
        <v>1.189999999999998</v>
      </c>
      <c r="M24" s="57" t="n">
        <v>2.159999999999997</v>
      </c>
      <c r="N24" s="57" t="n">
        <v>6.409999999999997</v>
      </c>
      <c r="O24" s="57" t="n">
        <v>8.989999999999995</v>
      </c>
      <c r="P24" s="58" t="inlineStr">
        <is>
          <t>-</t>
        </is>
      </c>
      <c r="Q24" s="58" t="inlineStr">
        <is>
          <t>-</t>
        </is>
      </c>
      <c r="R24" s="58" t="inlineStr">
        <is>
          <t>-</t>
        </is>
      </c>
      <c r="S24" s="59">
        <f>Tabela11[[#This Row],[Capital total]]/2000</f>
        <v/>
      </c>
      <c r="T24" s="57" t="inlineStr">
        <is>
          <t>11/02/2025</t>
        </is>
      </c>
      <c r="U24" s="15" t="inlineStr">
        <is>
          <t>18:00:01</t>
        </is>
      </c>
      <c r="V24" s="60">
        <f>IFERROR(Tabela11[[#This Row],[Lucro]]*1/Tabela11[[#This Row],[Capital total]],"")</f>
        <v/>
      </c>
      <c r="W24" s="61">
        <f>Tabela11[[#This Row],[Lucro]]-C23</f>
        <v/>
      </c>
    </row>
    <row r="25">
      <c r="A25" s="56" t="n">
        <v>112.6843825637491</v>
      </c>
      <c r="B25" s="57" t="n">
        <v>55.38102696469607</v>
      </c>
      <c r="C25" s="57" t="n">
        <v>-57.30335559905298</v>
      </c>
      <c r="D25" s="57" t="n">
        <v>2.18</v>
      </c>
      <c r="E25" s="57" t="n">
        <v>1.14</v>
      </c>
      <c r="F25" s="57" t="n">
        <v>55.38102696469607</v>
      </c>
      <c r="G25" s="57" t="n">
        <v>56.19473002</v>
      </c>
      <c r="H25" s="57" t="n">
        <v>34.18438256374905</v>
      </c>
      <c r="I25" s="57" t="n">
        <v>1.43</v>
      </c>
      <c r="J25" s="57" t="n">
        <v>28.436644400947</v>
      </c>
      <c r="K25" s="57" t="n">
        <v>26.88</v>
      </c>
      <c r="L25" s="57" t="n">
        <v>1.189999999999998</v>
      </c>
      <c r="M25" s="57" t="n">
        <v>2.160000000000004</v>
      </c>
      <c r="N25" s="57" t="n">
        <v>6.410000000000004</v>
      </c>
      <c r="O25" s="57" t="n">
        <v>8.960000000000001</v>
      </c>
      <c r="P25" s="58" t="inlineStr">
        <is>
          <t>-</t>
        </is>
      </c>
      <c r="Q25" s="58" t="inlineStr">
        <is>
          <t>-</t>
        </is>
      </c>
      <c r="R25" s="58" t="inlineStr">
        <is>
          <t>-</t>
        </is>
      </c>
      <c r="S25" s="59">
        <f>Tabela11[[#This Row],[Capital total]]/2000</f>
        <v/>
      </c>
      <c r="T25" s="57" t="inlineStr">
        <is>
          <t>12/02/2025</t>
        </is>
      </c>
      <c r="U25" s="15" t="inlineStr">
        <is>
          <t>18:03:50</t>
        </is>
      </c>
      <c r="V25" s="60">
        <f>IFERROR(Tabela11[[#This Row],[Lucro]]*1/Tabela11[[#This Row],[Capital total]],"")</f>
        <v/>
      </c>
      <c r="W25" s="61">
        <f>Tabela11[[#This Row],[Lucro]]-C24</f>
        <v/>
      </c>
    </row>
    <row r="26">
      <c r="A26" s="56" t="n">
        <v>112.6843825637491</v>
      </c>
      <c r="B26" s="57" t="n">
        <v>55.38102696469607</v>
      </c>
      <c r="C26" s="57" t="n">
        <v>-57.30335559905298</v>
      </c>
      <c r="D26" s="57" t="n">
        <v>2.18</v>
      </c>
      <c r="E26" s="57" t="n">
        <v>1.14</v>
      </c>
      <c r="F26" s="57" t="n">
        <v>55.38102696469607</v>
      </c>
      <c r="G26" s="57" t="inlineStr">
        <is>
          <t>-</t>
        </is>
      </c>
      <c r="H26" s="57" t="n">
        <v>34.18438256374905</v>
      </c>
      <c r="I26" s="57" t="n">
        <v>1.43</v>
      </c>
      <c r="J26" s="57" t="n">
        <v>28.436644400947</v>
      </c>
      <c r="K26" s="57" t="n">
        <v>26.88</v>
      </c>
      <c r="L26" s="57" t="n">
        <v>1.189999999999998</v>
      </c>
      <c r="M26" s="57" t="n">
        <v>2.160000000000004</v>
      </c>
      <c r="N26" s="57" t="n">
        <v>6.410000000000004</v>
      </c>
      <c r="O26" s="57" t="n">
        <v>8.960000000000001</v>
      </c>
      <c r="P26" s="58" t="inlineStr">
        <is>
          <t>-</t>
        </is>
      </c>
      <c r="Q26" s="58" t="inlineStr">
        <is>
          <t>-</t>
        </is>
      </c>
      <c r="R26" s="58" t="inlineStr">
        <is>
          <t>-</t>
        </is>
      </c>
      <c r="S26" s="59">
        <f>Tabela11[[#This Row],[Capital total]]/2000</f>
        <v/>
      </c>
      <c r="T26" s="57" t="inlineStr">
        <is>
          <t>13/02/2025</t>
        </is>
      </c>
      <c r="U26" s="15" t="inlineStr">
        <is>
          <t>18:01:30</t>
        </is>
      </c>
      <c r="V26" s="60">
        <f>IFERROR(Tabela11[[#This Row],[Lucro]]*1/Tabela11[[#This Row],[Capital total]],"")</f>
        <v/>
      </c>
      <c r="W26" s="61">
        <f>Tabela11[[#This Row],[Lucro]]-C25</f>
        <v/>
      </c>
    </row>
    <row r="27">
      <c r="A27" s="56" t="n">
        <v>112.6843825637491</v>
      </c>
      <c r="B27" s="57" t="n">
        <v>55.22842540480455</v>
      </c>
      <c r="C27" s="57" t="n">
        <v>-57.45595715894451</v>
      </c>
      <c r="D27" s="57" t="n">
        <v>2.18</v>
      </c>
      <c r="E27" s="57" t="n">
        <v>1.14</v>
      </c>
      <c r="F27" s="57" t="n">
        <v>55.22842540480455</v>
      </c>
      <c r="G27" s="57" t="inlineStr">
        <is>
          <t>-</t>
        </is>
      </c>
      <c r="H27" s="57" t="n">
        <v>34.18438256374903</v>
      </c>
      <c r="I27" s="57" t="n">
        <v>1.43</v>
      </c>
      <c r="J27" s="57" t="n">
        <v>28.44404284105548</v>
      </c>
      <c r="K27" s="57" t="n">
        <v>26.76</v>
      </c>
      <c r="L27" s="57" t="n">
        <v>1.189999999999998</v>
      </c>
      <c r="M27" s="57" t="n">
        <v>2.160000000000004</v>
      </c>
      <c r="N27" s="57" t="n">
        <v>6.410000000000004</v>
      </c>
      <c r="O27" s="57" t="n">
        <v>8.919999999999995</v>
      </c>
      <c r="P27" s="58" t="inlineStr">
        <is>
          <t>-</t>
        </is>
      </c>
      <c r="Q27" s="58" t="inlineStr">
        <is>
          <t>-</t>
        </is>
      </c>
      <c r="R27" s="58" t="inlineStr">
        <is>
          <t>-</t>
        </is>
      </c>
      <c r="S27" s="59">
        <f>Tabela11[[#This Row],[Capital total]]/2000</f>
        <v/>
      </c>
      <c r="T27" s="57" t="inlineStr">
        <is>
          <t>14/02/2025</t>
        </is>
      </c>
      <c r="U27" s="15" t="inlineStr">
        <is>
          <t>18:01:35</t>
        </is>
      </c>
      <c r="V27" s="60">
        <f>IFERROR(Tabela11[[#This Row],[Lucro]]*1/Tabela11[[#This Row],[Capital total]],"")</f>
        <v/>
      </c>
      <c r="W27" s="61">
        <f>Tabela11[[#This Row],[Lucro]]-C26</f>
        <v/>
      </c>
    </row>
    <row r="28">
      <c r="A28" s="56" t="n">
        <v>112.6843825637491</v>
      </c>
      <c r="B28" s="57" t="n">
        <v>55.24917060827016</v>
      </c>
      <c r="C28" s="57" t="n">
        <v>-57.4352119554789</v>
      </c>
      <c r="D28" s="57" t="n">
        <v>2.18</v>
      </c>
      <c r="E28" s="57" t="n">
        <v>1.14</v>
      </c>
      <c r="F28" s="57" t="n">
        <v>55.24917060827016</v>
      </c>
      <c r="G28" s="57" t="inlineStr">
        <is>
          <t>-</t>
        </is>
      </c>
      <c r="H28" s="57" t="n">
        <v>34.18438256374905</v>
      </c>
      <c r="I28" s="57" t="n">
        <v>1.439999999999998</v>
      </c>
      <c r="J28" s="57" t="n">
        <v>28.13478804452109</v>
      </c>
      <c r="K28" s="57" t="n">
        <v>27.00000000000001</v>
      </c>
      <c r="L28" s="57" t="n">
        <v>1.189999999999998</v>
      </c>
      <c r="M28" s="57" t="n">
        <v>2.160000000000004</v>
      </c>
      <c r="N28" s="57" t="n">
        <v>6.410000000000004</v>
      </c>
      <c r="O28" s="57" t="n">
        <v>9.000000000000007</v>
      </c>
      <c r="P28" s="58" t="inlineStr">
        <is>
          <t>-</t>
        </is>
      </c>
      <c r="Q28" s="58" t="inlineStr">
        <is>
          <t>-</t>
        </is>
      </c>
      <c r="R28" s="58" t="inlineStr">
        <is>
          <t>-</t>
        </is>
      </c>
      <c r="S28" s="59">
        <f>Tabela11[[#This Row],[Capital total]]/2000</f>
        <v/>
      </c>
      <c r="T28" s="57" t="inlineStr">
        <is>
          <t>15/02/2025</t>
        </is>
      </c>
      <c r="U28" s="15" t="inlineStr">
        <is>
          <t>22:28:00</t>
        </is>
      </c>
      <c r="V28" s="60">
        <f>IFERROR(Tabela11[[#This Row],[Lucro]]*1/Tabela11[[#This Row],[Capital total]],"")</f>
        <v/>
      </c>
      <c r="W28" s="61">
        <f>Tabela11[[#This Row],[Lucro]]-C27</f>
        <v/>
      </c>
    </row>
    <row r="29">
      <c r="A29" s="56" t="n">
        <v>112.6843825637491</v>
      </c>
      <c r="B29" s="57" t="n">
        <v>55.24917060827016</v>
      </c>
      <c r="C29" s="57" t="n">
        <v>-57.4352119554789</v>
      </c>
      <c r="D29" s="57" t="n">
        <v>2.18</v>
      </c>
      <c r="E29" s="57" t="n">
        <v>1.14</v>
      </c>
      <c r="F29" s="57" t="n">
        <v>55.24917060827016</v>
      </c>
      <c r="G29" s="57" t="inlineStr">
        <is>
          <t>-</t>
        </is>
      </c>
      <c r="H29" s="57" t="n">
        <v>34.18438256374905</v>
      </c>
      <c r="I29" s="57" t="n">
        <v>1.439999999999998</v>
      </c>
      <c r="J29" s="57" t="n">
        <v>28.13478804452109</v>
      </c>
      <c r="K29" s="57" t="n">
        <v>27.00000000000001</v>
      </c>
      <c r="L29" s="57" t="n">
        <v>1.189999999999998</v>
      </c>
      <c r="M29" s="57" t="n">
        <v>2.160000000000004</v>
      </c>
      <c r="N29" s="57" t="n">
        <v>6.410000000000004</v>
      </c>
      <c r="O29" s="57" t="n">
        <v>9.000000000000007</v>
      </c>
      <c r="P29" s="58" t="inlineStr">
        <is>
          <t>-</t>
        </is>
      </c>
      <c r="Q29" s="58" t="inlineStr">
        <is>
          <t>-</t>
        </is>
      </c>
      <c r="R29" s="58" t="inlineStr">
        <is>
          <t>-</t>
        </is>
      </c>
      <c r="S29" s="59">
        <f>Tabela11[[#This Row],[Capital total]]/2000</f>
        <v/>
      </c>
      <c r="T29" s="57" t="inlineStr">
        <is>
          <t>16/02/2025</t>
        </is>
      </c>
      <c r="U29" s="15" t="inlineStr">
        <is>
          <t>18:16:40</t>
        </is>
      </c>
      <c r="V29" s="60">
        <f>IFERROR(Tabela11[[#This Row],[Lucro]]*1/Tabela11[[#This Row],[Capital total]],"")</f>
        <v/>
      </c>
      <c r="W29" s="61">
        <f>Tabela11[[#This Row],[Lucro]]-C28</f>
        <v/>
      </c>
    </row>
    <row r="30">
      <c r="A30" s="56" t="n">
        <v>112.6843825637491</v>
      </c>
      <c r="B30" s="57" t="n">
        <v>55.24917060827016</v>
      </c>
      <c r="C30" s="57" t="n">
        <v>-57.4352119554789</v>
      </c>
      <c r="D30" s="57" t="n">
        <v>2.18</v>
      </c>
      <c r="E30" s="57" t="n">
        <v>1.14</v>
      </c>
      <c r="F30" s="57" t="n">
        <v>55.24917060827016</v>
      </c>
      <c r="G30" s="57" t="inlineStr">
        <is>
          <t>-</t>
        </is>
      </c>
      <c r="H30" s="57" t="n">
        <v>34.18438256374905</v>
      </c>
      <c r="I30" s="57" t="n">
        <v>1.439999999999998</v>
      </c>
      <c r="J30" s="57" t="n">
        <v>28.13478804452109</v>
      </c>
      <c r="K30" s="57" t="n">
        <v>27.00000000000001</v>
      </c>
      <c r="L30" s="57" t="n">
        <v>1.189999999999998</v>
      </c>
      <c r="M30" s="57" t="n">
        <v>2.160000000000004</v>
      </c>
      <c r="N30" s="57" t="n">
        <v>6.410000000000004</v>
      </c>
      <c r="O30" s="57" t="n">
        <v>9.000000000000007</v>
      </c>
      <c r="P30" s="58" t="inlineStr">
        <is>
          <t>-</t>
        </is>
      </c>
      <c r="Q30" s="58" t="inlineStr">
        <is>
          <t>-</t>
        </is>
      </c>
      <c r="R30" s="58" t="inlineStr">
        <is>
          <t>-</t>
        </is>
      </c>
      <c r="S30" s="59">
        <f>Tabela11[[#This Row],[Capital total]]/2000</f>
        <v/>
      </c>
      <c r="T30" s="57" t="inlineStr">
        <is>
          <t>16/02/2025</t>
        </is>
      </c>
      <c r="U30" s="15" t="inlineStr">
        <is>
          <t>18:18:11</t>
        </is>
      </c>
      <c r="V30" s="60">
        <f>IFERROR(Tabela11[[#This Row],[Lucro]]*1/Tabela11[[#This Row],[Capital total]],"")</f>
        <v/>
      </c>
      <c r="W30" s="61">
        <f>Tabela11[[#This Row],[Lucro]]-C29</f>
        <v/>
      </c>
    </row>
    <row r="31">
      <c r="A31" s="56" t="n">
        <v>112.6843825637491</v>
      </c>
      <c r="B31" s="57" t="n">
        <v>55.24917060827016</v>
      </c>
      <c r="C31" s="57" t="n">
        <v>-57.4352119554789</v>
      </c>
      <c r="D31" s="57" t="n">
        <v>2.18</v>
      </c>
      <c r="E31" s="57" t="n">
        <v>1.14</v>
      </c>
      <c r="F31" s="57" t="n">
        <v>55.24917060827016</v>
      </c>
      <c r="G31" s="57" t="inlineStr">
        <is>
          <t>-</t>
        </is>
      </c>
      <c r="H31" s="57" t="n">
        <v>34.18438256374905</v>
      </c>
      <c r="I31" s="57" t="n">
        <v>1.439999999999998</v>
      </c>
      <c r="J31" s="57" t="n">
        <v>28.13478804452109</v>
      </c>
      <c r="K31" s="57" t="n">
        <v>27.00000000000001</v>
      </c>
      <c r="L31" s="57" t="n">
        <v>1.189999999999998</v>
      </c>
      <c r="M31" s="57" t="n">
        <v>2.160000000000004</v>
      </c>
      <c r="N31" s="57" t="n">
        <v>6.410000000000004</v>
      </c>
      <c r="O31" s="57" t="n">
        <v>9.000000000000007</v>
      </c>
      <c r="P31" s="58" t="inlineStr">
        <is>
          <t>-</t>
        </is>
      </c>
      <c r="Q31" s="58" t="inlineStr">
        <is>
          <t>-</t>
        </is>
      </c>
      <c r="R31" s="58" t="inlineStr">
        <is>
          <t>-</t>
        </is>
      </c>
      <c r="S31" s="59">
        <f>Tabela11[[#This Row],[Capital total]]/2000</f>
        <v/>
      </c>
      <c r="T31" s="57" t="inlineStr">
        <is>
          <t>17/02/2025</t>
        </is>
      </c>
      <c r="U31" s="15" t="inlineStr">
        <is>
          <t>18:01:56</t>
        </is>
      </c>
      <c r="V31" s="60">
        <f>IFERROR(Tabela11[[#This Row],[Lucro]]*1/Tabela11[[#This Row],[Capital total]],"")</f>
        <v/>
      </c>
      <c r="W31" s="61">
        <f>Tabela11[[#This Row],[Lucro]]-C30</f>
        <v/>
      </c>
    </row>
    <row r="32">
      <c r="A32" s="56" t="n">
        <v>112.6843825637491</v>
      </c>
      <c r="B32" s="57" t="n">
        <v>55.24917060827016</v>
      </c>
      <c r="C32" s="57" t="n">
        <v>-57.4352119554789</v>
      </c>
      <c r="D32" s="57" t="n">
        <v>2.18</v>
      </c>
      <c r="E32" s="57" t="n">
        <v>1.14</v>
      </c>
      <c r="F32" s="57" t="n">
        <v>55.24917060827016</v>
      </c>
      <c r="G32" s="57" t="inlineStr">
        <is>
          <t>-</t>
        </is>
      </c>
      <c r="H32" s="57" t="n">
        <v>34.18438256374905</v>
      </c>
      <c r="I32" s="57" t="n">
        <v>1.439999999999998</v>
      </c>
      <c r="J32" s="57" t="n">
        <v>28.13478804452109</v>
      </c>
      <c r="K32" s="57" t="n">
        <v>27.00000000000001</v>
      </c>
      <c r="L32" s="57" t="n">
        <v>1.189999999999998</v>
      </c>
      <c r="M32" s="57" t="n">
        <v>2.160000000000004</v>
      </c>
      <c r="N32" s="57" t="n">
        <v>6.410000000000004</v>
      </c>
      <c r="O32" s="57" t="n">
        <v>9.000000000000007</v>
      </c>
      <c r="P32" s="58" t="inlineStr">
        <is>
          <t>-</t>
        </is>
      </c>
      <c r="Q32" s="58" t="inlineStr">
        <is>
          <t>-</t>
        </is>
      </c>
      <c r="R32" s="58" t="inlineStr">
        <is>
          <t>-</t>
        </is>
      </c>
      <c r="S32" s="59">
        <f>Tabela11[[#This Row],[Capital total]]/2000</f>
        <v/>
      </c>
      <c r="T32" s="57" t="inlineStr">
        <is>
          <t>17/02/2025</t>
        </is>
      </c>
      <c r="U32" s="15" t="inlineStr">
        <is>
          <t>20:00:43</t>
        </is>
      </c>
      <c r="V32" s="60">
        <f>IFERROR(Tabela11[[#This Row],[Lucro]]*1/Tabela11[[#This Row],[Capital total]],"")</f>
        <v/>
      </c>
      <c r="W32" s="61">
        <f>Tabela11[[#This Row],[Lucro]]-C31</f>
        <v/>
      </c>
    </row>
    <row r="33">
      <c r="A33" s="56" t="n">
        <v>112.6843825637491</v>
      </c>
      <c r="B33" s="57" t="n">
        <v>55.24917060827016</v>
      </c>
      <c r="C33" s="57" t="n">
        <v>-57.4352119554789</v>
      </c>
      <c r="D33" s="57" t="n">
        <v>2.18</v>
      </c>
      <c r="E33" s="57" t="n">
        <v>1.14</v>
      </c>
      <c r="F33" s="57" t="n">
        <v>55.24917060827016</v>
      </c>
      <c r="G33" s="57" t="inlineStr">
        <is>
          <t>-</t>
        </is>
      </c>
      <c r="H33" s="57" t="n">
        <v>34.18438256374905</v>
      </c>
      <c r="I33" s="57" t="n">
        <v>1.439999999999998</v>
      </c>
      <c r="J33" s="57" t="n">
        <v>28.13478804452109</v>
      </c>
      <c r="K33" s="57" t="n">
        <v>27.00000000000001</v>
      </c>
      <c r="L33" s="57" t="n">
        <v>1.189999999999998</v>
      </c>
      <c r="M33" s="57" t="n">
        <v>2.160000000000004</v>
      </c>
      <c r="N33" s="57" t="n">
        <v>6.410000000000004</v>
      </c>
      <c r="O33" s="57" t="n">
        <v>9.000000000000007</v>
      </c>
      <c r="P33" s="58" t="inlineStr">
        <is>
          <t>-</t>
        </is>
      </c>
      <c r="Q33" s="58" t="inlineStr">
        <is>
          <t>-</t>
        </is>
      </c>
      <c r="R33" s="58" t="inlineStr">
        <is>
          <t>-</t>
        </is>
      </c>
      <c r="S33" s="59">
        <f>Tabela11[[#This Row],[Capital total]]/2000</f>
        <v/>
      </c>
      <c r="T33" s="57" t="inlineStr">
        <is>
          <t>17/02/2025</t>
        </is>
      </c>
      <c r="U33" s="15" t="inlineStr">
        <is>
          <t>20:22:19</t>
        </is>
      </c>
      <c r="V33" s="60">
        <f>IFERROR(Tabela11[[#This Row],[Lucro]]*1/Tabela11[[#This Row],[Capital total]],"")</f>
        <v/>
      </c>
      <c r="W33" s="61">
        <f>Tabela11[[#This Row],[Lucro]]-C32</f>
        <v/>
      </c>
    </row>
    <row r="34">
      <c r="A34" s="56" t="n">
        <v>112.6843825637491</v>
      </c>
      <c r="B34" s="57" t="n">
        <v>55.24917060827016</v>
      </c>
      <c r="C34" s="57" t="n">
        <v>-57.4352119554789</v>
      </c>
      <c r="D34" s="57" t="n">
        <v>2.18</v>
      </c>
      <c r="E34" s="57" t="n">
        <v>1.14</v>
      </c>
      <c r="F34" s="57" t="n">
        <v>55.24917060827016</v>
      </c>
      <c r="G34" s="57" t="inlineStr">
        <is>
          <t>-</t>
        </is>
      </c>
      <c r="H34" s="57" t="n">
        <v>34.18438256374905</v>
      </c>
      <c r="I34" s="57" t="n">
        <v>1.439999999999998</v>
      </c>
      <c r="J34" s="57" t="n">
        <v>28.13478804452109</v>
      </c>
      <c r="K34" s="57" t="n">
        <v>27.00000000000001</v>
      </c>
      <c r="L34" s="57" t="n">
        <v>1.189999999999998</v>
      </c>
      <c r="M34" s="57" t="n">
        <v>2.160000000000004</v>
      </c>
      <c r="N34" s="57" t="n">
        <v>6.410000000000004</v>
      </c>
      <c r="O34" s="57" t="n">
        <v>9.000000000000007</v>
      </c>
      <c r="P34" s="58" t="inlineStr">
        <is>
          <t>-</t>
        </is>
      </c>
      <c r="Q34" s="58" t="inlineStr">
        <is>
          <t>-</t>
        </is>
      </c>
      <c r="R34" s="58" t="inlineStr">
        <is>
          <t>-</t>
        </is>
      </c>
      <c r="S34" s="59">
        <f>Tabela11[[#This Row],[Capital total]]/2000</f>
        <v/>
      </c>
      <c r="T34" s="57" t="inlineStr">
        <is>
          <t>17/02/2025</t>
        </is>
      </c>
      <c r="U34" s="15" t="inlineStr">
        <is>
          <t>20:24:40</t>
        </is>
      </c>
      <c r="V34" s="60">
        <f>IFERROR(Tabela11[[#This Row],[Lucro]]*1/Tabela11[[#This Row],[Capital total]],"")</f>
        <v/>
      </c>
      <c r="W34" s="61">
        <f>Tabela11[[#This Row],[Lucro]]-C33</f>
        <v/>
      </c>
    </row>
    <row r="35">
      <c r="A35" s="56" t="n">
        <v>103.704382563749</v>
      </c>
      <c r="B35" s="57" t="n">
        <v>46.46257479023989</v>
      </c>
      <c r="C35" s="57" t="n">
        <v>-57.24180777350916</v>
      </c>
      <c r="D35" s="57" t="n">
        <v>2.18</v>
      </c>
      <c r="E35" s="57" t="n">
        <v>1.14</v>
      </c>
      <c r="F35" s="57" t="n">
        <v>46.46257479023989</v>
      </c>
      <c r="G35" s="57" t="inlineStr">
        <is>
          <t>-</t>
        </is>
      </c>
      <c r="H35" s="57" t="n">
        <v>34.18438256374905</v>
      </c>
      <c r="I35" s="57" t="n">
        <v>1.439999999999998</v>
      </c>
      <c r="J35" s="57" t="n">
        <v>28.17819222649083</v>
      </c>
      <c r="K35" s="57" t="n">
        <v>27.09</v>
      </c>
      <c r="L35" s="57" t="n">
        <v>1.189999999999998</v>
      </c>
      <c r="M35" s="57" t="n">
        <v>2.160000000000004</v>
      </c>
      <c r="N35" s="57" t="n">
        <v>6.410000000000004</v>
      </c>
      <c r="O35" s="57" t="n">
        <v>0</v>
      </c>
      <c r="P35" s="58" t="inlineStr">
        <is>
          <t>-</t>
        </is>
      </c>
      <c r="Q35" s="58" t="inlineStr">
        <is>
          <t>-</t>
        </is>
      </c>
      <c r="R35" s="58" t="inlineStr">
        <is>
          <t>-</t>
        </is>
      </c>
      <c r="S35" s="59">
        <f>Tabela11[[#This Row],[Capital total]]/2000</f>
        <v/>
      </c>
      <c r="T35" s="57" t="inlineStr">
        <is>
          <t>17/02/2025</t>
        </is>
      </c>
      <c r="U35" s="15" t="inlineStr">
        <is>
          <t>20:25:30</t>
        </is>
      </c>
      <c r="V35" s="60">
        <f>IFERROR(Tabela11[[#This Row],[Lucro]]*1/Tabela11[[#This Row],[Capital total]],"")</f>
        <v/>
      </c>
      <c r="W35" s="61">
        <f>Tabela11[[#This Row],[Lucro]]-C34</f>
        <v/>
      </c>
    </row>
    <row r="36">
      <c r="A36" s="56" t="n">
        <v>103.704382563749</v>
      </c>
      <c r="B36" s="57" t="n">
        <v>46.73257479023989</v>
      </c>
      <c r="C36" s="57" t="n">
        <v>-56.97180777350916</v>
      </c>
      <c r="D36" s="57" t="n">
        <v>2.18</v>
      </c>
      <c r="E36" s="57" t="n">
        <v>1.14</v>
      </c>
      <c r="F36" s="57" t="n">
        <v>46.73257479023989</v>
      </c>
      <c r="G36" s="57" t="inlineStr">
        <is>
          <t>-</t>
        </is>
      </c>
      <c r="H36" s="57" t="n">
        <v>34.18438256374904</v>
      </c>
      <c r="I36" s="57" t="n">
        <v>1.439999999999998</v>
      </c>
      <c r="J36" s="57" t="n">
        <v>28.17819222649084</v>
      </c>
      <c r="K36" s="57" t="n">
        <v>27.08999999999999</v>
      </c>
      <c r="L36" s="57" t="n">
        <v>1.189999999999998</v>
      </c>
      <c r="M36" s="57" t="n">
        <v>2.159999999999997</v>
      </c>
      <c r="N36" s="57" t="n">
        <v>6.409999999999997</v>
      </c>
      <c r="O36" s="57" t="n">
        <v>0</v>
      </c>
      <c r="P36" s="58" t="inlineStr">
        <is>
          <t>-</t>
        </is>
      </c>
      <c r="Q36" s="58" t="inlineStr">
        <is>
          <t>-</t>
        </is>
      </c>
      <c r="R36" s="58" t="inlineStr">
        <is>
          <t>-</t>
        </is>
      </c>
      <c r="S36" s="59">
        <f>Tabela11[[#This Row],[Capital total]]/2000</f>
        <v/>
      </c>
      <c r="T36" s="57" t="inlineStr">
        <is>
          <t>18/02/2025</t>
        </is>
      </c>
      <c r="U36" s="15" t="inlineStr">
        <is>
          <t>18:44:39</t>
        </is>
      </c>
      <c r="V36" s="60">
        <f>IFERROR(Tabela11[[#This Row],[Lucro]]*1/Tabela11[[#This Row],[Capital total]],"")</f>
        <v/>
      </c>
      <c r="W36" s="61">
        <f>Tabela11[[#This Row],[Lucro]]-C35</f>
        <v/>
      </c>
    </row>
    <row r="37">
      <c r="A37" s="56" t="n">
        <v>103.704382563749</v>
      </c>
      <c r="B37" s="57" t="n">
        <v>34.62518620718537</v>
      </c>
      <c r="C37" s="57" t="n">
        <v>-69.07919635656368</v>
      </c>
      <c r="D37" s="57" t="n">
        <v>2.18</v>
      </c>
      <c r="E37" s="57" t="n">
        <v>1.14</v>
      </c>
      <c r="F37" s="57" t="n">
        <v>34.62518620718537</v>
      </c>
      <c r="G37" s="57" t="inlineStr">
        <is>
          <t>-</t>
        </is>
      </c>
      <c r="H37" s="57" t="n">
        <v>34.18438256374905</v>
      </c>
      <c r="I37" s="57" t="n">
        <v>1.420000000000002</v>
      </c>
      <c r="J37" s="57" t="n">
        <v>28.06080364343631</v>
      </c>
      <c r="K37" s="57" t="n">
        <v>27.12</v>
      </c>
      <c r="L37" s="57" t="n">
        <v>1.189999999999998</v>
      </c>
      <c r="M37" s="57" t="n">
        <v>2.159999999999997</v>
      </c>
      <c r="N37" s="57" t="n">
        <v>6.409999999999997</v>
      </c>
      <c r="O37" s="57" t="n">
        <v>0</v>
      </c>
      <c r="P37" s="58" t="inlineStr">
        <is>
          <t>-</t>
        </is>
      </c>
      <c r="Q37" s="58" t="inlineStr">
        <is>
          <t>-</t>
        </is>
      </c>
      <c r="R37" s="58" t="inlineStr">
        <is>
          <t>-</t>
        </is>
      </c>
      <c r="S37" s="59">
        <f>Tabela11[[#This Row],[Capital total]]/2000</f>
        <v/>
      </c>
      <c r="T37" s="57" t="inlineStr">
        <is>
          <t>18/02/2025</t>
        </is>
      </c>
      <c r="U37" s="15" t="inlineStr">
        <is>
          <t>20:18:59</t>
        </is>
      </c>
      <c r="V37" s="60">
        <f>IFERROR(Tabela11[[#This Row],[Lucro]]*1/Tabela11[[#This Row],[Capital total]],"")</f>
        <v/>
      </c>
      <c r="W37" s="61">
        <f>Tabela11[[#This Row],[Lucro]]-C36</f>
        <v/>
      </c>
    </row>
    <row r="38">
      <c r="A38" s="56" t="n">
        <v>103.704382563749</v>
      </c>
      <c r="B38" s="57" t="n">
        <v>46.60518620718537</v>
      </c>
      <c r="C38" s="57" t="n">
        <v>-57.09919635656368</v>
      </c>
      <c r="D38" s="57" t="n">
        <v>2.18</v>
      </c>
      <c r="E38" s="57" t="n">
        <v>1.14</v>
      </c>
      <c r="F38" s="57" t="n">
        <v>46.60518620718537</v>
      </c>
      <c r="G38" s="57" t="inlineStr">
        <is>
          <t>-</t>
        </is>
      </c>
      <c r="H38" s="57" t="n">
        <v>34.18438256374904</v>
      </c>
      <c r="I38" s="57" t="n">
        <v>1.420000000000002</v>
      </c>
      <c r="J38" s="57" t="n">
        <v>28.06080364343632</v>
      </c>
      <c r="K38" s="57" t="n">
        <v>27.12</v>
      </c>
      <c r="L38" s="57" t="n">
        <v>1.189999999999998</v>
      </c>
      <c r="M38" s="57" t="n">
        <v>2.160000000000004</v>
      </c>
      <c r="N38" s="57" t="n">
        <v>6.409999999999997</v>
      </c>
      <c r="O38" s="57" t="n">
        <v>0</v>
      </c>
      <c r="P38" s="58" t="inlineStr">
        <is>
          <t>-</t>
        </is>
      </c>
      <c r="Q38" s="58" t="inlineStr">
        <is>
          <t>-</t>
        </is>
      </c>
      <c r="R38" s="58" t="inlineStr">
        <is>
          <t>-</t>
        </is>
      </c>
      <c r="S38" s="59">
        <f>Tabela11[[#This Row],[Capital total]]/2000</f>
        <v/>
      </c>
      <c r="T38" s="57" t="inlineStr">
        <is>
          <t>18/02/2025</t>
        </is>
      </c>
      <c r="U38" s="15" t="inlineStr">
        <is>
          <t>20:29:58</t>
        </is>
      </c>
      <c r="V38" s="60">
        <f>IFERROR(Tabela11[[#This Row],[Lucro]]*1/Tabela11[[#This Row],[Capital total]],"")</f>
        <v/>
      </c>
      <c r="W38" s="61">
        <f>Tabela11[[#This Row],[Lucro]]-C37</f>
        <v/>
      </c>
    </row>
    <row r="39">
      <c r="A39" s="56" t="n">
        <v>103.704382563749</v>
      </c>
      <c r="B39" s="57" t="n">
        <v>46.60518620718537</v>
      </c>
      <c r="C39" s="57" t="n">
        <v>-57.09919635656368</v>
      </c>
      <c r="D39" s="57" t="n">
        <v>2.18</v>
      </c>
      <c r="E39" s="57" t="n">
        <v>1.14</v>
      </c>
      <c r="F39" s="57" t="n">
        <v>46.60518620718537</v>
      </c>
      <c r="G39" s="57" t="inlineStr">
        <is>
          <t>-</t>
        </is>
      </c>
      <c r="H39" s="57" t="n">
        <v>34.18438256374904</v>
      </c>
      <c r="I39" s="57" t="n">
        <v>1.420000000000002</v>
      </c>
      <c r="J39" s="57" t="n">
        <v>28.06080364343632</v>
      </c>
      <c r="K39" s="57" t="n">
        <v>27.12</v>
      </c>
      <c r="L39" s="57" t="n">
        <v>1.189999999999998</v>
      </c>
      <c r="M39" s="57" t="n">
        <v>2.160000000000004</v>
      </c>
      <c r="N39" s="57" t="n">
        <v>6.409999999999997</v>
      </c>
      <c r="O39" s="57" t="n">
        <v>0</v>
      </c>
      <c r="P39" s="58" t="inlineStr">
        <is>
          <t>-</t>
        </is>
      </c>
      <c r="Q39" s="58" t="inlineStr">
        <is>
          <t>-</t>
        </is>
      </c>
      <c r="R39" s="58" t="inlineStr">
        <is>
          <t>-</t>
        </is>
      </c>
      <c r="S39" s="59">
        <f>Tabela11[[#This Row],[Capital total]]/2000</f>
        <v/>
      </c>
      <c r="T39" s="57" t="inlineStr">
        <is>
          <t>19/02/2025</t>
        </is>
      </c>
      <c r="U39" s="15" t="inlineStr">
        <is>
          <t>19:29:29</t>
        </is>
      </c>
      <c r="V39" s="60">
        <f>IFERROR(Tabela11[[#This Row],[Lucro]]*1/Tabela11[[#This Row],[Capital total]],"")</f>
        <v/>
      </c>
      <c r="W39" s="61">
        <f>Tabela11[[#This Row],[Lucro]]-C38</f>
        <v/>
      </c>
    </row>
    <row r="40">
      <c r="A40" s="56" t="n">
        <v>103.704382563749</v>
      </c>
      <c r="B40" s="57" t="n">
        <v>46.92400605484737</v>
      </c>
      <c r="C40" s="57" t="n">
        <v>-56.78037650890168</v>
      </c>
      <c r="D40" s="57" t="n">
        <v>2.18</v>
      </c>
      <c r="E40" s="57" t="n">
        <v>1.14</v>
      </c>
      <c r="F40" s="57" t="n">
        <v>46.92400605484737</v>
      </c>
      <c r="G40" s="57" t="inlineStr">
        <is>
          <t>-</t>
        </is>
      </c>
      <c r="H40" s="57" t="n">
        <v>34.18438256374904</v>
      </c>
      <c r="I40" s="57" t="n">
        <v>1.399999999999999</v>
      </c>
      <c r="J40" s="57" t="n">
        <v>28.21962349109832</v>
      </c>
      <c r="K40" s="57" t="n">
        <v>27.3</v>
      </c>
      <c r="L40" s="57" t="n">
        <v>1.189999999999998</v>
      </c>
      <c r="M40" s="57" t="n">
        <v>2.159999999999997</v>
      </c>
      <c r="N40" s="57" t="n">
        <v>6.409999999999997</v>
      </c>
      <c r="O40" s="57" t="n">
        <v>0</v>
      </c>
      <c r="P40" s="58" t="inlineStr">
        <is>
          <t>-</t>
        </is>
      </c>
      <c r="Q40" s="58" t="inlineStr">
        <is>
          <t>-</t>
        </is>
      </c>
      <c r="R40" s="58" t="inlineStr">
        <is>
          <t>-</t>
        </is>
      </c>
      <c r="S40" s="59">
        <f>Tabela11[[#This Row],[Capital total]]/2000</f>
        <v/>
      </c>
      <c r="T40" s="57" t="inlineStr">
        <is>
          <t>19/02/2025</t>
        </is>
      </c>
      <c r="U40" s="15" t="inlineStr">
        <is>
          <t>19:35:30</t>
        </is>
      </c>
      <c r="V40" s="60">
        <f>IFERROR(Tabela11[[#This Row],[Lucro]]*1/Tabela11[[#This Row],[Capital total]],"")</f>
        <v/>
      </c>
      <c r="W40" s="61">
        <f>Tabela11[[#This Row],[Lucro]]-C39</f>
        <v/>
      </c>
    </row>
    <row r="41">
      <c r="A41" s="56" t="n">
        <v>115.724382563749</v>
      </c>
      <c r="B41" s="57" t="n">
        <v>59.09400605484737</v>
      </c>
      <c r="C41" s="57" t="n">
        <v>-56.63037650890168</v>
      </c>
      <c r="D41" s="57" t="n">
        <v>2.18</v>
      </c>
      <c r="E41" s="57" t="n">
        <v>1.14</v>
      </c>
      <c r="F41" s="57" t="n">
        <v>59.09400605484737</v>
      </c>
      <c r="G41" s="57" t="inlineStr">
        <is>
          <t>-</t>
        </is>
      </c>
      <c r="H41" s="57" t="n">
        <v>34.18438256374904</v>
      </c>
      <c r="I41" s="57" t="n">
        <v>12.77</v>
      </c>
      <c r="J41" s="57" t="n">
        <v>28.2196234910983</v>
      </c>
      <c r="K41" s="57" t="n">
        <v>27.3</v>
      </c>
      <c r="L41" s="57" t="n">
        <v>1.960000000000001</v>
      </c>
      <c r="M41" s="57" t="n">
        <v>2.159999999999997</v>
      </c>
      <c r="N41" s="57" t="n">
        <v>6.409999999999997</v>
      </c>
      <c r="O41" s="57" t="n">
        <v>0</v>
      </c>
      <c r="P41" s="58" t="inlineStr">
        <is>
          <t>-</t>
        </is>
      </c>
      <c r="Q41" s="58" t="inlineStr">
        <is>
          <t>-</t>
        </is>
      </c>
      <c r="R41" s="58" t="inlineStr">
        <is>
          <t>-</t>
        </is>
      </c>
      <c r="S41" s="59">
        <f>Tabela11[[#This Row],[Capital total]]/2000</f>
        <v/>
      </c>
      <c r="T41" s="57" t="inlineStr">
        <is>
          <t>20/02/2025</t>
        </is>
      </c>
      <c r="U41" s="15" t="inlineStr">
        <is>
          <t>18:00:35</t>
        </is>
      </c>
      <c r="V41" s="60">
        <f>IFERROR(Tabela11[[#This Row],[Lucro]]*1/Tabela11[[#This Row],[Capital total]],"")</f>
        <v/>
      </c>
      <c r="W41" s="61">
        <f>Tabela11[[#This Row],[Lucro]]-C40</f>
        <v/>
      </c>
    </row>
    <row r="42">
      <c r="A42" s="56" t="n">
        <v>143.9208000622061</v>
      </c>
      <c r="B42" s="57" t="n">
        <v>142.4495407128984</v>
      </c>
      <c r="C42" s="57" t="n">
        <v>-1.471259349307762</v>
      </c>
      <c r="D42" s="57" t="n">
        <v>2.18</v>
      </c>
      <c r="E42" s="57" t="n">
        <v>1.14</v>
      </c>
      <c r="F42" s="57" t="n">
        <v>142.4495407128984</v>
      </c>
      <c r="G42" s="57" t="inlineStr">
        <is>
          <t>-</t>
        </is>
      </c>
      <c r="H42" s="57" t="n">
        <v>41.15080006220612</v>
      </c>
      <c r="I42" s="57" t="n">
        <v>12.72</v>
      </c>
      <c r="J42" s="57" t="n">
        <v>38.01874065069225</v>
      </c>
      <c r="K42" s="57" t="n">
        <v>27.56999999999999</v>
      </c>
      <c r="L42" s="57" t="n">
        <v>1.960000000000008</v>
      </c>
      <c r="M42" s="57" t="n">
        <v>2.159999999999997</v>
      </c>
      <c r="N42" s="57" t="n">
        <v>6.409999999999997</v>
      </c>
      <c r="O42" s="57" t="n">
        <v>11.28999999999999</v>
      </c>
      <c r="P42" s="58" t="inlineStr">
        <is>
          <t>-</t>
        </is>
      </c>
      <c r="Q42" s="58" t="inlineStr">
        <is>
          <t>-</t>
        </is>
      </c>
      <c r="R42" s="58" t="inlineStr">
        <is>
          <t>-</t>
        </is>
      </c>
      <c r="S42" s="59">
        <f>Tabela11[[#This Row],[Capital total]]/2000</f>
        <v/>
      </c>
      <c r="T42" s="57" t="inlineStr">
        <is>
          <t>22/02/2025</t>
        </is>
      </c>
      <c r="U42" s="15" t="inlineStr">
        <is>
          <t>10:16:39</t>
        </is>
      </c>
      <c r="V42" s="60">
        <f>IFERROR(Tabela11[[#This Row],[Lucro]]*1/Tabela11[[#This Row],[Capital total]],"")</f>
        <v/>
      </c>
      <c r="W42" s="61">
        <f>Tabela11[[#This Row],[Lucro]]-C41</f>
        <v/>
      </c>
      <c r="AS42" s="63" t="n"/>
    </row>
    <row r="43">
      <c r="A43" s="56" t="n">
        <v>143.9208000622061</v>
      </c>
      <c r="B43" s="57" t="n">
        <v>142.2782286704219</v>
      </c>
      <c r="C43" s="57" t="n">
        <v>-1.642571391784242</v>
      </c>
      <c r="D43" s="57" t="n">
        <v>2.18</v>
      </c>
      <c r="E43" s="57" t="n">
        <v>1.14</v>
      </c>
      <c r="F43" s="57" t="n">
        <v>142.2782286704219</v>
      </c>
      <c r="G43" s="57" t="inlineStr">
        <is>
          <t>-</t>
        </is>
      </c>
      <c r="H43" s="57" t="n">
        <v>41.15080006220612</v>
      </c>
      <c r="I43" s="57" t="n">
        <v>12.63</v>
      </c>
      <c r="J43" s="57" t="n">
        <v>38.21742860821578</v>
      </c>
      <c r="K43" s="57" t="n">
        <v>27.35999999999999</v>
      </c>
      <c r="L43" s="57" t="n">
        <v>1.960000000000008</v>
      </c>
      <c r="M43" s="57" t="n">
        <v>2.159999999999997</v>
      </c>
      <c r="N43" s="57" t="n">
        <v>6.409999999999997</v>
      </c>
      <c r="O43" s="57" t="n">
        <v>11.22</v>
      </c>
      <c r="P43" s="58" t="inlineStr">
        <is>
          <t>-</t>
        </is>
      </c>
      <c r="Q43" s="58" t="inlineStr">
        <is>
          <t>-</t>
        </is>
      </c>
      <c r="R43" s="58" t="inlineStr">
        <is>
          <t>-</t>
        </is>
      </c>
      <c r="S43" s="59">
        <f>Tabela11[[#This Row],[Capital total]]/2000</f>
        <v/>
      </c>
      <c r="T43" s="57" t="inlineStr">
        <is>
          <t>23/02/2025</t>
        </is>
      </c>
      <c r="U43" s="15" t="inlineStr">
        <is>
          <t>10:40:37</t>
        </is>
      </c>
      <c r="V43" s="60">
        <f>IFERROR(Tabela11[[#This Row],[Lucro]]*1/Tabela11[[#This Row],[Capital total]],"")</f>
        <v/>
      </c>
      <c r="W43" s="61">
        <f>Tabela11[[#This Row],[Lucro]]-C42</f>
        <v/>
      </c>
    </row>
    <row r="44">
      <c r="A44" s="56" t="n">
        <v>143.9208000622061</v>
      </c>
      <c r="B44" s="57" t="n">
        <v>142.2782286704219</v>
      </c>
      <c r="C44" s="57" t="n">
        <v>-1.642571391784242</v>
      </c>
      <c r="D44" s="57" t="n">
        <v>2.18</v>
      </c>
      <c r="E44" s="57" t="n">
        <v>1.14</v>
      </c>
      <c r="F44" s="57" t="n">
        <v>142.2782286704219</v>
      </c>
      <c r="G44" s="57" t="inlineStr">
        <is>
          <t>-</t>
        </is>
      </c>
      <c r="H44" s="57" t="n">
        <v>41.15080006220612</v>
      </c>
      <c r="I44" s="57" t="n">
        <v>12.63</v>
      </c>
      <c r="J44" s="57" t="n">
        <v>38.21742860821578</v>
      </c>
      <c r="K44" s="57" t="n">
        <v>27.35999999999999</v>
      </c>
      <c r="L44" s="57" t="n">
        <v>1.960000000000008</v>
      </c>
      <c r="M44" s="57" t="n">
        <v>2.159999999999997</v>
      </c>
      <c r="N44" s="57" t="n">
        <v>6.409999999999997</v>
      </c>
      <c r="O44" s="57" t="n">
        <v>11.22</v>
      </c>
      <c r="P44" s="58" t="inlineStr">
        <is>
          <t>-</t>
        </is>
      </c>
      <c r="Q44" s="58" t="inlineStr">
        <is>
          <t>-</t>
        </is>
      </c>
      <c r="R44" s="58" t="inlineStr">
        <is>
          <t>-</t>
        </is>
      </c>
      <c r="S44" s="59">
        <f>Tabela11[[#This Row],[Capital total]]/2000</f>
        <v/>
      </c>
      <c r="T44" s="57" t="inlineStr">
        <is>
          <t>24/02/2025</t>
        </is>
      </c>
      <c r="U44" s="15" t="inlineStr">
        <is>
          <t>19:24:15</t>
        </is>
      </c>
      <c r="V44" s="60">
        <f>IFERROR(Tabela11[[#This Row],[Lucro]]*1/Tabela11[[#This Row],[Capital total]],"")</f>
        <v/>
      </c>
      <c r="W44" s="61">
        <f>Tabela11[[#This Row],[Lucro]]-C43</f>
        <v/>
      </c>
    </row>
    <row r="45">
      <c r="A45" s="56" t="n">
        <v>143.9208000622061</v>
      </c>
      <c r="B45" s="57" t="n">
        <v>141.6982618927321</v>
      </c>
      <c r="C45" s="57" t="n">
        <v>-2.222538169474046</v>
      </c>
      <c r="D45" s="57" t="n">
        <v>2.18</v>
      </c>
      <c r="E45" s="57" t="n">
        <v>1.14</v>
      </c>
      <c r="F45" s="57" t="n">
        <v>141.6982618927321</v>
      </c>
      <c r="G45" s="57" t="inlineStr">
        <is>
          <t>-</t>
        </is>
      </c>
      <c r="H45" s="57" t="n">
        <v>41.15080006220609</v>
      </c>
      <c r="I45" s="57" t="n">
        <v>12.24000000000001</v>
      </c>
      <c r="J45" s="57" t="n">
        <v>38.52746183052597</v>
      </c>
      <c r="K45" s="57" t="n">
        <v>27.24000000000001</v>
      </c>
      <c r="L45" s="57" t="n">
        <v>1.960000000000008</v>
      </c>
      <c r="M45" s="57" t="n">
        <v>2.159999999999997</v>
      </c>
      <c r="N45" s="57" t="n">
        <v>6.409999999999997</v>
      </c>
      <c r="O45" s="57" t="n">
        <v>10.84</v>
      </c>
      <c r="P45" s="58" t="inlineStr">
        <is>
          <t>-</t>
        </is>
      </c>
      <c r="Q45" s="58" t="inlineStr">
        <is>
          <t>-</t>
        </is>
      </c>
      <c r="R45" s="58" t="inlineStr">
        <is>
          <t>-</t>
        </is>
      </c>
      <c r="S45" s="59">
        <f>Tabela11[[#This Row],[Capital total]]/2000</f>
        <v/>
      </c>
      <c r="T45" s="57" t="inlineStr">
        <is>
          <t>24/02/2025</t>
        </is>
      </c>
      <c r="U45" s="15" t="inlineStr">
        <is>
          <t>20:25:35</t>
        </is>
      </c>
      <c r="V45" s="60">
        <f>IFERROR(Tabela11[[#This Row],[Lucro]]*1/Tabela11[[#This Row],[Capital total]],"")</f>
        <v/>
      </c>
      <c r="W45" s="61">
        <f>Tabela11[[#This Row],[Lucro]]-C44</f>
        <v/>
      </c>
    </row>
    <row r="46">
      <c r="A46" s="56" t="n">
        <v>143.9608000622061</v>
      </c>
      <c r="B46" s="57" t="n">
        <v>141.7089007669715</v>
      </c>
      <c r="C46" s="57" t="n">
        <v>-2.251899295234615</v>
      </c>
      <c r="D46" s="57" t="n">
        <v>2.18</v>
      </c>
      <c r="E46" s="57" t="n">
        <v>1.14</v>
      </c>
      <c r="F46" s="57" t="n">
        <v>141.7089007669715</v>
      </c>
      <c r="G46" s="57" t="inlineStr">
        <is>
          <t>-</t>
        </is>
      </c>
      <c r="H46" s="57" t="n">
        <v>41.15080006220612</v>
      </c>
      <c r="I46" s="57" t="n">
        <v>12.21000000000001</v>
      </c>
      <c r="J46" s="57" t="n">
        <v>38.2681007047654</v>
      </c>
      <c r="K46" s="57" t="n">
        <v>27.53999999999999</v>
      </c>
      <c r="L46" s="57" t="n">
        <v>1.969999999999999</v>
      </c>
      <c r="M46" s="57" t="n">
        <v>2.180000000000007</v>
      </c>
      <c r="N46" s="57" t="n">
        <v>6.419999999999987</v>
      </c>
      <c r="O46" s="57" t="n">
        <v>10.80000000000001</v>
      </c>
      <c r="P46" s="58" t="inlineStr">
        <is>
          <t>-</t>
        </is>
      </c>
      <c r="Q46" s="58" t="inlineStr">
        <is>
          <t>-</t>
        </is>
      </c>
      <c r="R46" s="58" t="inlineStr">
        <is>
          <t>-</t>
        </is>
      </c>
      <c r="S46" s="59">
        <f>Tabela11[[#This Row],[Capital total]]/2000</f>
        <v/>
      </c>
      <c r="T46" s="57" t="inlineStr">
        <is>
          <t>25/02/2025</t>
        </is>
      </c>
      <c r="U46" s="15" t="inlineStr">
        <is>
          <t>18:58:59</t>
        </is>
      </c>
      <c r="V46" s="60">
        <f>IFERROR(Tabela11[[#This Row],[Lucro]]*1/Tabela11[[#This Row],[Capital total]],"")</f>
        <v/>
      </c>
      <c r="W46" s="61">
        <f>Tabela11[[#This Row],[Lucro]]-C45</f>
        <v/>
      </c>
    </row>
    <row r="47">
      <c r="A47" s="56" t="n">
        <v>143.9608000622061</v>
      </c>
      <c r="B47" s="57" t="n">
        <v>141.6449464208558</v>
      </c>
      <c r="C47" s="57" t="n">
        <v>-2.315853641350282</v>
      </c>
      <c r="D47" s="57" t="n">
        <v>2.18</v>
      </c>
      <c r="E47" s="57" t="n">
        <v>1.14</v>
      </c>
      <c r="F47" s="57" t="n">
        <v>141.6449464208558</v>
      </c>
      <c r="G47" s="57" t="inlineStr">
        <is>
          <t>-</t>
        </is>
      </c>
      <c r="H47" s="57" t="n">
        <v>41.15080006220612</v>
      </c>
      <c r="I47" s="57" t="n">
        <v>12.03</v>
      </c>
      <c r="J47" s="57" t="n">
        <v>38.69414635864973</v>
      </c>
      <c r="K47" s="57" t="n">
        <v>27.38999999999999</v>
      </c>
      <c r="L47" s="57" t="n">
        <v>1.969999999999999</v>
      </c>
      <c r="M47" s="57" t="n">
        <v>2.180000000000007</v>
      </c>
      <c r="N47" s="57" t="n">
        <v>6.419999999999987</v>
      </c>
      <c r="O47" s="57" t="n">
        <v>10.63999999999999</v>
      </c>
      <c r="P47" s="58" t="inlineStr">
        <is>
          <t>-</t>
        </is>
      </c>
      <c r="Q47" s="58" t="inlineStr">
        <is>
          <t>-</t>
        </is>
      </c>
      <c r="R47" s="58" t="inlineStr">
        <is>
          <t>-</t>
        </is>
      </c>
      <c r="S47" s="59">
        <f>Tabela11[[#This Row],[Capital total]]/2000</f>
        <v/>
      </c>
      <c r="T47" s="57" t="inlineStr">
        <is>
          <t>26/02/2025</t>
        </is>
      </c>
      <c r="U47" s="15" t="inlineStr">
        <is>
          <t>20:08:28</t>
        </is>
      </c>
      <c r="V47" s="60">
        <f>IFERROR(Tabela11[[#This Row],[Lucro]]*1/Tabela11[[#This Row],[Capital total]],"")</f>
        <v/>
      </c>
      <c r="W47" s="61">
        <f>Tabela11[[#This Row],[Lucro]]-C46</f>
        <v/>
      </c>
    </row>
    <row r="48">
      <c r="A48" s="56" t="n">
        <v>143.9608000622061</v>
      </c>
      <c r="B48" s="57" t="n">
        <v>141.6096714587643</v>
      </c>
      <c r="C48" s="57" t="n">
        <v>-2.351128603441835</v>
      </c>
      <c r="D48" s="57" t="n">
        <v>2.18</v>
      </c>
      <c r="E48" s="57" t="n">
        <v>1.14</v>
      </c>
      <c r="F48" s="57" t="n">
        <v>141.6096714587643</v>
      </c>
      <c r="G48" s="57" t="inlineStr">
        <is>
          <t>-</t>
        </is>
      </c>
      <c r="H48" s="57" t="n">
        <v>41.15080006220612</v>
      </c>
      <c r="I48" s="57" t="n">
        <v>11.84</v>
      </c>
      <c r="J48" s="57" t="n">
        <v>39.23887139655818</v>
      </c>
      <c r="K48" s="57" t="n">
        <v>27.24000000000001</v>
      </c>
      <c r="L48" s="57" t="n">
        <v>1.969999999999999</v>
      </c>
      <c r="M48" s="57" t="n">
        <v>2.180000000000007</v>
      </c>
      <c r="N48" s="57" t="n">
        <v>6.419999999999987</v>
      </c>
      <c r="O48" s="57" t="n">
        <v>10.40000000000001</v>
      </c>
      <c r="P48" s="58" t="inlineStr">
        <is>
          <t>-</t>
        </is>
      </c>
      <c r="Q48" s="58" t="inlineStr">
        <is>
          <t>-</t>
        </is>
      </c>
      <c r="R48" s="58" t="inlineStr">
        <is>
          <t>-</t>
        </is>
      </c>
      <c r="S48" s="59">
        <f>Tabela11[[#This Row],[Capital total]]/2000</f>
        <v/>
      </c>
      <c r="T48" s="57" t="inlineStr">
        <is>
          <t>28/02/2025</t>
        </is>
      </c>
      <c r="U48" s="15" t="inlineStr">
        <is>
          <t>19:22:38</t>
        </is>
      </c>
      <c r="V48" s="60">
        <f>IFERROR(Tabela11[[#This Row],[Lucro]]*1/Tabela11[[#This Row],[Capital total]],"")</f>
        <v/>
      </c>
      <c r="W48" s="61">
        <f>Tabela11[[#This Row],[Lucro]]-C47</f>
        <v/>
      </c>
    </row>
    <row r="49">
      <c r="A49" s="56" t="n">
        <v>144.1208000622061</v>
      </c>
      <c r="B49" s="57" t="n">
        <v>140.4196714587643</v>
      </c>
      <c r="C49" s="57" t="n">
        <v>-3.701128603441844</v>
      </c>
      <c r="D49" s="57" t="n">
        <v>2.18</v>
      </c>
      <c r="E49" s="57" t="n">
        <v>1.14</v>
      </c>
      <c r="F49" s="57" t="n">
        <v>140.4196714587643</v>
      </c>
      <c r="G49" s="57" t="n">
        <v>1.527624983333333</v>
      </c>
      <c r="H49" s="57" t="n">
        <v>41.30080006220609</v>
      </c>
      <c r="I49" s="57" t="n">
        <v>11.84</v>
      </c>
      <c r="J49" s="57" t="n">
        <v>39.23887139655818</v>
      </c>
      <c r="K49" s="57" t="n">
        <v>27.24000000000001</v>
      </c>
      <c r="L49" s="57" t="n">
        <v>1.969999999999999</v>
      </c>
      <c r="M49" s="57" t="n">
        <v>2.180000000000007</v>
      </c>
      <c r="N49" s="57" t="n">
        <v>6.430000000000007</v>
      </c>
      <c r="O49" s="57" t="n">
        <v>10.40000000000001</v>
      </c>
      <c r="P49" s="58" t="inlineStr">
        <is>
          <t>-</t>
        </is>
      </c>
      <c r="Q49" s="58" t="inlineStr">
        <is>
          <t>-</t>
        </is>
      </c>
      <c r="R49" s="58" t="inlineStr">
        <is>
          <t>-</t>
        </is>
      </c>
      <c r="S49" s="59">
        <f>Tabela11[[#This Row],[Capital total]]/2000</f>
        <v/>
      </c>
      <c r="T49" s="57" t="inlineStr">
        <is>
          <t>01/03/2025</t>
        </is>
      </c>
      <c r="U49" s="15" t="inlineStr">
        <is>
          <t>19:22:21</t>
        </is>
      </c>
      <c r="V49" s="60">
        <f>IFERROR(Tabela11[[#This Row],[Lucro]]*1/Tabela11[[#This Row],[Capital total]],"")</f>
        <v/>
      </c>
      <c r="W49" s="61">
        <f>Tabela11[[#This Row],[Lucro]]-C48</f>
        <v/>
      </c>
    </row>
    <row r="50">
      <c r="A50" s="56" t="n">
        <v>144.1208000622061</v>
      </c>
      <c r="B50" s="57" t="n">
        <v>49.95627668201853</v>
      </c>
      <c r="C50" s="57" t="n">
        <v>-94.16452338018759</v>
      </c>
      <c r="D50" s="57" t="n">
        <v>2.18</v>
      </c>
      <c r="E50" s="57" t="n">
        <v>1.14</v>
      </c>
      <c r="F50" s="57" t="n">
        <v>49.95627668201853</v>
      </c>
      <c r="G50" s="57" t="n">
        <v>89.69926831666668</v>
      </c>
      <c r="H50" s="57" t="n">
        <v>41.30080006220611</v>
      </c>
      <c r="I50" s="57" t="n">
        <v>11.73</v>
      </c>
      <c r="J50" s="57" t="n">
        <v>38.66547661981244</v>
      </c>
      <c r="K50" s="57" t="n">
        <v>27</v>
      </c>
      <c r="L50" s="57" t="n">
        <v>1.969999999999999</v>
      </c>
      <c r="M50" s="57" t="n">
        <v>2.18</v>
      </c>
      <c r="N50" s="57" t="n">
        <v>6.43</v>
      </c>
      <c r="O50" s="57" t="n">
        <v>10.32</v>
      </c>
      <c r="P50" s="58" t="inlineStr">
        <is>
          <t>-</t>
        </is>
      </c>
      <c r="Q50" s="58" t="inlineStr">
        <is>
          <t>-</t>
        </is>
      </c>
      <c r="R50" s="58" t="inlineStr">
        <is>
          <t>-</t>
        </is>
      </c>
      <c r="S50" s="59">
        <f>Tabela11[[#This Row],[Capital total]]/2000</f>
        <v/>
      </c>
      <c r="T50" s="57" t="inlineStr">
        <is>
          <t>05/03/2025</t>
        </is>
      </c>
      <c r="U50" s="15" t="inlineStr">
        <is>
          <t>13:40:43</t>
        </is>
      </c>
      <c r="V50" s="60">
        <f>IFERROR(Tabela11[[#This Row],[Lucro]]*1/Tabela11[[#This Row],[Capital total]],"")</f>
        <v/>
      </c>
      <c r="W50" s="61">
        <f>Tabela11[[#This Row],[Lucro]]-C49</f>
        <v/>
      </c>
    </row>
    <row r="51">
      <c r="A51" s="56" t="n">
        <v>144.1208000622061</v>
      </c>
      <c r="B51" s="57" t="n">
        <v>50.34294834989318</v>
      </c>
      <c r="C51" s="57" t="n">
        <v>-93.77785171231294</v>
      </c>
      <c r="D51" s="57" t="n">
        <v>2.18</v>
      </c>
      <c r="E51" s="57" t="n">
        <v>1.14</v>
      </c>
      <c r="F51" s="57" t="n">
        <v>50.34294834989318</v>
      </c>
      <c r="G51" s="57" t="n">
        <v>89.69926831666668</v>
      </c>
      <c r="H51" s="57" t="n">
        <v>41.30080006220611</v>
      </c>
      <c r="I51" s="57" t="n">
        <v>11.92</v>
      </c>
      <c r="J51" s="57" t="n">
        <v>38.71214828768709</v>
      </c>
      <c r="K51" s="57" t="n">
        <v>26.97</v>
      </c>
      <c r="L51" s="57" t="n">
        <v>1.969999999999999</v>
      </c>
      <c r="M51" s="57" t="n">
        <v>2.18</v>
      </c>
      <c r="N51" s="57" t="n">
        <v>6.43</v>
      </c>
      <c r="O51" s="57" t="n">
        <v>10.5</v>
      </c>
      <c r="P51" s="58" t="inlineStr">
        <is>
          <t>-</t>
        </is>
      </c>
      <c r="Q51" s="58" t="inlineStr">
        <is>
          <t>-</t>
        </is>
      </c>
      <c r="R51" s="58" t="inlineStr">
        <is>
          <t>-</t>
        </is>
      </c>
      <c r="S51" s="59">
        <f>Tabela11[[#This Row],[Capital total]]/2000</f>
        <v/>
      </c>
      <c r="T51" s="57" t="inlineStr">
        <is>
          <t>05/03/2025</t>
        </is>
      </c>
      <c r="U51" s="15" t="inlineStr">
        <is>
          <t>18:06:09</t>
        </is>
      </c>
      <c r="V51" s="60">
        <f>IFERROR(Tabela11[[#This Row],[Lucro]]*1/Tabela11[[#This Row],[Capital total]],"")</f>
        <v/>
      </c>
      <c r="W51" s="61">
        <f>Tabela11[[#This Row],[Lucro]]-C50</f>
        <v/>
      </c>
    </row>
    <row r="52">
      <c r="A52" s="56" t="n">
        <v>144.1208000622061</v>
      </c>
      <c r="B52" s="57" t="n">
        <v>221.2609181283078</v>
      </c>
      <c r="C52" s="57" t="n">
        <v>77.14011806610171</v>
      </c>
      <c r="D52" s="57" t="n">
        <v>2.18</v>
      </c>
      <c r="E52" s="57" t="n">
        <v>1.14</v>
      </c>
      <c r="F52" s="57" t="n">
        <v>221.2609181283078</v>
      </c>
      <c r="G52" s="57" t="n">
        <v>0</v>
      </c>
      <c r="H52" s="57" t="n">
        <v>41.30080006220612</v>
      </c>
      <c r="I52" s="57" t="n">
        <v>12.03999999999999</v>
      </c>
      <c r="J52" s="57" t="n">
        <v>38.43011806610167</v>
      </c>
      <c r="K52" s="57" t="n">
        <v>27.06</v>
      </c>
      <c r="L52" s="57" t="n">
        <v>1.969999999999999</v>
      </c>
      <c r="M52" s="57" t="n">
        <v>2.180000000000007</v>
      </c>
      <c r="N52" s="57" t="n">
        <v>6.430000000000007</v>
      </c>
      <c r="O52" s="57" t="n">
        <v>10.63999999999999</v>
      </c>
      <c r="P52" s="58" t="inlineStr">
        <is>
          <t>-</t>
        </is>
      </c>
      <c r="Q52" s="58" t="inlineStr">
        <is>
          <t>-</t>
        </is>
      </c>
      <c r="R52" s="58" t="inlineStr">
        <is>
          <t>-</t>
        </is>
      </c>
      <c r="S52" s="59">
        <f>Tabela11[[#This Row],[Capital total]]/2000</f>
        <v/>
      </c>
      <c r="T52" s="57" t="inlineStr">
        <is>
          <t>06/03/2025</t>
        </is>
      </c>
      <c r="U52" s="15" t="inlineStr">
        <is>
          <t>21:34:46</t>
        </is>
      </c>
      <c r="V52" s="60">
        <f>IFERROR(Tabela11[[#This Row],[Lucro]]*1/Tabela11[[#This Row],[Capital total]],"")</f>
        <v/>
      </c>
      <c r="W52" s="61">
        <f>Tabela11[[#This Row],[Lucro]]-C51</f>
        <v/>
      </c>
    </row>
    <row r="53">
      <c r="A53" s="56" t="n">
        <v>261.7081801655472</v>
      </c>
      <c r="B53" s="57" t="n">
        <v>259.2496270168049</v>
      </c>
      <c r="C53" s="57" t="n">
        <v>-2.458553148742232</v>
      </c>
      <c r="D53" s="57" t="n">
        <v>2.18</v>
      </c>
      <c r="E53" s="57" t="n">
        <v>1.14</v>
      </c>
      <c r="F53" s="57" t="n">
        <v>259.2496270168049</v>
      </c>
      <c r="G53" s="57" t="n">
        <v>0</v>
      </c>
      <c r="H53" s="57" t="n">
        <v>65.67818016554713</v>
      </c>
      <c r="I53" s="57" t="n">
        <v>46.79000000000002</v>
      </c>
      <c r="J53" s="57" t="n">
        <v>57.86144685125777</v>
      </c>
      <c r="K53" s="57" t="n">
        <v>45.25</v>
      </c>
      <c r="L53" s="57" t="n">
        <v>1.970000000000027</v>
      </c>
      <c r="M53" s="57" t="n">
        <v>2.180000000000007</v>
      </c>
      <c r="N53" s="57" t="n">
        <v>6.430000000000007</v>
      </c>
      <c r="O53" s="57" t="n">
        <v>10.69999999999999</v>
      </c>
      <c r="P53" s="58" t="inlineStr">
        <is>
          <t>-</t>
        </is>
      </c>
      <c r="Q53" s="58" t="inlineStr">
        <is>
          <t>-</t>
        </is>
      </c>
      <c r="R53" s="58" t="inlineStr">
        <is>
          <t>-</t>
        </is>
      </c>
      <c r="S53" s="59">
        <f>Tabela11[[#This Row],[Capital total]]/2000</f>
        <v/>
      </c>
      <c r="T53" s="57" t="inlineStr">
        <is>
          <t>07/03/2025</t>
        </is>
      </c>
      <c r="U53" s="15" t="inlineStr">
        <is>
          <t>19:01:53</t>
        </is>
      </c>
      <c r="V53" s="60">
        <f>IFERROR(Tabela11[[#This Row],[Lucro]]*1/Tabela11[[#This Row],[Capital total]],"")</f>
        <v/>
      </c>
      <c r="W53" s="61">
        <f>Tabela11[[#This Row],[Lucro]]-C52</f>
        <v/>
      </c>
    </row>
    <row r="54">
      <c r="A54" s="56" t="n">
        <v>261.7081801655472</v>
      </c>
      <c r="B54" s="57" t="n">
        <v>248.2496270168049</v>
      </c>
      <c r="C54" s="57" t="n">
        <v>-13.45855314874223</v>
      </c>
      <c r="D54" s="57" t="n">
        <v>2.18</v>
      </c>
      <c r="E54" s="57" t="n">
        <v>1.14</v>
      </c>
      <c r="F54" s="57" t="n">
        <v>248.2496270168049</v>
      </c>
      <c r="G54" s="57" t="n">
        <v>11.28408233333333</v>
      </c>
      <c r="H54" s="57" t="n">
        <v>65.67818016554713</v>
      </c>
      <c r="I54" s="57" t="n">
        <v>46.79000000000002</v>
      </c>
      <c r="J54" s="57" t="n">
        <v>57.86144685125777</v>
      </c>
      <c r="K54" s="57" t="n">
        <v>45.25</v>
      </c>
      <c r="L54" s="57" t="n">
        <v>1.969999999999999</v>
      </c>
      <c r="M54" s="57" t="n">
        <v>2.180000000000007</v>
      </c>
      <c r="N54" s="57" t="n">
        <v>6.430000000000007</v>
      </c>
      <c r="O54" s="57" t="n">
        <v>10.69999999999999</v>
      </c>
      <c r="P54" s="58" t="inlineStr">
        <is>
          <t>-</t>
        </is>
      </c>
      <c r="Q54" s="58" t="inlineStr">
        <is>
          <t>-</t>
        </is>
      </c>
      <c r="R54" s="58" t="inlineStr">
        <is>
          <t>-</t>
        </is>
      </c>
      <c r="S54" s="59">
        <f>Tabela11[[#This Row],[Capital total]]/2000</f>
        <v/>
      </c>
      <c r="T54" s="57" t="inlineStr">
        <is>
          <t>08/03/2025</t>
        </is>
      </c>
      <c r="U54" s="15" t="inlineStr">
        <is>
          <t>17:19:01</t>
        </is>
      </c>
      <c r="V54" s="60">
        <f>IFERROR(Tabela11[[#This Row],[Lucro]]*1/Tabela11[[#This Row],[Capital total]],"")</f>
        <v/>
      </c>
      <c r="W54" s="61">
        <f>Tabela11[[#This Row],[Lucro]]-C53</f>
        <v/>
      </c>
    </row>
    <row r="55">
      <c r="A55" s="64" t="n">
        <v>261.7081801655472</v>
      </c>
      <c r="B55" s="65" t="n">
        <v>248.2806202927559</v>
      </c>
      <c r="C55" s="65" t="n">
        <v>-13.42755987279122</v>
      </c>
      <c r="D55" s="65" t="n">
        <v>3.43</v>
      </c>
      <c r="E55" s="65" t="n">
        <v>1.25</v>
      </c>
      <c r="F55" s="65" t="n">
        <v>248.2806202927559</v>
      </c>
      <c r="G55" s="66" t="inlineStr">
        <is>
          <t>-</t>
        </is>
      </c>
      <c r="H55" s="65" t="n">
        <v>65.67818016554713</v>
      </c>
      <c r="I55" s="65" t="n">
        <v>46.79000000000002</v>
      </c>
      <c r="J55" s="65" t="n">
        <v>57.89244012720877</v>
      </c>
      <c r="K55" s="65" t="n">
        <v>45.25</v>
      </c>
      <c r="L55" s="65" t="n">
        <v>1.969999999999999</v>
      </c>
      <c r="M55" s="65" t="n">
        <v>2.180000000000007</v>
      </c>
      <c r="N55" s="65" t="n">
        <v>6.430000000000007</v>
      </c>
      <c r="O55" s="65" t="n">
        <v>10.69999999999999</v>
      </c>
      <c r="P55" s="65" t="n">
        <v>21</v>
      </c>
      <c r="Q55" s="58" t="inlineStr">
        <is>
          <t>-</t>
        </is>
      </c>
      <c r="R55" s="58" t="inlineStr">
        <is>
          <t>-</t>
        </is>
      </c>
      <c r="S55" s="67" t="n">
        <v>0.124140310146378</v>
      </c>
      <c r="T55" s="68" t="inlineStr">
        <is>
          <t>09/03/2025</t>
        </is>
      </c>
      <c r="U55" s="18" t="inlineStr">
        <is>
          <t>20:31:39</t>
        </is>
      </c>
      <c r="V55" s="69">
        <f>IFERROR(Tabela11[[#This Row],[Lucro]]*1/Tabela11[[#This Row],[Capital total]],"")</f>
        <v/>
      </c>
      <c r="W55" s="61">
        <f>Tabela11[[#This Row],[Lucro]]-C54</f>
        <v/>
      </c>
    </row>
    <row r="56">
      <c r="A56" s="64" t="n">
        <v>261.7081801655472</v>
      </c>
      <c r="B56" s="65" t="n">
        <v>248.0834786539176</v>
      </c>
      <c r="C56" s="65" t="n">
        <v>-13.62470151162954</v>
      </c>
      <c r="D56" s="65" t="n">
        <v>3.43</v>
      </c>
      <c r="E56" s="65" t="n">
        <v>1.25</v>
      </c>
      <c r="F56" s="65" t="n">
        <v>248.0834786539176</v>
      </c>
      <c r="G56" s="66" t="inlineStr">
        <is>
          <t>-</t>
        </is>
      </c>
      <c r="H56" s="65" t="n">
        <v>65.67818016554713</v>
      </c>
      <c r="I56" s="65" t="n">
        <v>46.48000000000002</v>
      </c>
      <c r="J56" s="65" t="n">
        <v>58.54529848837046</v>
      </c>
      <c r="K56" s="65" t="n">
        <v>45.19999999999999</v>
      </c>
      <c r="L56" s="65" t="n">
        <v>1.969999999999999</v>
      </c>
      <c r="M56" s="65" t="n">
        <v>2.180000000000007</v>
      </c>
      <c r="N56" s="65" t="n">
        <v>6.430000000000007</v>
      </c>
      <c r="O56" s="65" t="n">
        <v>10.47000000000003</v>
      </c>
      <c r="P56" s="65" t="n">
        <v>20.74</v>
      </c>
      <c r="Q56" s="58" t="inlineStr">
        <is>
          <t>-</t>
        </is>
      </c>
      <c r="R56" s="58" t="inlineStr">
        <is>
          <t>-</t>
        </is>
      </c>
      <c r="S56" s="67" t="n">
        <v>0.1240417393269588</v>
      </c>
      <c r="T56" s="68" t="inlineStr">
        <is>
          <t>10/03/2025</t>
        </is>
      </c>
      <c r="U56" s="18" t="inlineStr">
        <is>
          <t>18:01:06</t>
        </is>
      </c>
      <c r="V56" s="69">
        <f>IFERROR(Tabela11[[#This Row],[Lucro]]*1/Tabela11[[#This Row],[Capital total]],"")</f>
        <v/>
      </c>
      <c r="W56" s="61">
        <f>Tabela11[[#This Row],[Lucro]]-C55</f>
        <v/>
      </c>
    </row>
    <row r="57">
      <c r="A57" s="64" t="n">
        <v>261.7081801655472</v>
      </c>
      <c r="B57" s="65" t="n">
        <v>246.9425743089371</v>
      </c>
      <c r="C57" s="65" t="n">
        <v>-14.76560585661009</v>
      </c>
      <c r="D57" s="65" t="n">
        <v>3.43</v>
      </c>
      <c r="E57" s="65" t="n">
        <v>1.25</v>
      </c>
      <c r="F57" s="65" t="n">
        <v>246.9425743089371</v>
      </c>
      <c r="G57" s="66" t="inlineStr">
        <is>
          <t>-</t>
        </is>
      </c>
      <c r="H57" s="65" t="n">
        <v>65.67818016554713</v>
      </c>
      <c r="I57" s="65" t="n">
        <v>45.94999999999999</v>
      </c>
      <c r="J57" s="65" t="n">
        <v>58.10439414338987</v>
      </c>
      <c r="K57" s="65" t="n">
        <v>45.19999999999999</v>
      </c>
      <c r="L57" s="65" t="n">
        <v>1.969999999999999</v>
      </c>
      <c r="M57" s="65" t="n">
        <v>2.180000000000007</v>
      </c>
      <c r="N57" s="65" t="n">
        <v>6.43000000000001</v>
      </c>
      <c r="O57" s="65" t="n">
        <v>10.39999999999998</v>
      </c>
      <c r="P57" s="65" t="n">
        <v>20.64</v>
      </c>
      <c r="Q57" s="58" t="inlineStr">
        <is>
          <t>-</t>
        </is>
      </c>
      <c r="R57" s="58" t="inlineStr">
        <is>
          <t>-</t>
        </is>
      </c>
      <c r="S57" s="67" t="n">
        <v>0.1234712871544685</v>
      </c>
      <c r="T57" s="68" t="inlineStr">
        <is>
          <t>11/03/2025</t>
        </is>
      </c>
      <c r="U57" s="18" t="inlineStr">
        <is>
          <t>18:04:34</t>
        </is>
      </c>
      <c r="V57" s="69">
        <f>IFERROR(Tabela11[[#This Row],[Lucro]]*1/Tabela11[[#This Row],[Capital total]],"")</f>
        <v/>
      </c>
      <c r="W57" s="61">
        <f>Tabela11[[#This Row],[Lucro]]-C56</f>
        <v/>
      </c>
    </row>
    <row r="58">
      <c r="A58" s="64" t="n">
        <v>276.5981801655471</v>
      </c>
      <c r="B58" s="65" t="n">
        <v>261.9245782132235</v>
      </c>
      <c r="C58" s="65" t="n">
        <v>-14.67360195232359</v>
      </c>
      <c r="D58" s="65" t="n">
        <v>3.43</v>
      </c>
      <c r="E58" s="65" t="n">
        <v>1.25</v>
      </c>
      <c r="F58" s="65" t="n">
        <v>261.9245782132235</v>
      </c>
      <c r="G58" s="66" t="inlineStr">
        <is>
          <t>-</t>
        </is>
      </c>
      <c r="H58" s="65" t="n">
        <v>65.72818016554714</v>
      </c>
      <c r="I58" s="65" t="n">
        <v>45.94999999999999</v>
      </c>
      <c r="J58" s="65" t="n">
        <v>58.08639804767643</v>
      </c>
      <c r="K58" s="65" t="n">
        <v>45.19999999999999</v>
      </c>
      <c r="L58" s="65" t="n">
        <v>1.970000000000027</v>
      </c>
      <c r="M58" s="65" t="n">
        <v>2.180000000000007</v>
      </c>
      <c r="N58" s="65" t="n">
        <v>6.439999999999998</v>
      </c>
      <c r="O58" s="65" t="n">
        <v>10.39999999999998</v>
      </c>
      <c r="P58" s="65" t="n">
        <v>20.64</v>
      </c>
      <c r="Q58" s="58" t="inlineStr">
        <is>
          <t>-</t>
        </is>
      </c>
      <c r="R58" s="58" t="inlineStr">
        <is>
          <t>-</t>
        </is>
      </c>
      <c r="S58" s="67" t="n">
        <v>0.1309622891066118</v>
      </c>
      <c r="T58" s="68" t="inlineStr">
        <is>
          <t>11/03/2025</t>
        </is>
      </c>
      <c r="U58" s="18" t="inlineStr">
        <is>
          <t>22:54:48</t>
        </is>
      </c>
      <c r="V58" s="69">
        <f>IFERROR(Tabela11[[#This Row],[Lucro]]*1/Tabela11[[#This Row],[Capital total]],"")</f>
        <v/>
      </c>
      <c r="W58" s="61">
        <f>Tabela11[[#This Row],[Lucro]]-C57</f>
        <v/>
      </c>
    </row>
    <row r="59">
      <c r="A59" s="64" t="n">
        <v>276.5981801655471</v>
      </c>
      <c r="B59" s="65" t="n">
        <v>262.0846020727521</v>
      </c>
      <c r="C59" s="65" t="n">
        <v>-14.51357809279493</v>
      </c>
      <c r="D59" s="65" t="n">
        <v>3.43</v>
      </c>
      <c r="E59" s="65" t="n">
        <v>1.25</v>
      </c>
      <c r="F59" s="65" t="n">
        <v>262.0846020727521</v>
      </c>
      <c r="G59" s="66" t="inlineStr">
        <is>
          <t>-</t>
        </is>
      </c>
      <c r="H59" s="65" t="n">
        <v>65.72818016554714</v>
      </c>
      <c r="I59" s="65" t="n">
        <v>46.06</v>
      </c>
      <c r="J59" s="65" t="n">
        <v>57.97642190720507</v>
      </c>
      <c r="K59" s="65" t="n">
        <v>45.19999999999999</v>
      </c>
      <c r="L59" s="65" t="n">
        <v>1.970000000000027</v>
      </c>
      <c r="M59" s="65" t="n">
        <v>2.180000000000007</v>
      </c>
      <c r="N59" s="65" t="n">
        <v>6.439999999999998</v>
      </c>
      <c r="O59" s="65" t="n">
        <v>10.5</v>
      </c>
      <c r="P59" s="65" t="n">
        <v>20.7</v>
      </c>
      <c r="Q59" s="58" t="inlineStr">
        <is>
          <t>-</t>
        </is>
      </c>
      <c r="R59" s="58" t="inlineStr">
        <is>
          <t>-</t>
        </is>
      </c>
      <c r="S59" s="67" t="n">
        <v>0.1310423010363761</v>
      </c>
      <c r="T59" s="68" t="inlineStr">
        <is>
          <t>12/03/2025</t>
        </is>
      </c>
      <c r="U59" s="18" t="inlineStr">
        <is>
          <t>21:31:57</t>
        </is>
      </c>
      <c r="V59" s="69">
        <f>IFERROR(Tabela11[[#This Row],[Lucro]]*1/Tabela11[[#This Row],[Capital total]],"")</f>
        <v/>
      </c>
      <c r="W59" s="61">
        <f>Tabela11[[#This Row],[Lucro]]-C58</f>
        <v/>
      </c>
    </row>
    <row r="60">
      <c r="A60" s="64" t="n">
        <v>265.3681801655471</v>
      </c>
      <c r="B60" s="65" t="n">
        <v>252.7666016389426</v>
      </c>
      <c r="C60" s="65" t="n">
        <v>-12.60157852660454</v>
      </c>
      <c r="D60" s="65" t="n">
        <v>3.43</v>
      </c>
      <c r="E60" s="65" t="n">
        <v>1.25</v>
      </c>
      <c r="F60" s="65" t="n">
        <v>252.7666016389426</v>
      </c>
      <c r="G60" s="66" t="inlineStr">
        <is>
          <t>-</t>
        </is>
      </c>
      <c r="H60" s="65" t="n">
        <v>65.72818016554712</v>
      </c>
      <c r="I60" s="65" t="n">
        <v>47.49999999999997</v>
      </c>
      <c r="J60" s="65" t="n">
        <v>57.97842147339546</v>
      </c>
      <c r="K60" s="65" t="n">
        <v>45.09999999999999</v>
      </c>
      <c r="L60" s="65" t="n">
        <v>1.969999999999999</v>
      </c>
      <c r="M60" s="65" t="n">
        <v>2.180000000000007</v>
      </c>
      <c r="N60" s="65" t="n">
        <v>6.440000000000026</v>
      </c>
      <c r="O60" s="65" t="n">
        <v>0</v>
      </c>
      <c r="P60" s="65" t="n">
        <v>20.54</v>
      </c>
      <c r="Q60" s="58" t="inlineStr">
        <is>
          <t>-</t>
        </is>
      </c>
      <c r="R60" s="58" t="inlineStr">
        <is>
          <t>-</t>
        </is>
      </c>
      <c r="S60" s="67" t="n">
        <v>0.1263833008194713</v>
      </c>
      <c r="T60" s="68" t="inlineStr">
        <is>
          <t>13/03/2025</t>
        </is>
      </c>
      <c r="U60" s="18" t="inlineStr">
        <is>
          <t>21:42:20</t>
        </is>
      </c>
      <c r="V60" s="69">
        <f>IFERROR(Tabela11[[#This Row],[Lucro]]*1/Tabela11[[#This Row],[Capital total]],"")</f>
        <v/>
      </c>
      <c r="W60" s="61">
        <f>Tabela11[[#This Row],[Lucro]]-C59</f>
        <v/>
      </c>
    </row>
    <row r="61">
      <c r="A61" s="64" t="n">
        <v>284.4081801655471</v>
      </c>
      <c r="B61" s="65" t="n">
        <v>283.8468492345772</v>
      </c>
      <c r="C61" s="65" t="n">
        <v>-0.561330930969915</v>
      </c>
      <c r="D61" s="65" t="n">
        <v>3.43</v>
      </c>
      <c r="E61" s="65" t="n">
        <v>1.25</v>
      </c>
      <c r="F61" s="65" t="n">
        <v>283.8468492345772</v>
      </c>
      <c r="G61" s="66" t="inlineStr">
        <is>
          <t>-</t>
        </is>
      </c>
      <c r="H61" s="65" t="n">
        <v>65.79818016554714</v>
      </c>
      <c r="I61" s="65" t="n">
        <v>49.90999999999997</v>
      </c>
      <c r="J61" s="65" t="n">
        <v>66.18866906903008</v>
      </c>
      <c r="K61" s="65" t="n">
        <v>54.30000000000001</v>
      </c>
      <c r="L61" s="65" t="n">
        <v>2.910000000000025</v>
      </c>
      <c r="M61" s="65" t="n">
        <v>2.180000000000007</v>
      </c>
      <c r="N61" s="65" t="n">
        <v>6.439999999999998</v>
      </c>
      <c r="O61" s="65" t="n">
        <v>0</v>
      </c>
      <c r="P61" s="65" t="n">
        <v>20.65</v>
      </c>
      <c r="Q61" s="58" t="inlineStr">
        <is>
          <t>-</t>
        </is>
      </c>
      <c r="R61" s="58" t="inlineStr">
        <is>
          <t>-</t>
        </is>
      </c>
      <c r="S61" s="67" t="n">
        <v>0.1419234246172886</v>
      </c>
      <c r="T61" s="68" t="inlineStr">
        <is>
          <t>14/03/2025</t>
        </is>
      </c>
      <c r="U61" s="18" t="inlineStr">
        <is>
          <t>18:19:06</t>
        </is>
      </c>
      <c r="V61" s="69">
        <f>IFERROR(Tabela11[[#This Row],[Lucro]]*1/Tabela11[[#This Row],[Capital total]],"")</f>
        <v/>
      </c>
      <c r="W61" s="61">
        <f>Tabela11[[#This Row],[Lucro]]-C60</f>
        <v/>
      </c>
    </row>
    <row r="62">
      <c r="A62" s="64" t="n">
        <v>284.4581801655471</v>
      </c>
      <c r="B62" s="65" t="n">
        <v>284.0156634983682</v>
      </c>
      <c r="C62" s="65" t="n">
        <v>-0.4425166671789238</v>
      </c>
      <c r="D62" s="65" t="n">
        <v>3.43</v>
      </c>
      <c r="E62" s="65" t="n">
        <v>1.25</v>
      </c>
      <c r="F62" s="65" t="n">
        <v>284.0156634983682</v>
      </c>
      <c r="G62" s="66" t="inlineStr">
        <is>
          <t>-</t>
        </is>
      </c>
      <c r="H62" s="65" t="n">
        <v>65.83818016554716</v>
      </c>
      <c r="I62" s="65" t="n">
        <v>49.91000000000003</v>
      </c>
      <c r="J62" s="65" t="n">
        <v>66.21748333282108</v>
      </c>
      <c r="K62" s="65" t="n">
        <v>54.30000000000001</v>
      </c>
      <c r="L62" s="65" t="n">
        <v>2.910000000000025</v>
      </c>
      <c r="M62" s="65" t="n">
        <v>2.180000000000007</v>
      </c>
      <c r="N62" s="65" t="n">
        <v>6.449999999999989</v>
      </c>
      <c r="O62" s="65" t="n">
        <v>0</v>
      </c>
      <c r="P62" s="65" t="n">
        <v>20.65</v>
      </c>
      <c r="Q62" s="58" t="inlineStr">
        <is>
          <t>-</t>
        </is>
      </c>
      <c r="R62" s="58" t="inlineStr">
        <is>
          <t>-</t>
        </is>
      </c>
      <c r="S62" s="67" t="n">
        <v>0.1420078317491841</v>
      </c>
      <c r="T62" s="68" t="inlineStr">
        <is>
          <t>16/03/2025</t>
        </is>
      </c>
      <c r="U62" s="18" t="inlineStr">
        <is>
          <t>21:49:06</t>
        </is>
      </c>
      <c r="V62" s="69">
        <f>IFERROR(Tabela11[[#This Row],[Lucro]]*1/Tabela11[[#This Row],[Capital total]],"")</f>
        <v/>
      </c>
      <c r="W62" s="61">
        <f>Tabela11[[#This Row],[Lucro]]-C61</f>
        <v/>
      </c>
    </row>
    <row r="63">
      <c r="A63" s="56" t="n">
        <v>284.4581801655471</v>
      </c>
      <c r="B63" s="57" t="n">
        <v>283.3013433943441</v>
      </c>
      <c r="C63" s="57" t="n">
        <v>-1.156836771203036</v>
      </c>
      <c r="D63" s="57" t="n">
        <v>3.43</v>
      </c>
      <c r="E63" s="57" t="n">
        <v>1.25</v>
      </c>
      <c r="F63" s="57" t="n">
        <v>283.3013433943441</v>
      </c>
      <c r="G63" s="66" t="inlineStr">
        <is>
          <t>-</t>
        </is>
      </c>
      <c r="H63" s="57" t="n">
        <v>65.83818016554716</v>
      </c>
      <c r="I63" s="57" t="n">
        <v>49.75</v>
      </c>
      <c r="J63" s="57" t="n">
        <v>65.60316322879697</v>
      </c>
      <c r="K63" s="57" t="n">
        <v>54.24000000000001</v>
      </c>
      <c r="L63" s="57" t="n">
        <v>2.910000000000025</v>
      </c>
      <c r="M63" s="57" t="n">
        <v>2.180000000000007</v>
      </c>
      <c r="N63" s="57" t="n">
        <v>6.449999999999989</v>
      </c>
      <c r="O63" s="65" t="n">
        <v>0</v>
      </c>
      <c r="P63" s="57" t="n">
        <v>20.77</v>
      </c>
      <c r="Q63" s="58" t="inlineStr">
        <is>
          <t>-</t>
        </is>
      </c>
      <c r="R63" s="58" t="inlineStr">
        <is>
          <t>-</t>
        </is>
      </c>
      <c r="S63" s="59" t="n">
        <v>0.141650671697172</v>
      </c>
      <c r="T63" s="70" t="inlineStr">
        <is>
          <t>18/03/2025</t>
        </is>
      </c>
      <c r="U63" s="15" t="inlineStr">
        <is>
          <t>11:27:58</t>
        </is>
      </c>
      <c r="V63" s="60">
        <f>IFERROR(Tabela11[[#This Row],[Lucro]]*1/Tabela11[[#This Row],[Capital total]],"")</f>
        <v/>
      </c>
      <c r="W63" s="61">
        <f>Tabela11[[#This Row],[Lucro]]-C62</f>
        <v/>
      </c>
    </row>
    <row r="64">
      <c r="A64" s="64" t="n">
        <v>284.4581801655471</v>
      </c>
      <c r="B64" s="65" t="n">
        <v>190.1175457133817</v>
      </c>
      <c r="C64" s="65" t="n">
        <v>-94.34063445216536</v>
      </c>
      <c r="D64" s="65" t="n">
        <v>3.43</v>
      </c>
      <c r="E64" s="65" t="n">
        <v>1.25</v>
      </c>
      <c r="F64" s="65" t="n">
        <v>190.1175457133817</v>
      </c>
      <c r="G64" s="65" t="n">
        <v>95.33315300000001</v>
      </c>
      <c r="H64" s="65" t="n">
        <v>65.83818016554713</v>
      </c>
      <c r="I64" s="65" t="n">
        <v>49.70999999999998</v>
      </c>
      <c r="J64" s="65" t="n">
        <v>65.55936554783463</v>
      </c>
      <c r="K64" s="65" t="n">
        <v>54.18000000000001</v>
      </c>
      <c r="L64" s="65" t="n">
        <v>2.909999999999997</v>
      </c>
      <c r="M64" s="65" t="n">
        <v>2.180000000000007</v>
      </c>
      <c r="N64" s="65" t="n">
        <v>6.449999999999989</v>
      </c>
      <c r="O64" s="65" t="n">
        <v>0</v>
      </c>
      <c r="P64" s="65" t="n">
        <v>20.73</v>
      </c>
      <c r="Q64" s="58" t="inlineStr">
        <is>
          <t>-</t>
        </is>
      </c>
      <c r="R64" s="58" t="inlineStr">
        <is>
          <t>-</t>
        </is>
      </c>
      <c r="S64" s="67" t="n">
        <v>0.09505877285669087</v>
      </c>
      <c r="T64" s="68" t="inlineStr">
        <is>
          <t>18/03/2025</t>
        </is>
      </c>
      <c r="U64" s="18" t="inlineStr">
        <is>
          <t>11:37:00</t>
        </is>
      </c>
      <c r="V64" s="69">
        <f>IFERROR(Tabela11[[#This Row],[Lucro]]*1/Tabela11[[#This Row],[Capital total]],"")</f>
        <v/>
      </c>
      <c r="W64" s="61">
        <f>Tabela11[[#This Row],[Lucro]]-C63</f>
        <v/>
      </c>
    </row>
    <row r="65">
      <c r="A65" s="64" t="n">
        <v>277.7881801655471</v>
      </c>
      <c r="B65" s="65" t="n">
        <v>183.7828359342031</v>
      </c>
      <c r="C65" s="65" t="n">
        <v>-94.00534423134401</v>
      </c>
      <c r="D65" s="65" t="n">
        <v>3.43</v>
      </c>
      <c r="E65" s="65" t="n">
        <v>1.25</v>
      </c>
      <c r="F65" s="65" t="n">
        <v>183.7828359342031</v>
      </c>
      <c r="G65" s="65" t="n">
        <v>95.33315300000001</v>
      </c>
      <c r="H65" s="65" t="n">
        <v>65.83818016554713</v>
      </c>
      <c r="I65" s="65" t="n">
        <v>49.57999999999998</v>
      </c>
      <c r="J65" s="65" t="n">
        <v>65.64465576865598</v>
      </c>
      <c r="K65" s="65" t="n">
        <v>54.24000000000001</v>
      </c>
      <c r="L65" s="65" t="n">
        <v>2.909999999999997</v>
      </c>
      <c r="M65" s="65" t="n">
        <v>3.460000000000008</v>
      </c>
      <c r="N65" s="65" t="n">
        <v>6.449999999999989</v>
      </c>
      <c r="O65" s="65" t="n">
        <v>0</v>
      </c>
      <c r="P65" s="65" t="n">
        <v>20.72</v>
      </c>
      <c r="Q65" s="65" t="n">
        <v>6.88</v>
      </c>
      <c r="R65" s="58" t="inlineStr">
        <is>
          <t>-</t>
        </is>
      </c>
      <c r="S65" s="67" t="n">
        <v>0.09189141796710154</v>
      </c>
      <c r="T65" s="68" t="inlineStr">
        <is>
          <t>18/03/2025</t>
        </is>
      </c>
      <c r="U65" s="18" t="inlineStr">
        <is>
          <t>11:52:28</t>
        </is>
      </c>
      <c r="V65" s="69">
        <f>IFERROR(Tabela11[[#This Row],[Lucro]]*1/Tabela11[[#This Row],[Capital total]],"")</f>
        <v/>
      </c>
      <c r="W65" s="61">
        <f>Tabela11[[#This Row],[Lucro]]-C64</f>
        <v/>
      </c>
    </row>
    <row r="66">
      <c r="A66" s="64" t="n">
        <v>277.7881801655471</v>
      </c>
      <c r="B66" s="65" t="n">
        <v>183.5623549895324</v>
      </c>
      <c r="C66" s="65" t="n">
        <v>-94.22582517601465</v>
      </c>
      <c r="D66" s="65" t="n">
        <v>3.43</v>
      </c>
      <c r="E66" s="65" t="n">
        <v>1.25</v>
      </c>
      <c r="F66" s="65" t="n">
        <v>183.5623549895324</v>
      </c>
      <c r="G66" s="66" t="inlineStr">
        <is>
          <t>-</t>
        </is>
      </c>
      <c r="H66" s="65" t="n">
        <v>65.83818016554713</v>
      </c>
      <c r="I66" s="65" t="n">
        <v>49.70999999999998</v>
      </c>
      <c r="J66" s="65" t="n">
        <v>65.38417482398535</v>
      </c>
      <c r="K66" s="65" t="n">
        <v>54.18000000000001</v>
      </c>
      <c r="L66" s="65" t="n">
        <v>2.909999999999997</v>
      </c>
      <c r="M66" s="65" t="n">
        <v>3.460000000000008</v>
      </c>
      <c r="N66" s="65" t="n">
        <v>6.449999999999989</v>
      </c>
      <c r="O66" s="65" t="n">
        <v>0</v>
      </c>
      <c r="P66" s="65" t="n">
        <v>20.69</v>
      </c>
      <c r="Q66" s="65" t="n">
        <v>6.88</v>
      </c>
      <c r="R66" s="58" t="inlineStr">
        <is>
          <t>-</t>
        </is>
      </c>
      <c r="S66" s="67" t="n">
        <v>0.09178117749476621</v>
      </c>
      <c r="T66" s="68" t="inlineStr">
        <is>
          <t>18/03/2025</t>
        </is>
      </c>
      <c r="U66" s="18" t="inlineStr">
        <is>
          <t>19:13:47</t>
        </is>
      </c>
      <c r="V66" s="69">
        <f>IFERROR(Tabela11[[#This Row],[Lucro]]*1/Tabela11[[#This Row],[Capital total]],"")</f>
        <v/>
      </c>
      <c r="W66" s="61">
        <f>Tabela11[[#This Row],[Lucro]]-C65</f>
        <v/>
      </c>
    </row>
    <row r="67">
      <c r="A67" s="64" t="n">
        <v>277.7881801655471</v>
      </c>
      <c r="B67" s="65" t="n">
        <v>184.3688641122202</v>
      </c>
      <c r="C67" s="65" t="n">
        <v>-93.41931605332692</v>
      </c>
      <c r="D67" s="65" t="n">
        <v>3.43</v>
      </c>
      <c r="E67" s="65" t="n">
        <v>1.25</v>
      </c>
      <c r="F67" s="65" t="n">
        <v>184.3688641122202</v>
      </c>
      <c r="G67" s="66" t="inlineStr">
        <is>
          <t>-</t>
        </is>
      </c>
      <c r="H67" s="65" t="n">
        <v>65.83818016554713</v>
      </c>
      <c r="I67" s="65" t="n">
        <v>50.14000000000001</v>
      </c>
      <c r="J67" s="65" t="n">
        <v>65.41068394667306</v>
      </c>
      <c r="K67" s="65" t="n">
        <v>54.11999999999998</v>
      </c>
      <c r="L67" s="65" t="n">
        <v>2.909999999999997</v>
      </c>
      <c r="M67" s="65" t="n">
        <v>3.460000000000008</v>
      </c>
      <c r="N67" s="65" t="n">
        <v>6.449999999999989</v>
      </c>
      <c r="O67" s="65" t="n">
        <v>0</v>
      </c>
      <c r="P67" s="65" t="n">
        <v>21.1</v>
      </c>
      <c r="Q67" s="65" t="n">
        <v>6.88</v>
      </c>
      <c r="R67" s="58" t="inlineStr">
        <is>
          <t>-</t>
        </is>
      </c>
      <c r="S67" s="67" t="n">
        <v>0.09218443205611009</v>
      </c>
      <c r="T67" s="68" t="inlineStr">
        <is>
          <t>20/03/2025</t>
        </is>
      </c>
      <c r="U67" s="18" t="inlineStr">
        <is>
          <t>21:54:15</t>
        </is>
      </c>
      <c r="V67" s="69">
        <f>IFERROR(Tabela11[[#This Row],[Lucro]]*1/Tabela11[[#This Row],[Capital total]],"")</f>
        <v/>
      </c>
      <c r="W67" s="61">
        <f>Tabela11[[#This Row],[Lucro]]-C66</f>
        <v/>
      </c>
    </row>
    <row r="68">
      <c r="A68" s="64" t="n">
        <v>354.8395128509162</v>
      </c>
      <c r="B68" s="65" t="n">
        <v>352.4195235581527</v>
      </c>
      <c r="C68" s="65" t="n">
        <v>-2.419989292763536</v>
      </c>
      <c r="D68" s="65" t="n">
        <v>3.43</v>
      </c>
      <c r="E68" s="65" t="n">
        <v>1.25</v>
      </c>
      <c r="F68" s="65" t="n">
        <v>352.4195235581527</v>
      </c>
      <c r="G68" s="66" t="inlineStr">
        <is>
          <t>-</t>
        </is>
      </c>
      <c r="H68" s="65" t="n">
        <v>93.87951285091623</v>
      </c>
      <c r="I68" s="65" t="n">
        <v>50.13999999999999</v>
      </c>
      <c r="J68" s="65" t="n">
        <v>113.5000107072365</v>
      </c>
      <c r="K68" s="65" t="n">
        <v>54.12</v>
      </c>
      <c r="L68" s="65" t="n">
        <v>2.910000000000025</v>
      </c>
      <c r="M68" s="65" t="n">
        <v>3.45999999999998</v>
      </c>
      <c r="N68" s="65" t="n">
        <v>6.449999999999989</v>
      </c>
      <c r="O68" s="65" t="n">
        <v>0</v>
      </c>
      <c r="P68" s="65" t="n">
        <v>21.1</v>
      </c>
      <c r="Q68" s="65" t="n">
        <v>6.86</v>
      </c>
      <c r="R68" s="58" t="inlineStr">
        <is>
          <t>-</t>
        </is>
      </c>
      <c r="S68" s="67" t="n">
        <v>0.1762097617790763</v>
      </c>
      <c r="T68" s="68" t="inlineStr">
        <is>
          <t>20/03/2025</t>
        </is>
      </c>
      <c r="U68" s="18" t="inlineStr">
        <is>
          <t>22:40:29</t>
        </is>
      </c>
      <c r="V68" s="69">
        <f>IFERROR(Tabela11[[#This Row],[Lucro]]*1/Tabela11[[#This Row],[Capital total]],"")</f>
        <v/>
      </c>
      <c r="W68" s="61">
        <f>Tabela11[[#This Row],[Lucro]]-C67</f>
        <v/>
      </c>
    </row>
    <row r="69">
      <c r="A69" s="64" t="n">
        <v>354.8395128509162</v>
      </c>
      <c r="B69" s="65" t="n">
        <v>455.997491293468</v>
      </c>
      <c r="C69" s="65" t="n">
        <v>101.1579784425519</v>
      </c>
      <c r="D69" s="65" t="n">
        <v>3.43</v>
      </c>
      <c r="E69" s="65" t="n">
        <v>1.25</v>
      </c>
      <c r="F69" s="65" t="n">
        <v>455.997491293468</v>
      </c>
      <c r="G69" s="66" t="inlineStr">
        <is>
          <t>-</t>
        </is>
      </c>
      <c r="H69" s="65" t="n">
        <v>93.87951285091623</v>
      </c>
      <c r="I69" s="65" t="n">
        <v>50.75</v>
      </c>
      <c r="J69" s="65" t="n">
        <v>114.4179784425519</v>
      </c>
      <c r="K69" s="65" t="n">
        <v>54.24000000000001</v>
      </c>
      <c r="L69" s="65" t="n">
        <v>2.910000000000025</v>
      </c>
      <c r="M69" s="65" t="n">
        <v>3.45999999999998</v>
      </c>
      <c r="N69" s="65" t="n">
        <v>6.449999999999989</v>
      </c>
      <c r="O69" s="65" t="n">
        <v>0</v>
      </c>
      <c r="P69" s="65" t="n">
        <v>21.18</v>
      </c>
      <c r="Q69" s="65" t="n">
        <v>6.86</v>
      </c>
      <c r="R69" s="58" t="inlineStr">
        <is>
          <t>-</t>
        </is>
      </c>
      <c r="S69" s="67" t="n">
        <v>0.113999372823367</v>
      </c>
      <c r="T69" s="68" t="inlineStr">
        <is>
          <t>21/03/2025</t>
        </is>
      </c>
      <c r="U69" s="18" t="inlineStr">
        <is>
          <t>17:12:34</t>
        </is>
      </c>
      <c r="V69" s="69">
        <f>IFERROR(Tabela11[[#This Row],[Lucro]]*1/Tabela11[[#This Row],[Capital total]],"")</f>
        <v/>
      </c>
      <c r="W69" s="61">
        <f>Tabela11[[#This Row],[Lucro]]-C68</f>
        <v/>
      </c>
    </row>
    <row r="70">
      <c r="A70" s="64" t="n">
        <v>453.9695128509162</v>
      </c>
      <c r="B70" s="65" t="n">
        <v>454.5874881302637</v>
      </c>
      <c r="C70" s="65" t="n">
        <v>0.6179752793474709</v>
      </c>
      <c r="D70" s="65" t="n">
        <v>3.43</v>
      </c>
      <c r="E70" s="65" t="n">
        <v>1.25</v>
      </c>
      <c r="F70" s="65" t="n">
        <v>454.5874881302637</v>
      </c>
      <c r="G70" s="66" t="inlineStr">
        <is>
          <t>-</t>
        </is>
      </c>
      <c r="H70" s="65" t="n">
        <v>93.87951285091623</v>
      </c>
      <c r="I70" s="65" t="n">
        <v>88.33999999999997</v>
      </c>
      <c r="J70" s="65" t="n">
        <v>114.5079752793476</v>
      </c>
      <c r="K70" s="65" t="n">
        <v>81.54000000000002</v>
      </c>
      <c r="L70" s="65" t="n">
        <v>5.910000000000025</v>
      </c>
      <c r="M70" s="65" t="n">
        <v>3.45999999999998</v>
      </c>
      <c r="N70" s="65" t="n">
        <v>6.449999999999989</v>
      </c>
      <c r="O70" s="65" t="n">
        <v>0</v>
      </c>
      <c r="P70" s="65" t="n">
        <v>21.18</v>
      </c>
      <c r="Q70" s="65" t="n">
        <v>38.34</v>
      </c>
      <c r="R70" s="58" t="inlineStr">
        <is>
          <t>-</t>
        </is>
      </c>
      <c r="S70" s="67" t="n">
        <v>0.1136468720325659</v>
      </c>
      <c r="T70" s="68" t="inlineStr">
        <is>
          <t>21/03/2025</t>
        </is>
      </c>
      <c r="U70" s="18" t="inlineStr">
        <is>
          <t>17:26:13</t>
        </is>
      </c>
      <c r="V70" s="69">
        <f>IFERROR(Tabela11[[#This Row],[Lucro]]*1/Tabela11[[#This Row],[Capital total]],"")</f>
        <v/>
      </c>
      <c r="W70" s="61">
        <f>Tabela11[[#This Row],[Lucro]]-C69</f>
        <v/>
      </c>
    </row>
    <row r="71">
      <c r="A71" s="64" t="n">
        <v>453.9695128509162</v>
      </c>
      <c r="B71" s="65" t="n">
        <v>453.7814862323411</v>
      </c>
      <c r="C71" s="65" t="n">
        <v>-0.1880266185751207</v>
      </c>
      <c r="D71" s="65" t="n">
        <v>3.43</v>
      </c>
      <c r="E71" s="65" t="n">
        <v>1.25</v>
      </c>
      <c r="F71" s="65" t="n">
        <v>453.7814862323411</v>
      </c>
      <c r="G71" s="66" t="inlineStr">
        <is>
          <t>-</t>
        </is>
      </c>
      <c r="H71" s="65" t="n">
        <v>93.87951285091617</v>
      </c>
      <c r="I71" s="65" t="n">
        <v>88.40999999999997</v>
      </c>
      <c r="J71" s="65" t="n">
        <v>114.5619733814249</v>
      </c>
      <c r="K71" s="65" t="n">
        <v>81.53999999999996</v>
      </c>
      <c r="L71" s="65" t="n">
        <v>5.910000000000025</v>
      </c>
      <c r="M71" s="65" t="n">
        <v>3.45999999999998</v>
      </c>
      <c r="N71" s="65" t="n">
        <v>6.449999999999989</v>
      </c>
      <c r="O71" s="65" t="n">
        <v>0</v>
      </c>
      <c r="P71" s="65" t="n">
        <v>21.23</v>
      </c>
      <c r="Q71" s="65" t="n">
        <v>38.34</v>
      </c>
      <c r="R71" s="58" t="inlineStr">
        <is>
          <t>-</t>
        </is>
      </c>
      <c r="S71" s="67" t="n">
        <v>0.1134453715580853</v>
      </c>
      <c r="T71" s="68" t="inlineStr">
        <is>
          <t>21/03/2025</t>
        </is>
      </c>
      <c r="U71" s="18" t="inlineStr">
        <is>
          <t>17:37:46</t>
        </is>
      </c>
      <c r="V71" s="69">
        <f>IFERROR(Tabela11[[#This Row],[Lucro]]*1/Tabela11[[#This Row],[Capital total]],"")</f>
        <v/>
      </c>
      <c r="W71" s="61">
        <f>Tabela11[[#This Row],[Lucro]]-C70</f>
        <v/>
      </c>
    </row>
    <row r="72">
      <c r="A72" s="64" t="n">
        <v>453.9695128509162</v>
      </c>
      <c r="B72" s="65" t="n">
        <v>453.8974821553221</v>
      </c>
      <c r="C72" s="65" t="n">
        <v>-0.07203069559409236</v>
      </c>
      <c r="D72" s="65" t="n">
        <v>3.43</v>
      </c>
      <c r="E72" s="65" t="n">
        <v>1.25</v>
      </c>
      <c r="F72" s="65" t="n">
        <v>453.8974821553221</v>
      </c>
      <c r="G72" s="66" t="inlineStr">
        <is>
          <t>-</t>
        </is>
      </c>
      <c r="H72" s="65" t="n">
        <v>93.87951285091617</v>
      </c>
      <c r="I72" s="65" t="n">
        <v>88.40999999999997</v>
      </c>
      <c r="J72" s="65" t="n">
        <v>114.6779693044059</v>
      </c>
      <c r="K72" s="65" t="n">
        <v>81.53999999999996</v>
      </c>
      <c r="L72" s="65" t="n">
        <v>5.910000000000025</v>
      </c>
      <c r="M72" s="65" t="n">
        <v>3.45999999999998</v>
      </c>
      <c r="N72" s="65" t="n">
        <v>6.449999999999989</v>
      </c>
      <c r="O72" s="65" t="n">
        <v>0</v>
      </c>
      <c r="P72" s="65" t="n">
        <v>21.23</v>
      </c>
      <c r="Q72" s="65" t="n">
        <v>38.34</v>
      </c>
      <c r="R72" s="58" t="inlineStr">
        <is>
          <t>-</t>
        </is>
      </c>
      <c r="S72" s="67" t="n">
        <v>0.1134743705388305</v>
      </c>
      <c r="T72" s="68" t="inlineStr">
        <is>
          <t>21/03/2025</t>
        </is>
      </c>
      <c r="U72" s="18" t="inlineStr">
        <is>
          <t>18:39:36</t>
        </is>
      </c>
      <c r="V72" s="69">
        <f>IFERROR(Tabela11[[#This Row],[Lucro]]*1/Tabela11[[#This Row],[Capital total]],"")</f>
        <v/>
      </c>
      <c r="W72" s="61">
        <f>Tabela11[[#This Row],[Lucro]]-C71</f>
        <v/>
      </c>
    </row>
    <row r="73">
      <c r="A73" s="64" t="n">
        <v>453.9695128509162</v>
      </c>
      <c r="B73" s="65" t="n">
        <v>454.2054635978565</v>
      </c>
      <c r="C73" s="65" t="n">
        <v>0.2359507469402882</v>
      </c>
      <c r="D73" s="65" t="n">
        <v>3.43</v>
      </c>
      <c r="E73" s="65" t="n">
        <v>1.25</v>
      </c>
      <c r="F73" s="65" t="n">
        <v>454.2054635978565</v>
      </c>
      <c r="G73" s="66" t="inlineStr">
        <is>
          <t>-</t>
        </is>
      </c>
      <c r="H73" s="65" t="n">
        <v>93.87951285091617</v>
      </c>
      <c r="I73" s="65" t="n">
        <v>88.60000000000002</v>
      </c>
      <c r="J73" s="65" t="n">
        <v>115.2059507469403</v>
      </c>
      <c r="K73" s="65" t="n">
        <v>81.09000000000003</v>
      </c>
      <c r="L73" s="65" t="n">
        <v>5.910000000000025</v>
      </c>
      <c r="M73" s="65" t="n">
        <v>3.45999999999998</v>
      </c>
      <c r="N73" s="65" t="n">
        <v>6.449999999999989</v>
      </c>
      <c r="O73" s="65" t="n">
        <v>0</v>
      </c>
      <c r="P73" s="65" t="n">
        <v>21.58</v>
      </c>
      <c r="Q73" s="65" t="n">
        <v>38.34</v>
      </c>
      <c r="R73" s="58" t="inlineStr">
        <is>
          <t>-</t>
        </is>
      </c>
      <c r="S73" s="67" t="n">
        <v>0.1135513658994641</v>
      </c>
      <c r="T73" s="68" t="inlineStr">
        <is>
          <t>24/03/2025</t>
        </is>
      </c>
      <c r="U73" s="18" t="inlineStr">
        <is>
          <t>18:58:19</t>
        </is>
      </c>
      <c r="V73" s="69">
        <f>IFERROR(Tabela11[[#This Row],[Lucro]]*1/Tabela11[[#This Row],[Capital total]],"")</f>
        <v/>
      </c>
      <c r="W73" s="61">
        <f>Tabela11[[#This Row],[Lucro]]-C72</f>
        <v/>
      </c>
    </row>
    <row r="74">
      <c r="A74" s="64" t="n">
        <v>462.5907695350509</v>
      </c>
      <c r="B74" s="65" t="n">
        <v>462.7747632312772</v>
      </c>
      <c r="C74" s="65" t="n">
        <v>0.1839936962262536</v>
      </c>
      <c r="D74" s="65" t="n">
        <v>3.43</v>
      </c>
      <c r="E74" s="65" t="n">
        <v>1.25</v>
      </c>
      <c r="F74" s="65" t="n">
        <v>462.7747632312772</v>
      </c>
      <c r="G74" s="66" t="inlineStr">
        <is>
          <t>-</t>
        </is>
      </c>
      <c r="H74" s="65" t="n">
        <v>102.7407695350509</v>
      </c>
      <c r="I74" s="65" t="n">
        <v>89.53000000000003</v>
      </c>
      <c r="J74" s="65" t="n">
        <v>113.9839936962263</v>
      </c>
      <c r="K74" s="65" t="n">
        <v>81.18000000000001</v>
      </c>
      <c r="L74" s="65" t="n">
        <v>5.910000000000025</v>
      </c>
      <c r="M74" s="65" t="n">
        <v>3.45999999999998</v>
      </c>
      <c r="N74" s="65" t="n">
        <v>6.46999999999997</v>
      </c>
      <c r="O74" s="65" t="n">
        <v>0</v>
      </c>
      <c r="P74" s="65" t="n">
        <v>21.53</v>
      </c>
      <c r="Q74" s="65" t="n">
        <v>38.08</v>
      </c>
      <c r="R74" s="58" t="inlineStr">
        <is>
          <t>-</t>
        </is>
      </c>
      <c r="S74" s="67" t="n">
        <v>0.1156936908078193</v>
      </c>
      <c r="T74" s="68" t="inlineStr">
        <is>
          <t>25/03/2025</t>
        </is>
      </c>
      <c r="U74" s="18" t="inlineStr">
        <is>
          <t>20:17:10</t>
        </is>
      </c>
      <c r="V74" s="69">
        <f>IFERROR(Tabela11[[#This Row],[Lucro]]*1/Tabela11[[#This Row],[Capital total]],"")</f>
        <v/>
      </c>
      <c r="W74" s="61">
        <f>Tabela11[[#This Row],[Lucro]]-C73</f>
        <v/>
      </c>
    </row>
    <row r="75">
      <c r="A75" s="64" t="n">
        <v>474.183262233218</v>
      </c>
      <c r="B75" s="65" t="n">
        <v>476.4701584446829</v>
      </c>
      <c r="C75" s="65" t="n">
        <v>2.28689621146485</v>
      </c>
      <c r="D75" s="65" t="n">
        <v>3.43</v>
      </c>
      <c r="E75" s="65" t="n">
        <v>1.25</v>
      </c>
      <c r="F75" s="65" t="n">
        <v>476.4701584446829</v>
      </c>
      <c r="G75" s="66" t="inlineStr">
        <is>
          <t>-</t>
        </is>
      </c>
      <c r="H75" s="65" t="n">
        <v>104.613262233218</v>
      </c>
      <c r="I75" s="65" t="n">
        <v>90.51000000000005</v>
      </c>
      <c r="J75" s="65" t="n">
        <v>124.5868962114649</v>
      </c>
      <c r="K75" s="65" t="n">
        <v>81.62999999999994</v>
      </c>
      <c r="L75" s="65" t="n">
        <v>5.910000000000025</v>
      </c>
      <c r="M75" s="65" t="n">
        <v>3.45999999999998</v>
      </c>
      <c r="N75" s="65" t="n">
        <v>6.46999999999997</v>
      </c>
      <c r="O75" s="65" t="n">
        <v>0</v>
      </c>
      <c r="P75" s="65" t="n">
        <v>21.34</v>
      </c>
      <c r="Q75" s="65" t="n">
        <v>37.8</v>
      </c>
      <c r="R75" s="58" t="inlineStr">
        <is>
          <t>-</t>
        </is>
      </c>
      <c r="S75" s="67" t="n">
        <v>0.1191175396111707</v>
      </c>
      <c r="T75" s="68" t="inlineStr">
        <is>
          <t>26/03/2025</t>
        </is>
      </c>
      <c r="U75" s="18" t="inlineStr">
        <is>
          <t>19:16:16</t>
        </is>
      </c>
      <c r="V75" s="69">
        <f>IFERROR(Tabela11[[#This Row],[Lucro]]*1/Tabela11[[#This Row],[Capital total]],"")</f>
        <v/>
      </c>
      <c r="W75" s="61">
        <f>Tabela11[[#This Row],[Lucro]]-C74</f>
        <v/>
      </c>
    </row>
    <row r="76">
      <c r="A76" s="64" t="n">
        <v>476.0649673539857</v>
      </c>
      <c r="B76" s="65" t="n">
        <v>478.373629313119</v>
      </c>
      <c r="C76" s="65" t="n">
        <v>2.308661959133278</v>
      </c>
      <c r="D76" s="65" t="n">
        <v>3.43</v>
      </c>
      <c r="E76" s="65" t="n">
        <v>1.25</v>
      </c>
      <c r="F76" s="65" t="n">
        <v>478.373629313119</v>
      </c>
      <c r="G76" s="66" t="inlineStr">
        <is>
          <t>-</t>
        </is>
      </c>
      <c r="H76" s="65" t="n">
        <v>106.4949673539857</v>
      </c>
      <c r="I76" s="65" t="n">
        <v>90.50999999999999</v>
      </c>
      <c r="J76" s="65" t="n">
        <v>124.5586619591334</v>
      </c>
      <c r="K76" s="65" t="n">
        <v>81.63</v>
      </c>
      <c r="L76" s="65" t="n">
        <v>5.910000000000025</v>
      </c>
      <c r="M76" s="65" t="n">
        <v>3.45999999999998</v>
      </c>
      <c r="N76" s="65" t="n">
        <v>6.470000000000027</v>
      </c>
      <c r="O76" s="65" t="n">
        <v>0</v>
      </c>
      <c r="P76" s="65" t="n">
        <v>21.34</v>
      </c>
      <c r="Q76" s="65" t="n">
        <v>37.8</v>
      </c>
      <c r="R76" s="58" t="inlineStr">
        <is>
          <t>-</t>
        </is>
      </c>
      <c r="S76" s="67" t="n">
        <v>0.1195934073282797</v>
      </c>
      <c r="T76" s="68" t="inlineStr">
        <is>
          <t>27/03/2025</t>
        </is>
      </c>
      <c r="U76" s="18" t="inlineStr">
        <is>
          <t>20:01:18</t>
        </is>
      </c>
      <c r="V76" s="69">
        <f>IFERROR(Tabela11[[#This Row],[Lucro]]*1/Tabela11[[#This Row],[Capital total]],"")</f>
        <v/>
      </c>
      <c r="W76" s="61">
        <f>Tabela11[[#This Row],[Lucro]]-C75</f>
        <v/>
      </c>
    </row>
    <row r="77">
      <c r="A77" s="64" t="n">
        <v>476.3849673539856</v>
      </c>
      <c r="B77" s="65" t="n">
        <v>479.0100507257533</v>
      </c>
      <c r="C77" s="65" t="n">
        <v>2.625083371767711</v>
      </c>
      <c r="D77" s="65" t="n">
        <v>3.43</v>
      </c>
      <c r="E77" s="65" t="n">
        <v>1.25</v>
      </c>
      <c r="F77" s="65" t="n">
        <v>479.0100507257533</v>
      </c>
      <c r="G77" s="66" t="inlineStr">
        <is>
          <t>-</t>
        </is>
      </c>
      <c r="H77" s="65" t="n">
        <v>106.4949673539857</v>
      </c>
      <c r="I77" s="65" t="n">
        <v>90.63</v>
      </c>
      <c r="J77" s="65" t="n">
        <v>124.6650833717678</v>
      </c>
      <c r="K77" s="65" t="n">
        <v>81.72000000000003</v>
      </c>
      <c r="L77" s="65" t="n">
        <v>5.910000000000025</v>
      </c>
      <c r="M77" s="65" t="n">
        <v>3.45999999999998</v>
      </c>
      <c r="N77" s="65" t="n">
        <v>6.470000000000027</v>
      </c>
      <c r="O77" s="65" t="n">
        <v>0</v>
      </c>
      <c r="P77" s="65" t="n">
        <v>21.3</v>
      </c>
      <c r="Q77" s="65" t="n">
        <v>38.12</v>
      </c>
      <c r="R77" s="58" t="inlineStr">
        <is>
          <t>-</t>
        </is>
      </c>
      <c r="S77" s="67" t="n">
        <v>0.1197525126814383</v>
      </c>
      <c r="T77" s="68" t="inlineStr">
        <is>
          <t>27/03/2025</t>
        </is>
      </c>
      <c r="U77" s="18" t="inlineStr">
        <is>
          <t>20:06:06</t>
        </is>
      </c>
      <c r="V77" s="69">
        <f>IFERROR(Tabela11[[#This Row],[Lucro]]*1/Tabela11[[#This Row],[Capital total]],"")</f>
        <v/>
      </c>
      <c r="W77" s="61">
        <f>Tabela11[[#This Row],[Lucro]]-C76</f>
        <v/>
      </c>
    </row>
    <row r="78">
      <c r="A78" s="64" t="n">
        <v>510.2660885490335</v>
      </c>
      <c r="B78" s="65" t="n">
        <v>512.3573107812632</v>
      </c>
      <c r="C78" s="65" t="n">
        <v>2.091222232229744</v>
      </c>
      <c r="D78" s="65" t="n">
        <v>3.43</v>
      </c>
      <c r="E78" s="65" t="n">
        <v>1.25</v>
      </c>
      <c r="F78" s="65" t="n">
        <v>512.3573107812632</v>
      </c>
      <c r="G78" s="66" t="inlineStr">
        <is>
          <t>-</t>
        </is>
      </c>
      <c r="H78" s="65" t="n">
        <v>108.3960885490335</v>
      </c>
      <c r="I78" s="65" t="n">
        <v>89.65999999999997</v>
      </c>
      <c r="J78" s="65" t="n">
        <v>125.0712222322297</v>
      </c>
      <c r="K78" s="65" t="n">
        <v>100.54</v>
      </c>
      <c r="L78" s="65" t="n">
        <v>5.909999999999968</v>
      </c>
      <c r="M78" s="65" t="n">
        <v>3.460000000000036</v>
      </c>
      <c r="N78" s="65" t="n">
        <v>6.480000000000018</v>
      </c>
      <c r="O78" s="65" t="n">
        <v>0</v>
      </c>
      <c r="P78" s="65" t="n">
        <v>35.2</v>
      </c>
      <c r="Q78" s="65" t="n">
        <v>37.78</v>
      </c>
      <c r="R78" s="58" t="inlineStr">
        <is>
          <t>-</t>
        </is>
      </c>
      <c r="S78" s="67" t="n">
        <v>0.1280893276953158</v>
      </c>
      <c r="T78" s="68" t="inlineStr">
        <is>
          <t>28/03/2025</t>
        </is>
      </c>
      <c r="U78" s="18" t="inlineStr">
        <is>
          <t>18:26:30</t>
        </is>
      </c>
      <c r="V78" s="69">
        <f>IFERROR(Tabela11[[#This Row],[Lucro]]*1/Tabela11[[#This Row],[Capital total]],"")</f>
        <v/>
      </c>
      <c r="W78" s="61">
        <f>Tabela11[[#This Row],[Lucro]]-C77</f>
        <v/>
      </c>
    </row>
    <row r="79">
      <c r="A79" s="64" t="n">
        <v>510.2660885490335</v>
      </c>
      <c r="B79" s="65" t="n">
        <v>492.3573107812633</v>
      </c>
      <c r="C79" s="65" t="n">
        <v>-17.90877776777025</v>
      </c>
      <c r="D79" s="65" t="n">
        <v>3.43</v>
      </c>
      <c r="E79" s="65" t="n">
        <v>1.25</v>
      </c>
      <c r="F79" s="65" t="n">
        <v>492.3573107812633</v>
      </c>
      <c r="G79" s="65" t="n">
        <v>20.52826</v>
      </c>
      <c r="H79" s="65" t="n">
        <v>108.3960885490334</v>
      </c>
      <c r="I79" s="65" t="n">
        <v>89.66000000000003</v>
      </c>
      <c r="J79" s="65" t="n">
        <v>125.0712222322298</v>
      </c>
      <c r="K79" s="65" t="n">
        <v>100.54</v>
      </c>
      <c r="L79" s="65" t="n">
        <v>5.910000000000025</v>
      </c>
      <c r="M79" s="65" t="n">
        <v>3.45999999999998</v>
      </c>
      <c r="N79" s="65" t="n">
        <v>6.480000000000018</v>
      </c>
      <c r="O79" s="65" t="n">
        <v>0</v>
      </c>
      <c r="P79" s="65" t="n">
        <v>35.2</v>
      </c>
      <c r="Q79" s="65" t="n">
        <v>37.78</v>
      </c>
      <c r="R79" s="58" t="inlineStr">
        <is>
          <t>-</t>
        </is>
      </c>
      <c r="S79" s="67" t="n">
        <v>0.1230893276953158</v>
      </c>
      <c r="T79" s="68" t="inlineStr">
        <is>
          <t>28/03/2025</t>
        </is>
      </c>
      <c r="U79" s="18" t="inlineStr">
        <is>
          <t>18:36:24</t>
        </is>
      </c>
      <c r="V79" s="69">
        <f>IFERROR(Tabela11[[#This Row],[Lucro]]*1/Tabela11[[#This Row],[Capital total]],"")</f>
        <v/>
      </c>
      <c r="W79" s="61">
        <f>Tabela11[[#This Row],[Lucro]]-C78</f>
        <v/>
      </c>
    </row>
    <row r="80">
      <c r="A80" s="64" t="n">
        <v>515.9380176148068</v>
      </c>
      <c r="B80" s="65" t="n">
        <v>313.0150080103291</v>
      </c>
      <c r="C80" s="65" t="n">
        <v>-202.9230096044777</v>
      </c>
      <c r="D80" s="65" t="n">
        <v>3.43</v>
      </c>
      <c r="E80" s="65" t="n">
        <v>1.25</v>
      </c>
      <c r="F80" s="65" t="n">
        <v>313.0150080103291</v>
      </c>
      <c r="G80" s="65" t="n">
        <v>209.29587483</v>
      </c>
      <c r="H80" s="65" t="n">
        <v>114.0680176148068</v>
      </c>
      <c r="I80" s="65" t="n">
        <v>89.13999999999999</v>
      </c>
      <c r="J80" s="65" t="n">
        <v>124.4869903955224</v>
      </c>
      <c r="K80" s="65" t="n">
        <v>100.87</v>
      </c>
      <c r="L80" s="65" t="n">
        <v>5.910000000000025</v>
      </c>
      <c r="M80" s="65" t="n">
        <v>3.45999999999998</v>
      </c>
      <c r="N80" s="65" t="n">
        <v>6.480000000000018</v>
      </c>
      <c r="O80" s="65" t="n">
        <v>0</v>
      </c>
      <c r="P80" s="65" t="n">
        <v>34.87</v>
      </c>
      <c r="Q80" s="65" t="n">
        <v>37.78</v>
      </c>
      <c r="R80" s="58" t="inlineStr">
        <is>
          <t>-</t>
        </is>
      </c>
      <c r="S80" s="67" t="n">
        <v>0.07825375200258228</v>
      </c>
      <c r="T80" s="68" t="inlineStr">
        <is>
          <t>31/03/2025</t>
        </is>
      </c>
      <c r="U80" s="18" t="inlineStr">
        <is>
          <t>12:20:03</t>
        </is>
      </c>
      <c r="V80" s="69">
        <f>IFERROR(Tabela11[[#This Row],[Lucro]]*1/Tabela11[[#This Row],[Capital total]],"")</f>
        <v/>
      </c>
      <c r="W80" s="61">
        <f>Tabela11[[#This Row],[Lucro]]-C79</f>
        <v/>
      </c>
    </row>
    <row r="81">
      <c r="A81" s="64" t="n">
        <v>515.9380176148068</v>
      </c>
      <c r="B81" s="65" t="n">
        <v>312.1981981901622</v>
      </c>
      <c r="C81" s="65" t="n">
        <v>-203.7398194246446</v>
      </c>
      <c r="D81" s="65" t="n">
        <v>3.43</v>
      </c>
      <c r="E81" s="65" t="n">
        <v>1.25</v>
      </c>
      <c r="F81" s="65" t="n">
        <v>312.1981981901622</v>
      </c>
      <c r="G81" s="66" t="inlineStr">
        <is>
          <t>-</t>
        </is>
      </c>
      <c r="H81" s="65" t="n">
        <v>114.0680176148068</v>
      </c>
      <c r="I81" s="65" t="n">
        <v>88.78999999999996</v>
      </c>
      <c r="J81" s="65" t="n">
        <v>123.8701805753554</v>
      </c>
      <c r="K81" s="65" t="n">
        <v>100.76</v>
      </c>
      <c r="L81" s="65" t="n">
        <v>5.910000000000025</v>
      </c>
      <c r="M81" s="65" t="n">
        <v>3.45999999999998</v>
      </c>
      <c r="N81" s="65" t="n">
        <v>6.480000000000018</v>
      </c>
      <c r="O81" s="65" t="n">
        <v>0</v>
      </c>
      <c r="P81" s="65" t="n">
        <v>35.17</v>
      </c>
      <c r="Q81" s="65" t="n">
        <v>37.78</v>
      </c>
      <c r="R81" s="58" t="inlineStr">
        <is>
          <t>-</t>
        </is>
      </c>
      <c r="S81" s="67" t="n">
        <v>0.07804954954754055</v>
      </c>
      <c r="T81" s="68" t="inlineStr">
        <is>
          <t>31/03/2025</t>
        </is>
      </c>
      <c r="U81" s="18" t="inlineStr">
        <is>
          <t>18:10:44</t>
        </is>
      </c>
      <c r="V81" s="69">
        <f>IFERROR(Tabela11[[#This Row],[Lucro]]*1/Tabela11[[#This Row],[Capital total]],"")</f>
        <v/>
      </c>
      <c r="W81" s="61">
        <f>Tabela11[[#This Row],[Lucro]]-C80</f>
        <v/>
      </c>
    </row>
    <row r="82">
      <c r="A82" s="64" t="n">
        <v>517.8688831426193</v>
      </c>
      <c r="B82" s="65" t="n">
        <v>311.6934251594657</v>
      </c>
      <c r="C82" s="65" t="n">
        <v>-206.1754579831536</v>
      </c>
      <c r="D82" s="65" t="n">
        <v>3.43</v>
      </c>
      <c r="E82" s="65" t="n">
        <v>1.25</v>
      </c>
      <c r="F82" s="65" t="n">
        <v>311.6934251594657</v>
      </c>
      <c r="G82" s="66" t="inlineStr">
        <is>
          <t>-</t>
        </is>
      </c>
      <c r="H82" s="65" t="n">
        <v>115.9988831426193</v>
      </c>
      <c r="I82" s="65" t="n">
        <v>88.46999999999997</v>
      </c>
      <c r="J82" s="65" t="n">
        <v>123.3945420168464</v>
      </c>
      <c r="K82" s="65" t="n">
        <v>99.55000000000001</v>
      </c>
      <c r="L82" s="65" t="n">
        <v>5.910000000000025</v>
      </c>
      <c r="M82" s="65" t="n">
        <v>3.45999999999998</v>
      </c>
      <c r="N82" s="65" t="n">
        <v>6.480000000000018</v>
      </c>
      <c r="O82" s="65" t="n">
        <v>0</v>
      </c>
      <c r="P82" s="65" t="n">
        <v>34.95</v>
      </c>
      <c r="Q82" s="65" t="n">
        <v>37.78</v>
      </c>
      <c r="R82" s="58" t="inlineStr">
        <is>
          <t>-</t>
        </is>
      </c>
      <c r="S82" s="67" t="n">
        <v>0.07792335628986644</v>
      </c>
      <c r="T82" s="68" t="inlineStr">
        <is>
          <t>01/04/2025</t>
        </is>
      </c>
      <c r="U82" s="18" t="inlineStr">
        <is>
          <t>18:19:51</t>
        </is>
      </c>
      <c r="V82" s="69">
        <f>IFERROR(Tabela11[[#This Row],[Lucro]]*1/Tabela11[[#This Row],[Capital total]],"")</f>
        <v/>
      </c>
      <c r="W82" s="61">
        <f>Tabela11[[#This Row],[Lucro]]-C81</f>
        <v/>
      </c>
    </row>
    <row r="83">
      <c r="A83" s="64" t="n">
        <v>524.8602158450266</v>
      </c>
      <c r="B83" s="65" t="n">
        <v>319.6807437749462</v>
      </c>
      <c r="C83" s="65" t="n">
        <v>-205.1794720700804</v>
      </c>
      <c r="D83" s="65" t="n">
        <v>3.43</v>
      </c>
      <c r="E83" s="65" t="n">
        <v>1.25</v>
      </c>
      <c r="F83" s="65" t="n">
        <v>319.6807437749462</v>
      </c>
      <c r="G83" s="66" t="inlineStr">
        <is>
          <t>-</t>
        </is>
      </c>
      <c r="H83" s="65" t="n">
        <v>117.9502158450265</v>
      </c>
      <c r="I83" s="65" t="n">
        <v>93.31</v>
      </c>
      <c r="J83" s="65" t="n">
        <v>123.0405279299196</v>
      </c>
      <c r="K83" s="65" t="n">
        <v>99.88</v>
      </c>
      <c r="L83" s="65" t="n">
        <v>5.910000000000025</v>
      </c>
      <c r="M83" s="65" t="n">
        <v>3.45999999999998</v>
      </c>
      <c r="N83" s="65" t="n">
        <v>6.480000000000018</v>
      </c>
      <c r="O83" s="65" t="n">
        <v>0</v>
      </c>
      <c r="P83" s="65" t="n">
        <v>35.1</v>
      </c>
      <c r="Q83" s="65" t="n">
        <v>38.19</v>
      </c>
      <c r="R83" s="58" t="inlineStr">
        <is>
          <t>-</t>
        </is>
      </c>
      <c r="S83" s="67" t="n">
        <v>0.07992018594373654</v>
      </c>
      <c r="T83" s="68" t="inlineStr">
        <is>
          <t>02/04/2025</t>
        </is>
      </c>
      <c r="U83" s="18" t="inlineStr">
        <is>
          <t>20:46:31</t>
        </is>
      </c>
      <c r="V83" s="69">
        <f>IFERROR(Tabela11[[#This Row],[Lucro]]*1/Tabela11[[#This Row],[Capital total]],"")</f>
        <v/>
      </c>
      <c r="W83" s="61">
        <f>Tabela11[[#This Row],[Lucro]]-C82</f>
        <v/>
      </c>
    </row>
    <row r="84">
      <c r="A84" s="64" t="n">
        <v>527.1922326740794</v>
      </c>
      <c r="B84" s="65" t="n">
        <v>319.3238731023256</v>
      </c>
      <c r="C84" s="65" t="n">
        <v>-207.8683595717538</v>
      </c>
      <c r="D84" s="65" t="n">
        <v>3.43</v>
      </c>
      <c r="E84" s="65" t="n">
        <v>1.25</v>
      </c>
      <c r="F84" s="65" t="n">
        <v>319.3238731023256</v>
      </c>
      <c r="G84" s="66" t="inlineStr">
        <is>
          <t>-</t>
        </is>
      </c>
      <c r="H84" s="65" t="n">
        <v>119.9222326740794</v>
      </c>
      <c r="I84" s="65" t="n">
        <v>92.86000000000001</v>
      </c>
      <c r="J84" s="65" t="n">
        <v>122.3216404282462</v>
      </c>
      <c r="K84" s="65" t="n">
        <v>99.22000000000003</v>
      </c>
      <c r="L84" s="65" t="n">
        <v>5.910000000000025</v>
      </c>
      <c r="M84" s="65" t="n">
        <v>3.45999999999998</v>
      </c>
      <c r="N84" s="65" t="n">
        <v>6.480000000000018</v>
      </c>
      <c r="O84" s="65" t="n">
        <v>0</v>
      </c>
      <c r="P84" s="65" t="n">
        <v>33.75</v>
      </c>
      <c r="Q84" s="65" t="n">
        <v>38.55</v>
      </c>
      <c r="R84" s="58" t="inlineStr">
        <is>
          <t>-</t>
        </is>
      </c>
      <c r="S84" s="67" t="n">
        <v>0.07983096827558139</v>
      </c>
      <c r="T84" s="68" t="inlineStr">
        <is>
          <t>03/04/2025</t>
        </is>
      </c>
      <c r="U84" s="18" t="inlineStr">
        <is>
          <t>19:46:18</t>
        </is>
      </c>
      <c r="V84" s="69">
        <f>IFERROR(Tabela11[[#This Row],[Lucro]]*1/Tabela11[[#This Row],[Capital total]],"")</f>
        <v/>
      </c>
      <c r="W84" s="61">
        <f>Tabela11[[#This Row],[Lucro]]-C83</f>
        <v/>
      </c>
    </row>
    <row r="85">
      <c r="A85" s="64" t="n">
        <v>820.7351528815202</v>
      </c>
      <c r="B85" s="65" t="n">
        <v>816.9362960365066</v>
      </c>
      <c r="C85" s="65" t="n">
        <v>-3.798856845013606</v>
      </c>
      <c r="D85" s="65" t="n">
        <v>4.8</v>
      </c>
      <c r="E85" s="65" t="n">
        <v>1.37</v>
      </c>
      <c r="F85" s="65" t="n">
        <v>816.9362960365066</v>
      </c>
      <c r="G85" s="66" t="inlineStr">
        <is>
          <t>-</t>
        </is>
      </c>
      <c r="H85" s="65" t="n">
        <v>121.9151528815202</v>
      </c>
      <c r="I85" s="65" t="n">
        <v>142.87</v>
      </c>
      <c r="J85" s="65" t="n">
        <v>175.3211431549864</v>
      </c>
      <c r="K85" s="65" t="n">
        <v>185.63</v>
      </c>
      <c r="L85" s="65" t="n">
        <v>5.909999999999968</v>
      </c>
      <c r="M85" s="65" t="n">
        <v>5.049999999999955</v>
      </c>
      <c r="N85" s="65" t="n">
        <v>6.480000000000018</v>
      </c>
      <c r="O85" s="65" t="n">
        <v>0</v>
      </c>
      <c r="P85" s="65" t="n">
        <v>32.88</v>
      </c>
      <c r="Q85" s="65" t="n">
        <v>38.55</v>
      </c>
      <c r="R85" s="58" t="inlineStr">
        <is>
          <t>-</t>
        </is>
      </c>
      <c r="S85" s="67" t="n">
        <v>0.2042340740091267</v>
      </c>
      <c r="T85" s="68" t="inlineStr">
        <is>
          <t>04/04/2025</t>
        </is>
      </c>
      <c r="U85" s="18" t="inlineStr">
        <is>
          <t>21:38:56</t>
        </is>
      </c>
      <c r="V85" s="69">
        <f>IFERROR(Tabela11[[#This Row],[Lucro]]*1/Tabela11[[#This Row],[Capital total]],"")</f>
        <v/>
      </c>
      <c r="W85" s="61">
        <f>Tabela11[[#This Row],[Lucro]]-C84</f>
        <v/>
      </c>
    </row>
    <row r="86">
      <c r="A86" s="64" t="n">
        <v>820.7351528815202</v>
      </c>
      <c r="B86" s="65" t="n">
        <v>642.3722971119948</v>
      </c>
      <c r="C86" s="65" t="n">
        <v>-178.3628557695253</v>
      </c>
      <c r="D86" s="65" t="n">
        <v>4.8</v>
      </c>
      <c r="E86" s="65" t="n">
        <v>1.37</v>
      </c>
      <c r="F86" s="65" t="n">
        <v>642.3722971119948</v>
      </c>
      <c r="G86" s="65" t="n">
        <v>179.2359987</v>
      </c>
      <c r="H86" s="65" t="n">
        <v>121.9151528815202</v>
      </c>
      <c r="I86" s="65" t="n">
        <v>142.87</v>
      </c>
      <c r="J86" s="65" t="n">
        <v>175.2971442304747</v>
      </c>
      <c r="K86" s="65" t="n">
        <v>185.63</v>
      </c>
      <c r="L86" s="65" t="n">
        <v>5.909999999999968</v>
      </c>
      <c r="M86" s="65" t="n">
        <v>5.049999999999955</v>
      </c>
      <c r="N86" s="65" t="n">
        <v>6.480000000000018</v>
      </c>
      <c r="O86" s="65" t="n">
        <v>0</v>
      </c>
      <c r="P86" s="65" t="n">
        <v>32.88</v>
      </c>
      <c r="Q86" s="65" t="n">
        <v>38.55</v>
      </c>
      <c r="R86" s="58" t="inlineStr">
        <is>
          <t>-</t>
        </is>
      </c>
      <c r="S86" s="67" t="n">
        <v>0.1605930742779987</v>
      </c>
      <c r="T86" s="68" t="inlineStr">
        <is>
          <t>06/04/2025</t>
        </is>
      </c>
      <c r="U86" s="18" t="inlineStr">
        <is>
          <t>21:06:07</t>
        </is>
      </c>
      <c r="V86" s="69">
        <f>IFERROR(Tabela11[[#This Row],[Lucro]]*1/Tabela11[[#This Row],[Capital total]],"")</f>
        <v/>
      </c>
      <c r="W86" s="61">
        <f>Tabela11[[#This Row],[Lucro]]-C85</f>
        <v/>
      </c>
    </row>
    <row r="87">
      <c r="A87" s="64" t="n">
        <v>820.8851528815203</v>
      </c>
      <c r="B87" s="65" t="n">
        <v>642.672297111995</v>
      </c>
      <c r="C87" s="65" t="n">
        <v>-178.2128557695253</v>
      </c>
      <c r="D87" s="65" t="n">
        <v>4.8</v>
      </c>
      <c r="E87" s="65" t="n">
        <v>1.37</v>
      </c>
      <c r="F87" s="65" t="n">
        <v>642.672297111995</v>
      </c>
      <c r="G87" s="65" t="n">
        <v>179.2359987</v>
      </c>
      <c r="H87" s="65" t="n">
        <v>121.9151528815202</v>
      </c>
      <c r="I87" s="65" t="n">
        <v>142.87</v>
      </c>
      <c r="J87" s="65" t="n">
        <v>175.2971442304747</v>
      </c>
      <c r="K87" s="65" t="n">
        <v>185.63</v>
      </c>
      <c r="L87" s="65" t="n">
        <v>5.909999999999968</v>
      </c>
      <c r="M87" s="65" t="n">
        <v>5.049999999999955</v>
      </c>
      <c r="N87" s="65" t="n">
        <v>6.480000000000018</v>
      </c>
      <c r="O87" s="65" t="n">
        <v>0</v>
      </c>
      <c r="P87" s="65" t="n">
        <v>32.88</v>
      </c>
      <c r="Q87" s="65" t="n">
        <v>38.7</v>
      </c>
      <c r="R87" s="58" t="inlineStr">
        <is>
          <t>-</t>
        </is>
      </c>
      <c r="S87" s="67" t="n">
        <v>0.1606680742779988</v>
      </c>
      <c r="T87" s="68" t="inlineStr">
        <is>
          <t>06/04/2025</t>
        </is>
      </c>
      <c r="U87" s="18" t="inlineStr">
        <is>
          <t>21:10:31</t>
        </is>
      </c>
      <c r="V87" s="69">
        <f>IFERROR(Tabela11[[#This Row],[Lucro]]*1/Tabela11[[#This Row],[Capital total]],"")</f>
        <v/>
      </c>
      <c r="W87" s="61">
        <f>Tabela11[[#This Row],[Lucro]]-C86</f>
        <v/>
      </c>
    </row>
    <row r="88">
      <c r="A88" s="64" t="n">
        <v>820.8851528815203</v>
      </c>
      <c r="B88" s="65" t="n">
        <v>641.2472009902322</v>
      </c>
      <c r="C88" s="65" t="n">
        <v>-179.6379518912881</v>
      </c>
      <c r="D88" s="65" t="n">
        <v>4.8</v>
      </c>
      <c r="E88" s="65" t="n">
        <v>1.37</v>
      </c>
      <c r="F88" s="65" t="n">
        <v>641.2472009902322</v>
      </c>
      <c r="G88" s="65" t="n">
        <v>179.24</v>
      </c>
      <c r="H88" s="65" t="n">
        <v>121.9151528815202</v>
      </c>
      <c r="I88" s="65" t="n">
        <v>140.0599999999999</v>
      </c>
      <c r="J88" s="65" t="n">
        <v>177.4420481087119</v>
      </c>
      <c r="K88" s="65" t="n">
        <v>185.02</v>
      </c>
      <c r="L88" s="65" t="n">
        <v>5.909999999999968</v>
      </c>
      <c r="M88" s="65" t="n">
        <v>5.049999999999955</v>
      </c>
      <c r="N88" s="65" t="n">
        <v>6.480000000000018</v>
      </c>
      <c r="O88" s="65" t="n">
        <v>0</v>
      </c>
      <c r="P88" s="65" t="n">
        <v>32.86</v>
      </c>
      <c r="Q88" s="65" t="n">
        <v>38.7</v>
      </c>
      <c r="R88" s="58" t="inlineStr">
        <is>
          <t>-</t>
        </is>
      </c>
      <c r="S88" s="67" t="n">
        <v>0.160311800247558</v>
      </c>
      <c r="T88" s="68" t="inlineStr">
        <is>
          <t>07/04/2025</t>
        </is>
      </c>
      <c r="U88" s="18" t="inlineStr">
        <is>
          <t>19:39:54</t>
        </is>
      </c>
      <c r="V88" s="69">
        <f>IFERROR(Tabela11[[#This Row],[Lucro]]*1/Tabela11[[#This Row],[Capital total]],"")</f>
        <v/>
      </c>
      <c r="W88" s="61">
        <f>Tabela11[[#This Row],[Lucro]]-C87</f>
        <v/>
      </c>
    </row>
    <row r="89">
      <c r="A89" s="56" t="n">
        <v>820.8851528815203</v>
      </c>
      <c r="B89" s="57" t="n">
        <v>641.2472009902322</v>
      </c>
      <c r="C89" s="57" t="n">
        <v>-179.6379518912881</v>
      </c>
      <c r="D89" s="57" t="n">
        <v>4.8</v>
      </c>
      <c r="E89" s="57" t="n">
        <v>1.37</v>
      </c>
      <c r="F89" s="57" t="n">
        <v>641.2472009902322</v>
      </c>
      <c r="G89" s="57" t="n">
        <v>0</v>
      </c>
      <c r="H89" s="57" t="n">
        <v>121.9151528815202</v>
      </c>
      <c r="I89" s="57" t="n">
        <v>140.0599999999999</v>
      </c>
      <c r="J89" s="57" t="n">
        <v>177.4420481087119</v>
      </c>
      <c r="K89" s="57" t="n">
        <v>185.02</v>
      </c>
      <c r="L89" s="57" t="n">
        <v>5.909999999999968</v>
      </c>
      <c r="M89" s="57" t="n">
        <v>5.049999999999955</v>
      </c>
      <c r="N89" s="57" t="n">
        <v>6.480000000000018</v>
      </c>
      <c r="O89" s="57" t="n">
        <v>0</v>
      </c>
      <c r="P89" s="57" t="n">
        <v>32.86</v>
      </c>
      <c r="Q89" s="57" t="n">
        <v>38.7</v>
      </c>
      <c r="R89" s="58" t="inlineStr">
        <is>
          <t>-</t>
        </is>
      </c>
      <c r="S89" s="59" t="n">
        <v>0.160311800247558</v>
      </c>
      <c r="T89" s="70" t="inlineStr">
        <is>
          <t>07/04/2025</t>
        </is>
      </c>
      <c r="U89" s="15" t="inlineStr">
        <is>
          <t>20:09:19</t>
        </is>
      </c>
      <c r="V89" s="60">
        <f>IFERROR(Tabela11[[#This Row],[Lucro]]*1/Tabela11[[#This Row],[Capital total]],"")</f>
        <v/>
      </c>
      <c r="W89" s="61">
        <f>Tabela11[[#This Row],[Lucro]]-C88</f>
        <v/>
      </c>
    </row>
    <row r="90">
      <c r="A90" s="64" t="n">
        <v>820.8851528815203</v>
      </c>
      <c r="B90" s="65" t="n">
        <v>638.4110668230724</v>
      </c>
      <c r="C90" s="65" t="n">
        <v>-182.474086058448</v>
      </c>
      <c r="D90" s="65" t="n">
        <v>4.8</v>
      </c>
      <c r="E90" s="65" t="n">
        <v>1.37</v>
      </c>
      <c r="F90" s="65" t="n">
        <v>638.4110668230724</v>
      </c>
      <c r="G90" s="57" t="n">
        <v>0</v>
      </c>
      <c r="H90" s="65" t="n">
        <v>121.9151528815202</v>
      </c>
      <c r="I90" s="65" t="n">
        <v>134.84</v>
      </c>
      <c r="J90" s="65" t="n">
        <v>180.435913941552</v>
      </c>
      <c r="K90" s="65" t="n">
        <v>184.61</v>
      </c>
      <c r="L90" s="65" t="n">
        <v>5.909999999999968</v>
      </c>
      <c r="M90" s="65" t="n">
        <v>5.049999999999955</v>
      </c>
      <c r="N90" s="65" t="n">
        <v>6.480000000000018</v>
      </c>
      <c r="O90" s="65" t="n">
        <v>0</v>
      </c>
      <c r="P90" s="65" t="n">
        <v>32.9</v>
      </c>
      <c r="Q90" s="65" t="n">
        <v>38.7</v>
      </c>
      <c r="R90" s="58" t="inlineStr">
        <is>
          <t>-</t>
        </is>
      </c>
      <c r="S90" s="67" t="n">
        <v>0.1596027667057681</v>
      </c>
      <c r="T90" s="68" t="inlineStr">
        <is>
          <t>09/04/2025</t>
        </is>
      </c>
      <c r="U90" s="18" t="inlineStr">
        <is>
          <t>06:19:13</t>
        </is>
      </c>
      <c r="V90" s="69">
        <f>IFERROR(Tabela11[[#This Row],[Lucro]]*1/Tabela11[[#This Row],[Capital total]],"")</f>
        <v/>
      </c>
      <c r="W90" s="61">
        <f>Tabela11[[#This Row],[Lucro]]-C89</f>
        <v/>
      </c>
    </row>
    <row r="91">
      <c r="A91" s="64" t="n">
        <v>821.0351528815202</v>
      </c>
      <c r="B91" s="65" t="n">
        <v>642.9183304521308</v>
      </c>
      <c r="C91" s="65" t="n">
        <v>-178.1168224293894</v>
      </c>
      <c r="D91" s="65" t="n">
        <v>4.8</v>
      </c>
      <c r="E91" s="65" t="n">
        <v>1.37</v>
      </c>
      <c r="F91" s="65" t="n">
        <v>642.9183304521308</v>
      </c>
      <c r="G91" s="57" t="n">
        <v>0</v>
      </c>
      <c r="H91" s="65" t="n">
        <v>122.0651528815201</v>
      </c>
      <c r="I91" s="65" t="n">
        <v>140.89</v>
      </c>
      <c r="J91" s="65" t="n">
        <v>174.5531775706106</v>
      </c>
      <c r="K91" s="65" t="n">
        <v>185.22</v>
      </c>
      <c r="L91" s="65" t="n">
        <v>5.909999999999968</v>
      </c>
      <c r="M91" s="65" t="n">
        <v>5.049999999999955</v>
      </c>
      <c r="N91" s="65" t="n">
        <v>6.480000000000018</v>
      </c>
      <c r="O91" s="65" t="n">
        <v>0</v>
      </c>
      <c r="P91" s="65" t="n">
        <v>34.46</v>
      </c>
      <c r="Q91" s="65" t="n">
        <v>38.7</v>
      </c>
      <c r="R91" s="58" t="inlineStr">
        <is>
          <t>-</t>
        </is>
      </c>
      <c r="S91" s="67" t="n">
        <v>0.1607295826130327</v>
      </c>
      <c r="T91" s="68" t="inlineStr">
        <is>
          <t>09/04/2025</t>
        </is>
      </c>
      <c r="U91" s="18" t="inlineStr">
        <is>
          <t>22:31:14</t>
        </is>
      </c>
      <c r="V91" s="69">
        <f>IFERROR(Tabela11[[#This Row],[Lucro]]*1/Tabela11[[#This Row],[Capital total]],"")</f>
        <v/>
      </c>
      <c r="W91" s="61">
        <f>Tabela11[[#This Row],[Lucro]]-C90</f>
        <v/>
      </c>
    </row>
    <row r="92">
      <c r="A92" s="64" t="n">
        <v>820.6651528815203</v>
      </c>
      <c r="B92" s="65" t="n">
        <v>646.3762409177336</v>
      </c>
      <c r="C92" s="65" t="n">
        <v>-174.2889119637866</v>
      </c>
      <c r="D92" s="65" t="n">
        <v>4.8</v>
      </c>
      <c r="E92" s="65" t="n">
        <v>1.37</v>
      </c>
      <c r="F92" s="65" t="n">
        <v>646.3762409177336</v>
      </c>
      <c r="G92" s="57" t="n">
        <v>0</v>
      </c>
      <c r="H92" s="65" t="n">
        <v>122.1351528815202</v>
      </c>
      <c r="I92" s="65" t="n">
        <v>139.46</v>
      </c>
      <c r="J92" s="65" t="n">
        <v>176.5510880362134</v>
      </c>
      <c r="K92" s="65" t="n">
        <v>184.41</v>
      </c>
      <c r="L92" s="65" t="n">
        <v>5.909999999999968</v>
      </c>
      <c r="M92" s="65" t="n">
        <v>5.049999999999955</v>
      </c>
      <c r="N92" s="65" t="n">
        <v>6.480000000000018</v>
      </c>
      <c r="O92" s="65" t="n">
        <v>0</v>
      </c>
      <c r="P92" s="65" t="n">
        <v>33.93</v>
      </c>
      <c r="Q92" s="65" t="n">
        <v>38.26000000000001</v>
      </c>
      <c r="R92" s="58" t="inlineStr">
        <is>
          <t>-</t>
        </is>
      </c>
      <c r="S92" s="67" t="n">
        <v>0.1615940602294334</v>
      </c>
      <c r="T92" s="68" t="inlineStr">
        <is>
          <t>10/04/2025</t>
        </is>
      </c>
      <c r="U92" s="18" t="inlineStr">
        <is>
          <t>18:28:23</t>
        </is>
      </c>
      <c r="V92" s="69">
        <f>IFERROR(Tabela11[[#This Row],[Lucro]]*1/Tabela11[[#This Row],[Capital total]],"")</f>
        <v/>
      </c>
      <c r="W92" s="61">
        <f>Tabela11[[#This Row],[Lucro]]-C91</f>
        <v/>
      </c>
    </row>
    <row r="93">
      <c r="A93" s="64" t="n">
        <v>820.7251528815202</v>
      </c>
      <c r="B93" s="65" t="n">
        <v>633.9562409177336</v>
      </c>
      <c r="C93" s="65" t="n">
        <v>-186.7689119637866</v>
      </c>
      <c r="D93" s="65" t="n">
        <v>4.8</v>
      </c>
      <c r="E93" s="65" t="n">
        <v>1.37</v>
      </c>
      <c r="F93" s="65" t="n">
        <v>633.9562409177336</v>
      </c>
      <c r="G93" s="65" t="n">
        <v>192.1133874</v>
      </c>
      <c r="H93" s="65" t="n">
        <v>122.1351528815202</v>
      </c>
      <c r="I93" s="65" t="n">
        <v>139.46</v>
      </c>
      <c r="J93" s="65" t="n">
        <v>176.5510880362134</v>
      </c>
      <c r="K93" s="65" t="n">
        <v>184.41</v>
      </c>
      <c r="L93" s="65" t="n">
        <v>5.909999999999968</v>
      </c>
      <c r="M93" s="65" t="n">
        <v>5.049999999999955</v>
      </c>
      <c r="N93" s="65" t="n">
        <v>6.539999999999964</v>
      </c>
      <c r="O93" s="65" t="n">
        <v>0</v>
      </c>
      <c r="P93" s="65" t="n">
        <v>33.93</v>
      </c>
      <c r="Q93" s="65" t="n">
        <v>38.26000000000001</v>
      </c>
      <c r="R93" s="58" t="inlineStr">
        <is>
          <t>-</t>
        </is>
      </c>
      <c r="S93" s="67" t="n">
        <v>0.1584890602294334</v>
      </c>
      <c r="T93" s="68" t="inlineStr">
        <is>
          <t>10/04/2025</t>
        </is>
      </c>
      <c r="U93" s="18" t="inlineStr">
        <is>
          <t>21:47:13</t>
        </is>
      </c>
      <c r="V93" s="69">
        <f>IFERROR(Tabela11[[#This Row],[Lucro]]*1/Tabela11[[#This Row],[Capital total]],"")</f>
        <v/>
      </c>
      <c r="W93" s="61">
        <f>Tabela11[[#This Row],[Lucro]]-C92</f>
        <v/>
      </c>
    </row>
    <row r="94">
      <c r="A94" s="64" t="n">
        <v>821.1451528815202</v>
      </c>
      <c r="B94" s="65" t="n">
        <v>637.0412671327598</v>
      </c>
      <c r="C94" s="65" t="n">
        <v>-184.1038857487604</v>
      </c>
      <c r="D94" s="65" t="n">
        <v>4.8</v>
      </c>
      <c r="E94" s="65" t="n">
        <v>1.37</v>
      </c>
      <c r="F94" s="65" t="n">
        <v>637.0412671327598</v>
      </c>
      <c r="G94" s="65" t="inlineStr">
        <is>
          <t>-</t>
        </is>
      </c>
      <c r="H94" s="65" t="n">
        <v>122.1951528815201</v>
      </c>
      <c r="I94" s="65" t="n">
        <v>141.4299999999999</v>
      </c>
      <c r="J94" s="65" t="n">
        <v>175.9661142512396</v>
      </c>
      <c r="K94" s="65" t="n">
        <v>184.4</v>
      </c>
      <c r="L94" s="65" t="n">
        <v>5.909999999999968</v>
      </c>
      <c r="M94" s="65" t="n">
        <v>5.049999999999955</v>
      </c>
      <c r="N94" s="65" t="n">
        <v>6.539999999999964</v>
      </c>
      <c r="O94" s="65" t="n">
        <v>0</v>
      </c>
      <c r="P94" s="65" t="n">
        <v>34.04</v>
      </c>
      <c r="Q94" s="65" t="n">
        <v>38.62</v>
      </c>
      <c r="R94" s="58" t="inlineStr">
        <is>
          <t>-</t>
        </is>
      </c>
      <c r="S94" s="67" t="n">
        <v>0.1592603167831899</v>
      </c>
      <c r="T94" s="68" t="inlineStr">
        <is>
          <t>11/04/2025</t>
        </is>
      </c>
      <c r="U94" s="18" t="inlineStr">
        <is>
          <t>21:38:15</t>
        </is>
      </c>
      <c r="V94" s="69">
        <f>IFERROR(Tabela11[[#This Row],[Lucro]]*1/Tabela11[[#This Row],[Capital total]],"")</f>
        <v/>
      </c>
      <c r="W94" s="61">
        <f>Tabela11[[#This Row],[Lucro]]-C93</f>
        <v/>
      </c>
    </row>
    <row r="95">
      <c r="A95" s="64" t="n">
        <v>821.1451528815202</v>
      </c>
      <c r="B95" s="65" t="n">
        <v>514.8412671327596</v>
      </c>
      <c r="C95" s="65" t="n">
        <v>-306.3038857487605</v>
      </c>
      <c r="D95" s="65" t="n">
        <v>4.8</v>
      </c>
      <c r="E95" s="65" t="n">
        <v>1.37</v>
      </c>
      <c r="F95" s="65" t="n">
        <v>514.8412671327596</v>
      </c>
      <c r="G95" s="65" t="n">
        <v>317.6</v>
      </c>
      <c r="H95" s="65" t="n">
        <v>122.1951528815201</v>
      </c>
      <c r="I95" s="65" t="n">
        <v>141.4300000000001</v>
      </c>
      <c r="J95" s="65" t="n">
        <v>175.9661142512396</v>
      </c>
      <c r="K95" s="65" t="n">
        <v>184.4</v>
      </c>
      <c r="L95" s="65" t="n">
        <v>5.909999999999968</v>
      </c>
      <c r="M95" s="65" t="n">
        <v>5.049999999999955</v>
      </c>
      <c r="N95" s="65" t="n">
        <v>6.539999999999964</v>
      </c>
      <c r="O95" s="65" t="n">
        <v>0</v>
      </c>
      <c r="P95" s="65" t="n">
        <v>34.04</v>
      </c>
      <c r="Q95" s="65" t="n">
        <v>38.62</v>
      </c>
      <c r="R95" s="58" t="inlineStr">
        <is>
          <t>-</t>
        </is>
      </c>
      <c r="S95" s="67" t="n">
        <v>0.1287103167831899</v>
      </c>
      <c r="T95" s="68" t="inlineStr">
        <is>
          <t>11/04/2025</t>
        </is>
      </c>
      <c r="U95" s="18" t="inlineStr">
        <is>
          <t>21:43:29</t>
        </is>
      </c>
      <c r="V95" s="69">
        <f>IFERROR(Tabela11[[#This Row],[Lucro]]*1/Tabela11[[#This Row],[Capital total]],"")</f>
        <v/>
      </c>
      <c r="W95" s="61">
        <f>Tabela11[[#This Row],[Lucro]]-C94</f>
        <v/>
      </c>
    </row>
    <row r="96">
      <c r="A96" s="64" t="n">
        <v>821.1451528815202</v>
      </c>
      <c r="B96" s="65" t="n">
        <v>514.8412671327596</v>
      </c>
      <c r="C96" s="65" t="n">
        <v>-306.3038857487605</v>
      </c>
      <c r="D96" s="65" t="n">
        <v>4.8</v>
      </c>
      <c r="E96" s="65" t="n">
        <v>1.37</v>
      </c>
      <c r="F96" s="65" t="n">
        <v>514.8412671327596</v>
      </c>
      <c r="G96" s="65" t="n">
        <v>0</v>
      </c>
      <c r="H96" s="65" t="n">
        <v>122.1951528815201</v>
      </c>
      <c r="I96" s="65" t="n">
        <v>141.4300000000001</v>
      </c>
      <c r="J96" s="65" t="n">
        <v>175.9661142512396</v>
      </c>
      <c r="K96" s="65" t="n">
        <v>184.4</v>
      </c>
      <c r="L96" s="65" t="n">
        <v>5.909999999999968</v>
      </c>
      <c r="M96" s="65" t="n">
        <v>5.049999999999955</v>
      </c>
      <c r="N96" s="65" t="n">
        <v>6.539999999999964</v>
      </c>
      <c r="O96" s="65" t="n">
        <v>0</v>
      </c>
      <c r="P96" s="65" t="n">
        <v>34.04</v>
      </c>
      <c r="Q96" s="65" t="n">
        <v>38.62</v>
      </c>
      <c r="R96" s="66" t="inlineStr">
        <is>
          <t>-</t>
        </is>
      </c>
      <c r="S96" s="67" t="n">
        <v>0.1287103167831899</v>
      </c>
      <c r="T96" s="68" t="inlineStr">
        <is>
          <t>12/04/2025</t>
        </is>
      </c>
      <c r="U96" s="18" t="inlineStr">
        <is>
          <t>17:02:29</t>
        </is>
      </c>
      <c r="V96" s="69">
        <f>IFERROR(Tabela11[[#This Row],[Lucro]]*1/Tabela11[[#This Row],[Capital total]],"")</f>
        <v/>
      </c>
      <c r="W96" s="61">
        <f>Tabela11[[#This Row],[Lucro]]-C95</f>
        <v/>
      </c>
    </row>
    <row r="97">
      <c r="A97" s="64" t="n">
        <v>821.1451528815202</v>
      </c>
      <c r="B97" s="65" t="n">
        <v>514.8412671327596</v>
      </c>
      <c r="C97" s="65" t="n">
        <v>-306.3038857487605</v>
      </c>
      <c r="D97" s="65" t="n">
        <v>4.8</v>
      </c>
      <c r="E97" s="65" t="n">
        <v>1.37</v>
      </c>
      <c r="F97" s="65" t="n">
        <v>514.8412671327596</v>
      </c>
      <c r="G97" s="65" t="n">
        <v>0</v>
      </c>
      <c r="H97" s="65" t="n">
        <v>122.1951528815201</v>
      </c>
      <c r="I97" s="65" t="n">
        <v>141.4300000000001</v>
      </c>
      <c r="J97" s="65" t="n">
        <v>175.9661142512396</v>
      </c>
      <c r="K97" s="65" t="n">
        <v>184.4</v>
      </c>
      <c r="L97" s="65" t="n">
        <v>5.909999999999968</v>
      </c>
      <c r="M97" s="65" t="n">
        <v>5.049999999999955</v>
      </c>
      <c r="N97" s="65" t="n">
        <v>6.539999999999964</v>
      </c>
      <c r="O97" s="65" t="n">
        <v>0</v>
      </c>
      <c r="P97" s="65" t="n">
        <v>34.04</v>
      </c>
      <c r="Q97" s="65" t="n">
        <v>38.62</v>
      </c>
      <c r="R97" s="65" t="n">
        <v>109.43</v>
      </c>
      <c r="S97" s="67" t="n">
        <v>0.1287103167831899</v>
      </c>
      <c r="T97" s="68" t="inlineStr">
        <is>
          <t>12/04/2025</t>
        </is>
      </c>
      <c r="U97" s="18" t="inlineStr">
        <is>
          <t>17:04:25</t>
        </is>
      </c>
      <c r="V97" s="69">
        <f>IFERROR(Tabela11[[#This Row],[Lucro]]*1/Tabela11[[#This Row],[Capital total]],"")</f>
        <v/>
      </c>
      <c r="W97" s="61">
        <f>Tabela11[[#This Row],[Lucro]]-C96</f>
        <v/>
      </c>
    </row>
    <row r="98">
      <c r="A98" s="64" t="n">
        <v>822.2351528815202</v>
      </c>
      <c r="B98" s="65" t="n">
        <v>520.0992394389373</v>
      </c>
      <c r="C98" s="65" t="n">
        <v>-302.1359134425829</v>
      </c>
      <c r="D98" s="65" t="n">
        <v>4.8</v>
      </c>
      <c r="E98" s="65" t="n">
        <v>1.37</v>
      </c>
      <c r="F98" s="65" t="n">
        <v>520.0992394389373</v>
      </c>
      <c r="G98" s="65" t="n">
        <v>0</v>
      </c>
      <c r="H98" s="65" t="n">
        <v>122.1951528815201</v>
      </c>
      <c r="I98" s="65" t="n">
        <v>141.45</v>
      </c>
      <c r="J98" s="65" t="n">
        <v>176.584086557417</v>
      </c>
      <c r="K98" s="65" t="n">
        <v>185.4400000000001</v>
      </c>
      <c r="L98" s="65" t="n">
        <v>7</v>
      </c>
      <c r="M98" s="65" t="n">
        <v>5.049999999999955</v>
      </c>
      <c r="N98" s="65" t="n">
        <v>6.539999999999964</v>
      </c>
      <c r="O98" s="65" t="n">
        <v>0</v>
      </c>
      <c r="P98" s="65" t="n">
        <v>34.64</v>
      </c>
      <c r="Q98" s="65" t="n">
        <v>38.62</v>
      </c>
      <c r="R98" s="65" t="n">
        <v>109.8</v>
      </c>
      <c r="S98" s="67" t="n">
        <v>0.1300248098597343</v>
      </c>
      <c r="T98" s="68" t="inlineStr">
        <is>
          <t>15/04/2025</t>
        </is>
      </c>
      <c r="U98" s="18" t="inlineStr">
        <is>
          <t>18:45:40</t>
        </is>
      </c>
      <c r="V98" s="69">
        <f>IFERROR(Tabela11[[#This Row],[Lucro]]*1/Tabela11[[#This Row],[Capital total]],"")</f>
        <v/>
      </c>
      <c r="W98" s="61">
        <f>Tabela11[[#This Row],[Lucro]]-C97</f>
        <v/>
      </c>
    </row>
    <row r="99">
      <c r="A99" s="64" t="n">
        <v>822.4851528815203</v>
      </c>
      <c r="B99" s="65" t="n">
        <v>520.0722661917077</v>
      </c>
      <c r="C99" s="65" t="n">
        <v>-302.4128866898125</v>
      </c>
      <c r="D99" s="65" t="n">
        <v>4.8</v>
      </c>
      <c r="E99" s="65" t="n">
        <v>1.37</v>
      </c>
      <c r="F99" s="65" t="n">
        <v>520.0722661917077</v>
      </c>
      <c r="G99" s="65" t="n">
        <v>317.6011784</v>
      </c>
      <c r="H99" s="65" t="n">
        <v>122.1951528815201</v>
      </c>
      <c r="I99" s="65" t="n">
        <v>118.62</v>
      </c>
      <c r="J99" s="65" t="n">
        <v>175.9871133101874</v>
      </c>
      <c r="K99" s="65" t="n">
        <v>207.04</v>
      </c>
      <c r="L99" s="65" t="n">
        <v>7</v>
      </c>
      <c r="M99" s="65" t="n">
        <v>5.049999999999955</v>
      </c>
      <c r="N99" s="65" t="n">
        <v>6.539999999999964</v>
      </c>
      <c r="O99" s="65" t="n">
        <v>0</v>
      </c>
      <c r="P99" s="65" t="n">
        <v>34.13</v>
      </c>
      <c r="Q99" s="65" t="n">
        <v>39.07</v>
      </c>
      <c r="R99" s="65" t="n">
        <v>110.81</v>
      </c>
      <c r="S99" s="67" t="n">
        <v>0.1300180665479269</v>
      </c>
      <c r="T99" s="68" t="inlineStr">
        <is>
          <t>16/04/2025</t>
        </is>
      </c>
      <c r="U99" s="18" t="inlineStr">
        <is>
          <t>21:42:20</t>
        </is>
      </c>
      <c r="V99" s="69">
        <f>IFERROR(Tabela11[[#This Row],[Lucro]]*1/Tabela11[[#This Row],[Capital total]],"")</f>
        <v/>
      </c>
      <c r="W99" s="61">
        <f>Tabela11[[#This Row],[Lucro]]-C98</f>
        <v/>
      </c>
    </row>
    <row r="100">
      <c r="A100" s="64" t="n">
        <v>822.5351528815203</v>
      </c>
      <c r="B100" s="65" t="n">
        <v>523.0283465844549</v>
      </c>
      <c r="C100" s="65" t="n">
        <v>-299.5068062970654</v>
      </c>
      <c r="D100" s="65" t="n">
        <v>4.8</v>
      </c>
      <c r="E100" s="65" t="n">
        <v>1.37</v>
      </c>
      <c r="F100" s="65" t="n">
        <v>523.0283465844549</v>
      </c>
      <c r="G100" s="65" t="n">
        <v>0</v>
      </c>
      <c r="H100" s="65" t="n">
        <v>122.1951528815201</v>
      </c>
      <c r="I100" s="65" t="n">
        <v>118.7</v>
      </c>
      <c r="J100" s="65" t="n">
        <v>174.1931937029344</v>
      </c>
      <c r="K100" s="65" t="n">
        <v>207.66</v>
      </c>
      <c r="L100" s="65" t="n">
        <v>7</v>
      </c>
      <c r="M100" s="65" t="n">
        <v>5.049999999999955</v>
      </c>
      <c r="N100" s="65" t="n">
        <v>6.539999999999964</v>
      </c>
      <c r="O100" s="65" t="n">
        <v>0</v>
      </c>
      <c r="P100" s="65" t="n">
        <v>33.99</v>
      </c>
      <c r="Q100" s="65" t="n">
        <v>39.12</v>
      </c>
      <c r="R100" s="65" t="n">
        <v>114.6</v>
      </c>
      <c r="S100" s="67" t="n">
        <v>0.1307570866461137</v>
      </c>
      <c r="T100" s="68" t="inlineStr">
        <is>
          <t>18/04/2025</t>
        </is>
      </c>
      <c r="U100" s="18" t="inlineStr">
        <is>
          <t>21:41:39</t>
        </is>
      </c>
      <c r="V100" s="69">
        <f>IFERROR(Tabela11[[#This Row],[Lucro]]*1/Tabela11[[#This Row],[Capital total]],"")</f>
        <v/>
      </c>
      <c r="W100" s="61">
        <f>Tabela11[[#This Row],[Lucro]]-C99</f>
        <v/>
      </c>
    </row>
    <row r="101">
      <c r="A101" s="64" t="n">
        <v>822.5351528815203</v>
      </c>
      <c r="B101" s="65" t="n">
        <v>533.0283465844549</v>
      </c>
      <c r="C101" s="65" t="n">
        <v>-289.5068062970654</v>
      </c>
      <c r="D101" s="65" t="n">
        <v>4.8</v>
      </c>
      <c r="E101" s="65" t="n">
        <v>1.37</v>
      </c>
      <c r="F101" s="65" t="n">
        <v>533.0283465844549</v>
      </c>
      <c r="G101" s="65" t="n">
        <v>315.9516476</v>
      </c>
      <c r="H101" s="65" t="n">
        <v>122.1951528815201</v>
      </c>
      <c r="I101" s="65" t="n">
        <v>118.7</v>
      </c>
      <c r="J101" s="65" t="n">
        <v>174.1931937029344</v>
      </c>
      <c r="K101" s="65" t="n">
        <v>207.66</v>
      </c>
      <c r="L101" s="65" t="n">
        <v>7</v>
      </c>
      <c r="M101" s="65" t="n">
        <v>5.049999999999955</v>
      </c>
      <c r="N101" s="65" t="n">
        <v>6.539999999999964</v>
      </c>
      <c r="O101" s="65" t="n">
        <v>0</v>
      </c>
      <c r="P101" s="65" t="n">
        <v>33.99</v>
      </c>
      <c r="Q101" s="65" t="n">
        <v>39.12</v>
      </c>
      <c r="R101" s="65" t="n">
        <v>114.6</v>
      </c>
      <c r="S101" s="67" t="n">
        <v>0.1332570866461137</v>
      </c>
      <c r="T101" s="68" t="inlineStr">
        <is>
          <t>20/04/2025</t>
        </is>
      </c>
      <c r="U101" s="18" t="inlineStr">
        <is>
          <t>15:55:18</t>
        </is>
      </c>
      <c r="V101" s="69">
        <f>IFERROR(Tabela11[[#This Row],[Lucro]]*1/Tabela11[[#This Row],[Capital total]],"")</f>
        <v/>
      </c>
      <c r="W101" s="61">
        <f>Tabela11[[#This Row],[Lucro]]-C100</f>
        <v/>
      </c>
    </row>
    <row r="102">
      <c r="A102" s="64" t="n">
        <v>856.1493361445469</v>
      </c>
      <c r="B102" s="65" t="n">
        <v>566.6425298474815</v>
      </c>
      <c r="C102" s="65" t="n">
        <v>-289.5068062970654</v>
      </c>
      <c r="D102" s="65" t="n">
        <v>4.8</v>
      </c>
      <c r="E102" s="65" t="n">
        <v>1.37</v>
      </c>
      <c r="F102" s="65" t="n">
        <v>566.6425298474815</v>
      </c>
      <c r="G102" s="65" t="n">
        <v>315.9516476</v>
      </c>
      <c r="H102" s="65" t="n">
        <v>155.8093361445468</v>
      </c>
      <c r="I102" s="65" t="n">
        <v>118.7</v>
      </c>
      <c r="J102" s="65" t="n">
        <v>174.1931937029344</v>
      </c>
      <c r="K102" s="65" t="n">
        <v>207.66</v>
      </c>
      <c r="L102" s="65" t="n">
        <v>7</v>
      </c>
      <c r="M102" s="65" t="n">
        <v>5.049999999999955</v>
      </c>
      <c r="N102" s="65" t="n">
        <v>6.539999999999964</v>
      </c>
      <c r="O102" s="65" t="n">
        <v>0</v>
      </c>
      <c r="P102" s="65" t="n">
        <v>33.99</v>
      </c>
      <c r="Q102" s="65" t="n">
        <v>39.12</v>
      </c>
      <c r="R102" s="65" t="n">
        <v>114.6</v>
      </c>
      <c r="S102" s="67" t="n">
        <v>0.1416606324618704</v>
      </c>
      <c r="T102" s="68" t="inlineStr">
        <is>
          <t>20/04/2025</t>
        </is>
      </c>
      <c r="U102" s="18" t="inlineStr">
        <is>
          <t>16:07:08</t>
        </is>
      </c>
      <c r="V102" s="69">
        <f>IFERROR(Tabela11[[#This Row],[Lucro]]*1/Tabela11[[#This Row],[Capital total]],"")</f>
        <v/>
      </c>
      <c r="W102" s="61">
        <f>Tabela11[[#This Row],[Lucro]]-C101</f>
        <v/>
      </c>
    </row>
    <row r="103">
      <c r="A103" s="64" t="n">
        <v>856.1493361445469</v>
      </c>
      <c r="B103" s="65" t="n">
        <v>565.778696279289</v>
      </c>
      <c r="C103" s="65" t="n">
        <v>-290.3706398652579</v>
      </c>
      <c r="D103" s="65" t="n">
        <v>4.8</v>
      </c>
      <c r="E103" s="65" t="n">
        <v>1.37</v>
      </c>
      <c r="F103" s="65" t="n">
        <v>565.778696279289</v>
      </c>
      <c r="G103" s="65" t="n">
        <v>315.9516476</v>
      </c>
      <c r="H103" s="65" t="n">
        <v>155.8093361445468</v>
      </c>
      <c r="I103" s="65" t="n">
        <v>119.76</v>
      </c>
      <c r="J103" s="65" t="n">
        <v>170.479360134742</v>
      </c>
      <c r="K103" s="65" t="n">
        <v>208.6900000000001</v>
      </c>
      <c r="L103" s="65" t="n">
        <v>7</v>
      </c>
      <c r="M103" s="65" t="n">
        <v>5.049999999999955</v>
      </c>
      <c r="N103" s="65" t="n">
        <v>6.539999999999964</v>
      </c>
      <c r="O103" s="65" t="n">
        <v>0</v>
      </c>
      <c r="P103" s="65" t="n">
        <v>34.13</v>
      </c>
      <c r="Q103" s="65" t="n">
        <v>39.12</v>
      </c>
      <c r="R103" s="65" t="n">
        <v>114.6</v>
      </c>
      <c r="S103" s="67" t="n">
        <v>0.1414446740698223</v>
      </c>
      <c r="T103" s="68" t="inlineStr">
        <is>
          <t>24/04/2025</t>
        </is>
      </c>
      <c r="U103" s="18" t="inlineStr">
        <is>
          <t>09:52:07</t>
        </is>
      </c>
      <c r="V103" s="69">
        <f>IFERROR(Tabela11[[#This Row],[Lucro]]*1/Tabela11[[#This Row],[Capital total]],"")</f>
        <v/>
      </c>
      <c r="W103" s="61">
        <f>Tabela11[[#This Row],[Lucro]]-C102</f>
        <v/>
      </c>
    </row>
    <row r="104">
      <c r="A104" s="64" t="n">
        <v>856.3693361445469</v>
      </c>
      <c r="B104" s="65" t="n">
        <v>565.8467075719157</v>
      </c>
      <c r="C104" s="65" t="n">
        <v>-290.5226285726312</v>
      </c>
      <c r="D104" s="65" t="n">
        <v>4.8</v>
      </c>
      <c r="E104" s="65" t="n">
        <v>1.37</v>
      </c>
      <c r="F104" s="65" t="n">
        <v>565.8467075719157</v>
      </c>
      <c r="G104" s="65" t="n">
        <v>315.9516476</v>
      </c>
      <c r="H104" s="65" t="n">
        <v>155.8093361445468</v>
      </c>
      <c r="I104" s="65" t="n">
        <v>119.76</v>
      </c>
      <c r="J104" s="65" t="n">
        <v>170.2273714273687</v>
      </c>
      <c r="K104" s="65" t="n">
        <v>208.6900000000001</v>
      </c>
      <c r="L104" s="65" t="n">
        <v>7</v>
      </c>
      <c r="M104" s="65" t="n">
        <v>5.049999999999955</v>
      </c>
      <c r="N104" s="65" t="n">
        <v>6.539999999999964</v>
      </c>
      <c r="O104" s="65" t="n">
        <v>0</v>
      </c>
      <c r="P104" s="65" t="n">
        <v>34.13</v>
      </c>
      <c r="Q104" s="65" t="n">
        <v>39.34</v>
      </c>
      <c r="R104" s="65" t="n">
        <v>114.48</v>
      </c>
      <c r="S104" s="67" t="n">
        <v>0.1414616768929789</v>
      </c>
      <c r="T104" s="68" t="inlineStr">
        <is>
          <t>24/04/2025</t>
        </is>
      </c>
      <c r="U104" s="18" t="inlineStr">
        <is>
          <t>09:57:06</t>
        </is>
      </c>
      <c r="V104" s="69">
        <f>IFERROR(Tabela11[[#This Row],[Lucro]]*1/Tabela11[[#This Row],[Capital total]],"")</f>
        <v/>
      </c>
      <c r="W104" s="61">
        <f>Tabela11[[#This Row],[Lucro]]-C103</f>
        <v/>
      </c>
    </row>
    <row r="105">
      <c r="A105" s="56" t="n">
        <v>856.3693361445469</v>
      </c>
      <c r="B105" s="57" t="n">
        <v>568.9366995057537</v>
      </c>
      <c r="C105" s="57" t="n">
        <v>-287.4326366387931</v>
      </c>
      <c r="D105" s="57" t="n">
        <v>4.8</v>
      </c>
      <c r="E105" s="57" t="n">
        <v>1.37</v>
      </c>
      <c r="F105" s="57" t="n">
        <v>568.9366995057537</v>
      </c>
      <c r="G105" s="65" t="n">
        <v>315.9516476</v>
      </c>
      <c r="H105" s="57" t="n">
        <v>155.8093361445468</v>
      </c>
      <c r="I105" s="57" t="n">
        <v>120.53</v>
      </c>
      <c r="J105" s="57" t="n">
        <v>170.4073633612068</v>
      </c>
      <c r="K105" s="57" t="n">
        <v>209.61</v>
      </c>
      <c r="L105" s="57" t="n">
        <v>7</v>
      </c>
      <c r="M105" s="57" t="n">
        <v>5.049999999999955</v>
      </c>
      <c r="N105" s="57" t="n">
        <v>6.539999999999964</v>
      </c>
      <c r="O105" s="57" t="n">
        <v>0</v>
      </c>
      <c r="P105" s="57" t="n">
        <v>34.49</v>
      </c>
      <c r="Q105" s="57" t="n">
        <v>39.34</v>
      </c>
      <c r="R105" s="65" t="n">
        <v>114.48</v>
      </c>
      <c r="S105" s="59" t="n">
        <v>0.1422341748764384</v>
      </c>
      <c r="T105" s="70" t="inlineStr">
        <is>
          <t>24/04/2025</t>
        </is>
      </c>
      <c r="U105" s="15" t="inlineStr">
        <is>
          <t>21:48:55</t>
        </is>
      </c>
      <c r="V105" s="60">
        <f>IFERROR(Tabela11[[#This Row],[Lucro]]*1/Tabela11[[#This Row],[Capital total]],"")</f>
        <v/>
      </c>
      <c r="W105" s="61">
        <f>Tabela11[[#This Row],[Lucro]]-C104</f>
        <v/>
      </c>
      <c r="Z105" s="71" t="n"/>
    </row>
    <row r="106">
      <c r="A106" s="64" t="n">
        <v>856.7893361445468</v>
      </c>
      <c r="B106" s="65" t="n">
        <v>567.7966914395918</v>
      </c>
      <c r="C106" s="65" t="n">
        <v>-288.9926447049551</v>
      </c>
      <c r="D106" s="65" t="n">
        <v>4.8</v>
      </c>
      <c r="E106" s="65" t="n">
        <v>1.37</v>
      </c>
      <c r="F106" s="65" t="n">
        <v>567.7966914395918</v>
      </c>
      <c r="G106" s="65" t="n">
        <v>315.9516476</v>
      </c>
      <c r="H106" s="65" t="n">
        <v>155.8093361445468</v>
      </c>
      <c r="I106" s="65" t="n">
        <v>120.89</v>
      </c>
      <c r="J106" s="65" t="n">
        <v>170.5873552950447</v>
      </c>
      <c r="K106" s="65" t="n">
        <v>210.49</v>
      </c>
      <c r="L106" s="65" t="n">
        <v>7</v>
      </c>
      <c r="M106" s="65" t="n">
        <v>5.049999999999955</v>
      </c>
      <c r="N106" s="65" t="n">
        <v>6.539999999999964</v>
      </c>
      <c r="O106" s="65" t="n">
        <v>0</v>
      </c>
      <c r="P106" s="65" t="n">
        <v>34.70999999999999</v>
      </c>
      <c r="Q106" s="65" t="n">
        <v>39.76000000000001</v>
      </c>
      <c r="R106" s="72" t="n">
        <v>110.62</v>
      </c>
      <c r="S106" s="67" t="n">
        <v>0.1419491728598979</v>
      </c>
      <c r="T106" s="68" t="inlineStr">
        <is>
          <t>27/04/2025</t>
        </is>
      </c>
      <c r="U106" s="18" t="inlineStr">
        <is>
          <t>18:50:02</t>
        </is>
      </c>
      <c r="V106" s="69">
        <f>IFERROR(Tabela11[[#This Row],[Lucro]]*1/Tabela11[[#This Row],[Capital total]],"")</f>
        <v/>
      </c>
      <c r="W106" s="61">
        <f>Tabela11[[#This Row],[Lucro]]-C105</f>
        <v/>
      </c>
    </row>
    <row r="107">
      <c r="A107" s="64" t="n">
        <v>856.7893361445468</v>
      </c>
      <c r="B107" s="65" t="n">
        <v>527.1027355346102</v>
      </c>
      <c r="C107" s="65" t="n">
        <v>-329.6866006099366</v>
      </c>
      <c r="D107" s="65" t="n">
        <v>4.8</v>
      </c>
      <c r="E107" s="65" t="n">
        <v>1.37</v>
      </c>
      <c r="F107" s="65" t="n">
        <v>527.1027355346102</v>
      </c>
      <c r="G107" s="66" t="inlineStr">
        <is>
          <t>-</t>
        </is>
      </c>
      <c r="H107" s="65" t="n">
        <v>155.8093361445468</v>
      </c>
      <c r="I107" s="65" t="n">
        <v>120.87</v>
      </c>
      <c r="J107" s="65" t="n">
        <v>169.6033993900633</v>
      </c>
      <c r="K107" s="65" t="n">
        <v>210.75</v>
      </c>
      <c r="L107" s="65" t="n">
        <v>7</v>
      </c>
      <c r="M107" s="65" t="n">
        <v>5.049999999999955</v>
      </c>
      <c r="N107" s="65" t="n">
        <v>6.539999999999964</v>
      </c>
      <c r="O107" s="65" t="n">
        <v>0</v>
      </c>
      <c r="P107" s="65" t="n">
        <v>34.67</v>
      </c>
      <c r="Q107" s="65" t="n">
        <v>39.76000000000001</v>
      </c>
      <c r="R107" s="65" t="n">
        <v>110.62</v>
      </c>
      <c r="S107" s="67" t="n">
        <v>0.1317756838836526</v>
      </c>
      <c r="T107" s="68" t="inlineStr">
        <is>
          <t>28/04/2025</t>
        </is>
      </c>
      <c r="U107" s="18" t="inlineStr">
        <is>
          <t>21:26:50</t>
        </is>
      </c>
      <c r="V107" s="69">
        <f>IFERROR(Tabela11[[#This Row],[Lucro]]*1/Tabela11[[#This Row],[Capital total]],"")</f>
        <v/>
      </c>
      <c r="W107" s="61">
        <f>Tabela11[[#This Row],[Lucro]]-C106</f>
        <v/>
      </c>
    </row>
    <row r="108">
      <c r="A108" s="64" t="n">
        <v>856.7893361445468</v>
      </c>
      <c r="B108" s="65" t="n">
        <v>390.841780839553</v>
      </c>
      <c r="C108" s="65" t="n">
        <v>-465.9475553049938</v>
      </c>
      <c r="D108" s="65" t="n">
        <v>4.8</v>
      </c>
      <c r="E108" s="65" t="n">
        <v>1.37</v>
      </c>
      <c r="F108" s="65" t="n">
        <v>390.841780839553</v>
      </c>
      <c r="G108" s="66" t="inlineStr">
        <is>
          <t>-</t>
        </is>
      </c>
      <c r="H108" s="65" t="n">
        <v>155.8093361445469</v>
      </c>
      <c r="I108" s="65" t="n">
        <v>121.29</v>
      </c>
      <c r="J108" s="65" t="n">
        <v>168.592444695006</v>
      </c>
      <c r="K108" s="65" t="n">
        <v>210.33</v>
      </c>
      <c r="L108" s="65" t="n">
        <v>7</v>
      </c>
      <c r="M108" s="65" t="n">
        <v>5.050000000000011</v>
      </c>
      <c r="N108" s="65" t="n">
        <v>6.54000000000002</v>
      </c>
      <c r="O108" s="65" t="n">
        <v>0</v>
      </c>
      <c r="P108" s="65" t="n">
        <v>34.75</v>
      </c>
      <c r="Q108" s="65" t="n">
        <v>39.76000000000001</v>
      </c>
      <c r="R108" s="65" t="n">
        <v>110.62</v>
      </c>
      <c r="S108" s="67" t="n">
        <v>0.09771044520988825</v>
      </c>
      <c r="T108" s="68" t="inlineStr">
        <is>
          <t>29/04/2025</t>
        </is>
      </c>
      <c r="U108" s="18" t="inlineStr">
        <is>
          <t>21:36:06</t>
        </is>
      </c>
      <c r="V108" s="69">
        <f>IFERROR(Tabela11[[#This Row],[Lucro]]*1/Tabela11[[#This Row],[Capital total]],"")</f>
        <v/>
      </c>
      <c r="W108" s="61">
        <f>Tabela11[[#This Row],[Lucro]]-C107</f>
        <v/>
      </c>
    </row>
    <row r="109">
      <c r="A109" s="64" t="n">
        <v>856.7893361445468</v>
      </c>
      <c r="B109" s="65" t="n">
        <v>393.3947309637852</v>
      </c>
      <c r="C109" s="65" t="n">
        <v>-463.3946051807617</v>
      </c>
      <c r="D109" s="65" t="n">
        <v>4.8</v>
      </c>
      <c r="E109" s="65" t="n">
        <v>1.37</v>
      </c>
      <c r="F109" s="65" t="n">
        <v>393.3947309637852</v>
      </c>
      <c r="G109" s="66" t="inlineStr">
        <is>
          <t>-</t>
        </is>
      </c>
      <c r="H109" s="65" t="n">
        <v>155.8093361445468</v>
      </c>
      <c r="I109" s="65" t="n">
        <v>121.97</v>
      </c>
      <c r="J109" s="65" t="n">
        <v>169.7053948192382</v>
      </c>
      <c r="K109" s="65" t="n">
        <v>210.35</v>
      </c>
      <c r="L109" s="65" t="n">
        <v>7</v>
      </c>
      <c r="M109" s="65" t="n">
        <v>5.050000000000011</v>
      </c>
      <c r="N109" s="65" t="n">
        <v>6.54000000000002</v>
      </c>
      <c r="O109" s="65" t="n">
        <v>0</v>
      </c>
      <c r="P109" s="65" t="n">
        <v>35.38</v>
      </c>
      <c r="Q109" s="65" t="n">
        <v>39.76000000000001</v>
      </c>
      <c r="R109" s="65" t="n">
        <v>110.62</v>
      </c>
      <c r="S109" s="67" t="n">
        <v>0.09834868274094628</v>
      </c>
      <c r="T109" s="68" t="inlineStr">
        <is>
          <t>03/05/2025</t>
        </is>
      </c>
      <c r="U109" s="18" t="inlineStr">
        <is>
          <t>14:22:09</t>
        </is>
      </c>
      <c r="V109" s="69">
        <f>IFERROR(Tabela11[[#This Row],[Lucro]]*1/Tabela11[[#This Row],[Capital total]],"")</f>
        <v/>
      </c>
      <c r="W109" s="61">
        <f>Tabela11[[#This Row],[Lucro]]-C108</f>
        <v/>
      </c>
    </row>
    <row r="110">
      <c r="A110" s="64" t="n">
        <v>856.7893361445468</v>
      </c>
      <c r="B110" s="65" t="n">
        <v>396.701612794513</v>
      </c>
      <c r="C110" s="65" t="n">
        <v>-460.0877233500338</v>
      </c>
      <c r="D110" s="65" t="n">
        <v>4.8</v>
      </c>
      <c r="E110" s="65" t="n">
        <v>1.37</v>
      </c>
      <c r="F110" s="65" t="n">
        <v>396.701612794513</v>
      </c>
      <c r="G110" s="65" t="n">
        <v>506.2268994600001</v>
      </c>
      <c r="H110" s="65" t="n">
        <v>155.8093361445468</v>
      </c>
      <c r="I110" s="65" t="n">
        <v>119.6900000000001</v>
      </c>
      <c r="J110" s="65" t="n">
        <v>172.3422766499662</v>
      </c>
      <c r="K110" s="65" t="n">
        <v>209.85</v>
      </c>
      <c r="L110" s="65" t="n">
        <v>7</v>
      </c>
      <c r="M110" s="65" t="n">
        <v>5.050000000000011</v>
      </c>
      <c r="N110" s="65" t="n">
        <v>6.54000000000002</v>
      </c>
      <c r="O110" s="65" t="n">
        <v>0</v>
      </c>
      <c r="P110" s="65" t="n">
        <v>35.61</v>
      </c>
      <c r="Q110" s="65" t="n">
        <v>39.76000000000001</v>
      </c>
      <c r="R110" s="65" t="n">
        <v>114.03</v>
      </c>
      <c r="S110" s="67" t="n">
        <v>0.09917540319862826</v>
      </c>
      <c r="T110" s="68" t="inlineStr">
        <is>
          <t>07/05/2025</t>
        </is>
      </c>
      <c r="U110" s="18" t="inlineStr">
        <is>
          <t>23:50:59</t>
        </is>
      </c>
      <c r="V110" s="69">
        <f>IFERROR(Tabela11[[#This Row],[Lucro]]*1/Tabela11[[#This Row],[Capital total]],"")</f>
        <v/>
      </c>
      <c r="W110" s="61">
        <f>Tabela11[[#This Row],[Lucro]]-C109</f>
        <v/>
      </c>
    </row>
    <row r="111">
      <c r="A111" s="64" t="n">
        <v>856.7893361445468</v>
      </c>
      <c r="B111" s="65" t="n">
        <v>648.3146127945131</v>
      </c>
      <c r="C111" s="65" t="n">
        <v>-208.4747233500338</v>
      </c>
      <c r="D111" s="65" t="n">
        <v>6.306999999999999</v>
      </c>
      <c r="E111" s="65" t="n">
        <v>1.507</v>
      </c>
      <c r="F111" s="65" t="n">
        <v>648.3146127945131</v>
      </c>
      <c r="G111" s="65" t="n">
        <v>506.2268994600001</v>
      </c>
      <c r="H111" s="65" t="n">
        <v>155.8093361445468</v>
      </c>
      <c r="I111" s="65" t="n">
        <v>119.6900000000001</v>
      </c>
      <c r="J111" s="65" t="n">
        <v>172.3422766499662</v>
      </c>
      <c r="K111" s="65" t="n">
        <v>209.8499999999999</v>
      </c>
      <c r="L111" s="65" t="n">
        <v>7</v>
      </c>
      <c r="M111" s="65" t="n">
        <v>5.049999999999955</v>
      </c>
      <c r="N111" s="65" t="n">
        <v>6.539999999999964</v>
      </c>
      <c r="O111" s="65" t="n">
        <v>0</v>
      </c>
      <c r="P111" s="65" t="n">
        <v>35.61</v>
      </c>
      <c r="Q111" s="65" t="n">
        <v>39.76000000000001</v>
      </c>
      <c r="R111" s="65" t="n">
        <v>114.03</v>
      </c>
      <c r="S111" s="67" t="n">
        <v>0.1620786531986283</v>
      </c>
      <c r="T111" s="68" t="inlineStr">
        <is>
          <t>07/05/2025</t>
        </is>
      </c>
      <c r="U111" s="18" t="inlineStr">
        <is>
          <t>23:54:59</t>
        </is>
      </c>
      <c r="V111" s="69">
        <f>IFERROR(Tabela11[[#This Row],[Lucro]]*1/Tabela11[[#This Row],[Capital total]],"")</f>
        <v/>
      </c>
      <c r="W111" s="61">
        <f>Tabela11[[#This Row],[Lucro]]-C110</f>
        <v/>
      </c>
    </row>
    <row r="112">
      <c r="A112" s="64" t="n">
        <v>856.7893361445468</v>
      </c>
      <c r="B112" s="65" t="n">
        <v>654.4547243764196</v>
      </c>
      <c r="C112" s="65" t="n">
        <v>-202.3346117681273</v>
      </c>
      <c r="D112" s="65" t="n">
        <v>6.306999999999999</v>
      </c>
      <c r="E112" s="65" t="n">
        <v>1.507</v>
      </c>
      <c r="F112" s="65" t="n">
        <v>654.4547243764196</v>
      </c>
      <c r="G112" s="65" t="n">
        <v>506.2268994600001</v>
      </c>
      <c r="H112" s="65" t="n">
        <v>155.8093361445468</v>
      </c>
      <c r="I112" s="65" t="n">
        <v>127.63</v>
      </c>
      <c r="J112" s="65" t="n">
        <v>169.8523882318726</v>
      </c>
      <c r="K112" s="65" t="n">
        <v>210.41</v>
      </c>
      <c r="L112" s="65" t="n">
        <v>7</v>
      </c>
      <c r="M112" s="65" t="n">
        <v>5.049999999999955</v>
      </c>
      <c r="N112" s="65" t="n">
        <v>6.539999999999964</v>
      </c>
      <c r="O112" s="65" t="n">
        <v>0</v>
      </c>
      <c r="P112" s="65" t="n">
        <v>35.29</v>
      </c>
      <c r="Q112" s="65" t="n">
        <v>39.76000000000001</v>
      </c>
      <c r="R112" s="65" t="n">
        <v>113.32</v>
      </c>
      <c r="S112" s="67" t="n">
        <v>0.1636136810941049</v>
      </c>
      <c r="T112" s="68" t="inlineStr">
        <is>
          <t>08/05/2025</t>
        </is>
      </c>
      <c r="U112" s="41" t="inlineStr">
        <is>
          <t>23:27:14</t>
        </is>
      </c>
      <c r="V112" s="69">
        <f>IFERROR(Tabela11[[#This Row],[Lucro]]*1/Tabela11[[#This Row],[Capital total]],"")</f>
        <v/>
      </c>
      <c r="W112" s="61">
        <f>Tabela11[[#This Row],[Lucro]]-C111</f>
        <v/>
      </c>
      <c r="X112" s="73" t="n"/>
      <c r="Y112" s="33" t="n"/>
      <c r="Z112" s="33" t="n"/>
      <c r="AA112" s="33" t="n"/>
    </row>
    <row r="113">
      <c r="A113" s="64" t="n">
        <v>909.4893361445469</v>
      </c>
      <c r="B113" s="65" t="n">
        <v>704.8097479027251</v>
      </c>
      <c r="C113" s="65" t="n">
        <v>-204.6795882418217</v>
      </c>
      <c r="D113" s="65" t="n">
        <v>6.306999999999999</v>
      </c>
      <c r="E113" s="65" t="n">
        <v>1.507</v>
      </c>
      <c r="F113" s="65" t="n">
        <v>704.8097479027251</v>
      </c>
      <c r="G113" s="65" t="n">
        <v>506.2268994600001</v>
      </c>
      <c r="H113" s="65" t="n">
        <v>155.8093361445468</v>
      </c>
      <c r="I113" s="65" t="n">
        <v>181.5400000000001</v>
      </c>
      <c r="J113" s="65" t="n">
        <v>169.3274117581782</v>
      </c>
      <c r="K113" s="65" t="n">
        <v>210.95</v>
      </c>
      <c r="L113" s="65" t="n">
        <v>7</v>
      </c>
      <c r="M113" s="65" t="n">
        <v>5.049999999999955</v>
      </c>
      <c r="N113" s="65" t="n">
        <v>6.539999999999964</v>
      </c>
      <c r="O113" s="65" t="n">
        <v>0</v>
      </c>
      <c r="P113" s="65" t="n">
        <v>35.2</v>
      </c>
      <c r="Q113" s="65" t="n">
        <v>39.76000000000001</v>
      </c>
      <c r="R113" s="65" t="n">
        <v>109.41</v>
      </c>
      <c r="S113" s="67" t="n">
        <v>0.1762024369756813</v>
      </c>
      <c r="T113" s="68" t="inlineStr">
        <is>
          <t>09/05/2025</t>
        </is>
      </c>
      <c r="U113" s="18" t="inlineStr">
        <is>
          <t>23:33:05</t>
        </is>
      </c>
      <c r="V113" s="69">
        <f>IFERROR(Tabela11[[#This Row],[Lucro]]*1/Tabela11[[#This Row],[Capital total]],"")</f>
        <v/>
      </c>
      <c r="W113" s="61">
        <f>Tabela11[[#This Row],[Lucro]]-C112</f>
        <v/>
      </c>
    </row>
    <row r="114">
      <c r="A114" s="64" t="n">
        <v>953.0722286065052</v>
      </c>
      <c r="B114" s="65" t="n">
        <v>748.4726403646835</v>
      </c>
      <c r="C114" s="65" t="n">
        <v>-204.5995882418217</v>
      </c>
      <c r="D114" s="65" t="n">
        <v>6.306999999999999</v>
      </c>
      <c r="E114" s="65" t="n">
        <v>1.507</v>
      </c>
      <c r="F114" s="65" t="n">
        <v>748.4726403646835</v>
      </c>
      <c r="G114" s="66" t="inlineStr">
        <is>
          <t>-</t>
        </is>
      </c>
      <c r="H114" s="65" t="n">
        <v>199.3922286065051</v>
      </c>
      <c r="I114" s="65" t="n">
        <v>181.54</v>
      </c>
      <c r="J114" s="65" t="n">
        <v>169.3274117581782</v>
      </c>
      <c r="K114" s="65" t="n">
        <v>210.95</v>
      </c>
      <c r="L114" s="65" t="n">
        <v>7</v>
      </c>
      <c r="M114" s="65" t="n">
        <v>5.049999999999955</v>
      </c>
      <c r="N114" s="65" t="n">
        <v>6.539999999999964</v>
      </c>
      <c r="O114" s="65" t="n">
        <v>0</v>
      </c>
      <c r="P114" s="65" t="n">
        <v>35.2</v>
      </c>
      <c r="Q114" s="65" t="n">
        <v>39.76000000000001</v>
      </c>
      <c r="R114" s="65" t="n">
        <v>109.41</v>
      </c>
      <c r="S114" s="67" t="n">
        <v>0.1871181600911709</v>
      </c>
      <c r="T114" s="68" t="inlineStr">
        <is>
          <t>09/05/2025</t>
        </is>
      </c>
      <c r="U114" s="18" t="inlineStr">
        <is>
          <t>23:44:03</t>
        </is>
      </c>
      <c r="V114" s="69">
        <f>IFERROR(Tabela11[[#This Row],[Lucro]]*1/Tabela11[[#This Row],[Capital total]],"")</f>
        <v/>
      </c>
      <c r="W114" s="61">
        <f>Tabela11[[#This Row],[Lucro]]-C113</f>
        <v/>
      </c>
    </row>
    <row r="115">
      <c r="A115" s="64" t="n">
        <v>953.0722286065052</v>
      </c>
      <c r="B115" s="65" t="n">
        <v>748.4726403646835</v>
      </c>
      <c r="C115" s="65" t="n">
        <v>-204.5995882418217</v>
      </c>
      <c r="D115" s="65" t="n">
        <v>6.306999999999999</v>
      </c>
      <c r="E115" s="65" t="n">
        <v>1.507</v>
      </c>
      <c r="F115" s="65" t="n">
        <v>748.4726403646835</v>
      </c>
      <c r="G115" s="66" t="inlineStr">
        <is>
          <t>-</t>
        </is>
      </c>
      <c r="H115" s="65" t="n">
        <v>199.3922286065051</v>
      </c>
      <c r="I115" s="65" t="n">
        <v>181.54</v>
      </c>
      <c r="J115" s="65" t="n">
        <v>169.3274117581782</v>
      </c>
      <c r="K115" s="65" t="n">
        <v>210.95</v>
      </c>
      <c r="L115" s="65" t="n">
        <v>7</v>
      </c>
      <c r="M115" s="65" t="n">
        <v>5.049999999999955</v>
      </c>
      <c r="N115" s="65" t="n">
        <v>6.539999999999964</v>
      </c>
      <c r="O115" s="65" t="n">
        <v>0</v>
      </c>
      <c r="P115" s="65" t="n">
        <v>35.2</v>
      </c>
      <c r="Q115" s="65" t="n">
        <v>39.76000000000001</v>
      </c>
      <c r="R115" s="65" t="n">
        <v>109.41</v>
      </c>
      <c r="S115" s="67" t="n">
        <v>0.1871181600911709</v>
      </c>
      <c r="T115" s="68" t="inlineStr">
        <is>
          <t>10/05/2025</t>
        </is>
      </c>
      <c r="U115" s="18" t="inlineStr">
        <is>
          <t>10:42:43</t>
        </is>
      </c>
      <c r="V115" s="69">
        <f>IFERROR(Tabela11[[#This Row],[Lucro]]*1/Tabela11[[#This Row],[Capital total]],"")</f>
        <v/>
      </c>
      <c r="W115" s="61">
        <f>Tabela11[[#This Row],[Lucro]]-C114</f>
        <v/>
      </c>
    </row>
    <row r="116">
      <c r="A116" s="64" t="n">
        <v>953.0722286065052</v>
      </c>
      <c r="B116" s="65" t="n">
        <v>751.4846062179314</v>
      </c>
      <c r="C116" s="65" t="n">
        <v>-201.5876223885738</v>
      </c>
      <c r="D116" s="65" t="n">
        <v>6.306999999999999</v>
      </c>
      <c r="E116" s="65" t="n">
        <v>1.507</v>
      </c>
      <c r="F116" s="65" t="n">
        <v>751.4846062179314</v>
      </c>
      <c r="G116" s="66" t="inlineStr">
        <is>
          <t>-</t>
        </is>
      </c>
      <c r="H116" s="65" t="n">
        <v>199.3922286065051</v>
      </c>
      <c r="I116" s="65" t="n">
        <v>183.36</v>
      </c>
      <c r="J116" s="65" t="n">
        <v>170.0893776114261</v>
      </c>
      <c r="K116" s="65" t="n">
        <v>210.75</v>
      </c>
      <c r="L116" s="65" t="n">
        <v>7</v>
      </c>
      <c r="M116" s="65" t="n">
        <v>5.049999999999955</v>
      </c>
      <c r="N116" s="65" t="n">
        <v>6.539999999999964</v>
      </c>
      <c r="O116" s="65" t="n">
        <v>0</v>
      </c>
      <c r="P116" s="65" t="n">
        <v>36.12</v>
      </c>
      <c r="Q116" s="65" t="n">
        <v>39.76000000000001</v>
      </c>
      <c r="R116" s="65" t="n">
        <v>109.41</v>
      </c>
      <c r="S116" s="67" t="n">
        <v>0.1878711515544829</v>
      </c>
      <c r="T116" s="68" t="inlineStr">
        <is>
          <t>12/05/2025</t>
        </is>
      </c>
      <c r="U116" s="18" t="inlineStr">
        <is>
          <t>22:07:40</t>
        </is>
      </c>
      <c r="V116" s="69">
        <f>IFERROR(Tabela11[[#This Row],[Lucro]]*1/Tabela11[[#This Row],[Capital total]],"")</f>
        <v/>
      </c>
      <c r="W116" s="61">
        <f>Tabela11[[#This Row],[Lucro]]-C115</f>
        <v/>
      </c>
    </row>
    <row r="117">
      <c r="A117" s="64" t="n">
        <v>953.0722286065052</v>
      </c>
      <c r="B117" s="65" t="n">
        <v>750.5456899715792</v>
      </c>
      <c r="C117" s="65" t="n">
        <v>-202.5265386349259</v>
      </c>
      <c r="D117" s="65" t="n">
        <v>6.306999999999999</v>
      </c>
      <c r="E117" s="65" t="n">
        <v>1.507</v>
      </c>
      <c r="F117" s="65" t="n">
        <v>750.5456899715792</v>
      </c>
      <c r="G117" s="66" t="inlineStr">
        <is>
          <t>-</t>
        </is>
      </c>
      <c r="H117" s="65" t="n">
        <v>199.392228606505</v>
      </c>
      <c r="I117" s="65" t="n">
        <v>186.92</v>
      </c>
      <c r="J117" s="65" t="n">
        <v>168.220461365074</v>
      </c>
      <c r="K117" s="65" t="n">
        <v>210.48</v>
      </c>
      <c r="L117" s="65" t="n">
        <v>7</v>
      </c>
      <c r="M117" s="65" t="n">
        <v>5.049999999999955</v>
      </c>
      <c r="N117" s="65" t="n">
        <v>6.539999999999964</v>
      </c>
      <c r="O117" s="65" t="n">
        <v>0</v>
      </c>
      <c r="P117" s="65" t="n">
        <v>35.86</v>
      </c>
      <c r="Q117" s="65" t="n">
        <v>39.76000000000001</v>
      </c>
      <c r="R117" s="65" t="n">
        <v>106.75</v>
      </c>
      <c r="S117" s="67" t="n">
        <v>0.1876364224928948</v>
      </c>
      <c r="T117" s="68" t="inlineStr">
        <is>
          <t>13/05/2025</t>
        </is>
      </c>
      <c r="U117" s="18" t="inlineStr">
        <is>
          <t>23:24:48</t>
        </is>
      </c>
      <c r="V117" s="69">
        <f>IFERROR(Tabela11[[#This Row],[Lucro]]*1/Tabela11[[#This Row],[Capital total]],"")</f>
        <v/>
      </c>
      <c r="W117" s="61">
        <f>Tabela11[[#This Row],[Lucro]]-C116</f>
        <v/>
      </c>
    </row>
    <row r="118">
      <c r="A118" s="64" t="n">
        <v>954.2522286065051</v>
      </c>
      <c r="B118" s="65" t="n">
        <v>754.3885903544796</v>
      </c>
      <c r="C118" s="65" t="n">
        <v>-199.8636382520255</v>
      </c>
      <c r="D118" s="65" t="n">
        <v>6.306999999999999</v>
      </c>
      <c r="E118" s="65" t="n">
        <v>1.507</v>
      </c>
      <c r="F118" s="65" t="n">
        <v>754.3885903544796</v>
      </c>
      <c r="G118" s="66" t="inlineStr">
        <is>
          <t>-</t>
        </is>
      </c>
      <c r="H118" s="65" t="n">
        <v>199.392228606505</v>
      </c>
      <c r="I118" s="65" t="n">
        <v>185.89</v>
      </c>
      <c r="J118" s="65" t="n">
        <v>170.4433617479743</v>
      </c>
      <c r="K118" s="65" t="n">
        <v>212.41</v>
      </c>
      <c r="L118" s="65" t="n">
        <v>7</v>
      </c>
      <c r="M118" s="65" t="n">
        <v>6.230000000000018</v>
      </c>
      <c r="N118" s="65" t="n">
        <v>6.539999999999964</v>
      </c>
      <c r="O118" s="65" t="n">
        <v>0</v>
      </c>
      <c r="P118" s="65" t="n">
        <v>36.48</v>
      </c>
      <c r="Q118" s="65" t="n">
        <v>39.76000000000001</v>
      </c>
      <c r="R118" s="65" t="n">
        <v>104.1</v>
      </c>
      <c r="S118" s="67" t="n">
        <v>0.1885971475886199</v>
      </c>
      <c r="T118" s="68" t="inlineStr">
        <is>
          <t>15/05/2025</t>
        </is>
      </c>
      <c r="U118" s="18" t="inlineStr">
        <is>
          <t>22:39:34</t>
        </is>
      </c>
      <c r="V118" s="69">
        <f>IFERROR(Tabela11[[#This Row],[Lucro]]*1/Tabela11[[#This Row],[Capital total]],"")</f>
        <v/>
      </c>
      <c r="W118" s="61">
        <f>Tabela11[[#This Row],[Lucro]]-C117</f>
        <v/>
      </c>
    </row>
    <row r="119">
      <c r="A119" s="64" t="n">
        <v>954.2522286065051</v>
      </c>
      <c r="B119" s="65" t="n">
        <v>756.8726161661978</v>
      </c>
      <c r="C119" s="65" t="n">
        <v>-197.3796124403074</v>
      </c>
      <c r="D119" s="65" t="n">
        <v>6.306999999999999</v>
      </c>
      <c r="E119" s="65" t="n">
        <v>1.507</v>
      </c>
      <c r="F119" s="65" t="n">
        <v>756.8726161661978</v>
      </c>
      <c r="G119" s="66" t="inlineStr">
        <is>
          <t>-</t>
        </is>
      </c>
      <c r="H119" s="65" t="n">
        <v>199.3922286065051</v>
      </c>
      <c r="I119" s="65" t="n">
        <v>185.9</v>
      </c>
      <c r="J119" s="65" t="n">
        <v>169.8673875596925</v>
      </c>
      <c r="K119" s="65" t="n">
        <v>213.62</v>
      </c>
      <c r="L119" s="65" t="n">
        <v>7</v>
      </c>
      <c r="M119" s="65" t="n">
        <v>6.230000000000018</v>
      </c>
      <c r="N119" s="65" t="n">
        <v>6.539999999999964</v>
      </c>
      <c r="O119" s="65" t="n">
        <v>0</v>
      </c>
      <c r="P119" s="65" t="n">
        <v>36.59</v>
      </c>
      <c r="Q119" s="65" t="n">
        <v>39.76000000000001</v>
      </c>
      <c r="R119" s="65" t="n">
        <v>105.81</v>
      </c>
      <c r="S119" s="67" t="n">
        <v>0.1892181540415494</v>
      </c>
      <c r="T119" s="68" t="inlineStr">
        <is>
          <t>17/05/2025</t>
        </is>
      </c>
      <c r="U119" s="18" t="inlineStr">
        <is>
          <t>21:12:33</t>
        </is>
      </c>
      <c r="V119" s="69">
        <f>IFERROR(Tabela11[[#This Row],[Lucro]]*1/Tabela11[[#This Row],[Capital total]],"")</f>
        <v/>
      </c>
      <c r="W119" s="61">
        <f>Tabela11[[#This Row],[Lucro]]-C118</f>
        <v/>
      </c>
    </row>
    <row r="120">
      <c r="A120" s="64" t="n">
        <v>954.2522286065051</v>
      </c>
      <c r="B120" s="65" t="n">
        <v>524.7226161661976</v>
      </c>
      <c r="C120" s="65" t="n">
        <v>-429.5296124403076</v>
      </c>
      <c r="D120" s="65" t="n">
        <v>6.306999999999999</v>
      </c>
      <c r="E120" s="65" t="n">
        <v>1.507</v>
      </c>
      <c r="F120" s="65" t="n">
        <v>524.7226161661976</v>
      </c>
      <c r="G120" s="65" t="n">
        <v>500.0006943633334</v>
      </c>
      <c r="H120" s="65" t="n">
        <v>199.3922286065051</v>
      </c>
      <c r="I120" s="65" t="n">
        <v>185.9</v>
      </c>
      <c r="J120" s="65" t="n">
        <v>169.8673875596925</v>
      </c>
      <c r="K120" s="65" t="n">
        <v>213.62</v>
      </c>
      <c r="L120" s="65" t="n">
        <v>7</v>
      </c>
      <c r="M120" s="65" t="n">
        <v>6.230000000000018</v>
      </c>
      <c r="N120" s="65" t="n">
        <v>6.539999999999964</v>
      </c>
      <c r="O120" s="65" t="n">
        <v>0</v>
      </c>
      <c r="P120" s="65" t="n">
        <v>36.59</v>
      </c>
      <c r="Q120" s="65" t="n">
        <v>39.76000000000001</v>
      </c>
      <c r="R120" s="65" t="n">
        <v>105.81</v>
      </c>
      <c r="S120" s="67" t="n">
        <v>0.1311806540415494</v>
      </c>
      <c r="T120" s="68" t="inlineStr">
        <is>
          <t>17/05/2025</t>
        </is>
      </c>
      <c r="U120" s="18" t="inlineStr">
        <is>
          <t>21:32:01</t>
        </is>
      </c>
      <c r="V120" s="69">
        <f>IFERROR(Tabela11[[#This Row],[Lucro]]*1/Tabela11[[#This Row],[Capital total]],"")</f>
        <v/>
      </c>
      <c r="W120" s="61">
        <f>Tabela11[[#This Row],[Lucro]]-C119</f>
        <v/>
      </c>
    </row>
    <row r="121">
      <c r="A121" s="64" t="n">
        <v>954.2522286065051</v>
      </c>
      <c r="B121" s="65" t="n">
        <v>527.48560930996</v>
      </c>
      <c r="C121" s="65" t="n">
        <v>-426.7666192965452</v>
      </c>
      <c r="D121" s="65" t="n">
        <v>6.306999999999999</v>
      </c>
      <c r="E121" s="65" t="n">
        <v>1.507</v>
      </c>
      <c r="F121" s="65" t="n">
        <v>527.48560930996</v>
      </c>
      <c r="G121" s="65" t="n">
        <v>500.0006943633334</v>
      </c>
      <c r="H121" s="65" t="n">
        <v>199.3922286065051</v>
      </c>
      <c r="I121" s="65" t="n">
        <v>187.39</v>
      </c>
      <c r="J121" s="65" t="n">
        <v>170.0203807034549</v>
      </c>
      <c r="K121" s="65" t="n">
        <v>214.34</v>
      </c>
      <c r="L121" s="65" t="n">
        <v>7</v>
      </c>
      <c r="M121" s="65" t="n">
        <v>6.230000000000018</v>
      </c>
      <c r="N121" s="65" t="n">
        <v>6.539999999999964</v>
      </c>
      <c r="O121" s="65" t="n">
        <v>0</v>
      </c>
      <c r="P121" s="65" t="n">
        <v>36.73999999999999</v>
      </c>
      <c r="Q121" s="65" t="n">
        <v>39.76000000000001</v>
      </c>
      <c r="R121" s="65" t="n">
        <v>105.81</v>
      </c>
      <c r="S121" s="67" t="n">
        <v>0.13187140232749</v>
      </c>
      <c r="T121" s="68" t="inlineStr">
        <is>
          <t>20/05/2025</t>
        </is>
      </c>
      <c r="U121" s="18" t="inlineStr">
        <is>
          <t>21:44:20</t>
        </is>
      </c>
      <c r="V121" s="69">
        <f>IFERROR(Tabela11[[#This Row],[Lucro]]*1/Tabela11[[#This Row],[Capital total]],"")</f>
        <v/>
      </c>
      <c r="W121" s="61">
        <f>Tabela11[[#This Row],[Lucro]]-C120</f>
        <v/>
      </c>
    </row>
    <row r="122">
      <c r="A122" s="64" t="n">
        <v>984.562303669437</v>
      </c>
      <c r="B122" s="65" t="n">
        <v>807.3807092435578</v>
      </c>
      <c r="C122" s="65" t="n">
        <v>-177.1815944258792</v>
      </c>
      <c r="D122" s="65" t="n">
        <v>6.306999999999999</v>
      </c>
      <c r="E122" s="65" t="n">
        <v>1.507</v>
      </c>
      <c r="F122" s="65" t="n">
        <v>807.3807092435578</v>
      </c>
      <c r="G122" s="65" t="n">
        <v>500.0006943633334</v>
      </c>
      <c r="H122" s="65" t="n">
        <v>228.9723036694371</v>
      </c>
      <c r="I122" s="65" t="n">
        <v>184.67</v>
      </c>
      <c r="J122" s="65" t="n">
        <v>169.4654055741207</v>
      </c>
      <c r="K122" s="65" t="n">
        <v>214.47</v>
      </c>
      <c r="L122" s="65" t="n">
        <v>7</v>
      </c>
      <c r="M122" s="65" t="n">
        <v>6.960000000000036</v>
      </c>
      <c r="N122" s="65" t="n">
        <v>6.539999999999964</v>
      </c>
      <c r="O122" s="65" t="n">
        <v>0</v>
      </c>
      <c r="P122" s="65" t="n">
        <v>36.3</v>
      </c>
      <c r="Q122" s="65" t="n">
        <v>39.76000000000001</v>
      </c>
      <c r="R122" s="65" t="n">
        <v>108.33</v>
      </c>
      <c r="S122" s="67" t="n">
        <v>0.2018451773108895</v>
      </c>
      <c r="T122" s="68" t="inlineStr">
        <is>
          <t>22/05/2025</t>
        </is>
      </c>
      <c r="U122" s="18" t="inlineStr">
        <is>
          <t>10:21:07</t>
        </is>
      </c>
      <c r="V122" s="69">
        <f>IFERROR(Tabela11[[#This Row],[Lucro]]*1/Tabela11[[#This Row],[Capital total]],"")</f>
        <v/>
      </c>
      <c r="W122" s="61">
        <f>Tabela11[[#This Row],[Lucro]]-C121</f>
        <v/>
      </c>
    </row>
    <row r="123">
      <c r="A123" s="64" t="n">
        <v>984.562303669437</v>
      </c>
      <c r="B123" s="65" t="n">
        <v>809.7067130077667</v>
      </c>
      <c r="C123" s="65" t="n">
        <v>-174.8555906616704</v>
      </c>
      <c r="D123" s="65" t="n">
        <v>6.306999999999999</v>
      </c>
      <c r="E123" s="65" t="n">
        <v>1.507</v>
      </c>
      <c r="F123" s="65" t="n">
        <v>809.7067130077667</v>
      </c>
      <c r="G123" s="65" t="n">
        <v>500.0006943633334</v>
      </c>
      <c r="H123" s="65" t="n">
        <v>228.972303669437</v>
      </c>
      <c r="I123" s="65" t="n">
        <v>184.4300000000001</v>
      </c>
      <c r="J123" s="65" t="n">
        <v>169.3814093383296</v>
      </c>
      <c r="K123" s="65" t="n">
        <v>216.8599999999999</v>
      </c>
      <c r="L123" s="65" t="n">
        <v>7</v>
      </c>
      <c r="M123" s="65" t="n">
        <v>6.960000000000036</v>
      </c>
      <c r="N123" s="65" t="n">
        <v>6.539999999999964</v>
      </c>
      <c r="O123" s="65" t="n">
        <v>0</v>
      </c>
      <c r="P123" s="65" t="n">
        <v>36.19</v>
      </c>
      <c r="Q123" s="65" t="n">
        <v>39.76000000000001</v>
      </c>
      <c r="R123" s="65" t="n">
        <v>108.33</v>
      </c>
      <c r="S123" s="67" t="n">
        <v>0.2024266782519417</v>
      </c>
      <c r="T123" s="68" t="inlineStr">
        <is>
          <t>24/05/2025</t>
        </is>
      </c>
      <c r="U123" s="18" t="inlineStr">
        <is>
          <t>08:18:01</t>
        </is>
      </c>
      <c r="V123" s="69">
        <f>IFERROR(Tabela11[[#This Row],[Lucro]]*1/Tabela11[[#This Row],[Capital total]],"")</f>
        <v/>
      </c>
      <c r="W123" s="61">
        <f>Tabela11[[#This Row],[Lucro]]-C122</f>
        <v/>
      </c>
    </row>
    <row r="124">
      <c r="A124" s="64" t="n">
        <v>994.8097736759404</v>
      </c>
      <c r="B124" s="65" t="n">
        <v>820.07418301427</v>
      </c>
      <c r="C124" s="65" t="n">
        <v>-174.7355906616704</v>
      </c>
      <c r="D124" s="65" t="n">
        <v>6.306999999999999</v>
      </c>
      <c r="E124" s="65" t="n">
        <v>1.507</v>
      </c>
      <c r="F124" s="65" t="n">
        <v>820.07418301427</v>
      </c>
      <c r="G124" s="65" t="n">
        <v>500.0006943633334</v>
      </c>
      <c r="H124" s="65" t="n">
        <v>239.2197736759402</v>
      </c>
      <c r="I124" s="65" t="n">
        <v>184.4299999999999</v>
      </c>
      <c r="J124" s="65" t="n">
        <v>169.3814093383297</v>
      </c>
      <c r="K124" s="65" t="n">
        <v>216.86</v>
      </c>
      <c r="L124" s="65" t="n">
        <v>7</v>
      </c>
      <c r="M124" s="65" t="n">
        <v>6.960000000000036</v>
      </c>
      <c r="N124" s="65" t="n">
        <v>6.539999999999964</v>
      </c>
      <c r="O124" s="65" t="n">
        <v>0</v>
      </c>
      <c r="P124" s="65" t="n">
        <v>36.19</v>
      </c>
      <c r="Q124" s="65" t="n">
        <v>39.76000000000001</v>
      </c>
      <c r="R124" s="65" t="n">
        <v>108.33</v>
      </c>
      <c r="S124" s="67" t="n">
        <v>0.2050185457535675</v>
      </c>
      <c r="T124" s="68" t="inlineStr">
        <is>
          <t>25/05/2025</t>
        </is>
      </c>
      <c r="U124" s="18" t="inlineStr">
        <is>
          <t>20:49:35</t>
        </is>
      </c>
      <c r="V124" s="69">
        <f>IFERROR(Tabela11[[#This Row],[Lucro]]*1/Tabela11[[#This Row],[Capital total]],"")</f>
        <v/>
      </c>
      <c r="W124" s="61">
        <f>Tabela11[[#This Row],[Lucro]]-C123</f>
        <v/>
      </c>
    </row>
    <row r="125">
      <c r="A125" s="64" t="n">
        <v>994.8097736759404</v>
      </c>
      <c r="B125" s="65" t="n">
        <v>850.07418301427</v>
      </c>
      <c r="C125" s="65" t="n">
        <v>-144.7355906616704</v>
      </c>
      <c r="D125" s="65" t="n">
        <v>6.306999999999999</v>
      </c>
      <c r="E125" s="65" t="n">
        <v>1.507</v>
      </c>
      <c r="F125" s="65" t="n">
        <v>850.07418301427</v>
      </c>
      <c r="G125" s="65" t="n">
        <v>220.0003471816667</v>
      </c>
      <c r="H125" s="65" t="n">
        <v>239.2197736759402</v>
      </c>
      <c r="I125" s="65" t="n">
        <v>184.4299999999999</v>
      </c>
      <c r="J125" s="65" t="n">
        <v>169.3814093383297</v>
      </c>
      <c r="K125" s="65" t="n">
        <v>216.86</v>
      </c>
      <c r="L125" s="65" t="n">
        <v>7</v>
      </c>
      <c r="M125" s="65" t="n">
        <v>6.960000000000036</v>
      </c>
      <c r="N125" s="65" t="n">
        <v>6.539999999999964</v>
      </c>
      <c r="O125" s="65" t="n">
        <v>0</v>
      </c>
      <c r="P125" s="65" t="n">
        <v>36.19</v>
      </c>
      <c r="Q125" s="65" t="n">
        <v>39.76000000000001</v>
      </c>
      <c r="R125" s="65" t="n">
        <v>108.33</v>
      </c>
      <c r="S125" s="67" t="n">
        <v>0.2125185457535675</v>
      </c>
      <c r="T125" s="68" t="inlineStr">
        <is>
          <t>25/05/2025</t>
        </is>
      </c>
      <c r="U125" s="18" t="inlineStr">
        <is>
          <t>22:47:07</t>
        </is>
      </c>
      <c r="V125" s="69">
        <f>IFERROR(Tabela11[[#This Row],[Lucro]]*1/Tabela11[[#This Row],[Capital total]],"")</f>
        <v/>
      </c>
      <c r="W125" s="61">
        <f>Tabela11[[#This Row],[Lucro]]-C124</f>
        <v/>
      </c>
    </row>
    <row r="126">
      <c r="A126" s="64" t="n">
        <v>1054.809773675941</v>
      </c>
      <c r="B126" s="65" t="n">
        <v>907.5</v>
      </c>
      <c r="C126" s="65" t="n">
        <v>-147.31</v>
      </c>
      <c r="D126" s="65" t="n">
        <v>6.306999999999999</v>
      </c>
      <c r="E126" s="65" t="n">
        <v>1.507</v>
      </c>
      <c r="F126" s="65" t="n">
        <v>850.0741830142701</v>
      </c>
      <c r="G126" s="65" t="n">
        <v>220.0003471816667</v>
      </c>
      <c r="H126" s="65" t="n">
        <v>239.2197736759404</v>
      </c>
      <c r="I126" s="65" t="n">
        <v>184.4300000000001</v>
      </c>
      <c r="J126" s="65" t="n">
        <v>226.8</v>
      </c>
      <c r="K126" s="65" t="n">
        <v>216.8599999999999</v>
      </c>
      <c r="L126" s="65" t="n">
        <v>7</v>
      </c>
      <c r="M126" s="65" t="n">
        <v>6.960000000000036</v>
      </c>
      <c r="N126" s="65" t="n">
        <v>6.539999999999964</v>
      </c>
      <c r="O126" s="65" t="n">
        <v>0</v>
      </c>
      <c r="P126" s="65" t="n">
        <v>36.19</v>
      </c>
      <c r="Q126" s="65" t="n">
        <v>39.76000000000001</v>
      </c>
      <c r="R126" s="65" t="n">
        <v>108.33</v>
      </c>
      <c r="S126" s="67" t="n">
        <v>0.22687</v>
      </c>
      <c r="T126" s="68" t="inlineStr">
        <is>
          <t>25/05/2025</t>
        </is>
      </c>
      <c r="U126" s="18" t="inlineStr">
        <is>
          <t>23:03:14</t>
        </is>
      </c>
      <c r="V126" s="69">
        <f>IFERROR(Tabela11[[#This Row],[Lucro]]*1/Tabela11[[#This Row],[Capital total]],"")</f>
        <v/>
      </c>
      <c r="W126" s="61">
        <f>Tabela11[[#This Row],[Lucro]]-C125</f>
        <v/>
      </c>
    </row>
    <row r="127">
      <c r="A127" s="64" t="n">
        <v>1060.229064931454</v>
      </c>
      <c r="B127" s="65" t="n">
        <v>916.6153066069295</v>
      </c>
      <c r="C127" s="65" t="n">
        <v>-143.6137583245242</v>
      </c>
      <c r="D127" s="65" t="n">
        <v>6.306999999999999</v>
      </c>
      <c r="E127" s="65" t="n">
        <v>1.507</v>
      </c>
      <c r="F127" s="65" t="n">
        <v>916.6153066069295</v>
      </c>
      <c r="G127" s="65" t="e">
        <v>#REF!</v>
      </c>
      <c r="H127" s="65" t="n">
        <v>244.6390649314536</v>
      </c>
      <c r="I127" s="65" t="n">
        <v>184.0200000000001</v>
      </c>
      <c r="J127" s="65" t="n">
        <v>227.0332416754758</v>
      </c>
      <c r="K127" s="65" t="n">
        <v>217.0600000000001</v>
      </c>
      <c r="L127" s="65" t="n">
        <v>7</v>
      </c>
      <c r="M127" s="65" t="n">
        <v>6.960000000000036</v>
      </c>
      <c r="N127" s="65" t="n">
        <v>6.539999999999964</v>
      </c>
      <c r="O127" s="65" t="n">
        <v>0</v>
      </c>
      <c r="P127" s="65" t="n">
        <v>36.36</v>
      </c>
      <c r="Q127" s="65" t="n">
        <v>39.76000000000001</v>
      </c>
      <c r="R127" s="65" t="n">
        <v>111.7</v>
      </c>
      <c r="S127" s="67" t="n">
        <v>0.2291538266517324</v>
      </c>
      <c r="T127" s="68" t="inlineStr">
        <is>
          <t>27/05/2025</t>
        </is>
      </c>
      <c r="U127" s="18" t="inlineStr">
        <is>
          <t>10:01:21</t>
        </is>
      </c>
      <c r="V127" s="69">
        <f>IFERROR(Tabela11[[#This Row],[Lucro]]*1/Tabela11[[#This Row],[Capital total]],"")</f>
        <v/>
      </c>
      <c r="W127" s="61">
        <f>Tabela11[[#This Row],[Lucro]]-C126</f>
        <v/>
      </c>
    </row>
    <row r="128">
      <c r="A128" s="64" t="n">
        <v>1060.229064931454</v>
      </c>
      <c r="B128" s="65" t="n">
        <v>798.1595805967255</v>
      </c>
      <c r="C128" s="65" t="n">
        <v>-262.0694843347281</v>
      </c>
      <c r="D128" s="65" t="n">
        <v>6.306999999999999</v>
      </c>
      <c r="E128" s="65" t="n">
        <v>1.507</v>
      </c>
      <c r="F128" s="65" t="n">
        <v>798.1595805967255</v>
      </c>
      <c r="G128" s="65" t="n">
        <v>359.9983375133333</v>
      </c>
      <c r="H128" s="65" t="n">
        <v>244.6390649314536</v>
      </c>
      <c r="I128" s="65" t="n">
        <v>184.78</v>
      </c>
      <c r="J128" s="65" t="n">
        <v>228.5275156652718</v>
      </c>
      <c r="K128" s="65" t="n">
        <v>216.25</v>
      </c>
      <c r="L128" s="65" t="n">
        <v>7</v>
      </c>
      <c r="M128" s="65" t="n">
        <v>6.960000000000036</v>
      </c>
      <c r="N128" s="65" t="n">
        <v>6.539999999999964</v>
      </c>
      <c r="O128" s="65" t="n">
        <v>0</v>
      </c>
      <c r="P128" s="65" t="n">
        <v>36.73</v>
      </c>
      <c r="Q128" s="65" t="n">
        <v>39.76000000000001</v>
      </c>
      <c r="R128" s="65" t="n">
        <v>111.7</v>
      </c>
      <c r="S128" s="67" t="n">
        <v>0.1995398951491814</v>
      </c>
      <c r="T128" s="68" t="inlineStr">
        <is>
          <t>28/05/2025</t>
        </is>
      </c>
      <c r="U128" s="18" t="inlineStr">
        <is>
          <t>23:14:02</t>
        </is>
      </c>
      <c r="V128" s="69">
        <f>IFERROR(Tabela11[[#This Row],[Lucro]]*1/Tabela11[[#This Row],[Capital total]],"")</f>
        <v/>
      </c>
      <c r="W128" s="61">
        <f>Tabela11[[#This Row],[Lucro]]-C127</f>
        <v/>
      </c>
    </row>
    <row r="129">
      <c r="A129" s="64" t="n">
        <v>1060.229064931454</v>
      </c>
      <c r="B129" s="65" t="n">
        <v>518.1323901437963</v>
      </c>
      <c r="C129" s="65" t="n">
        <v>-542.0966747876573</v>
      </c>
      <c r="D129" s="65" t="n">
        <v>6.306999999999999</v>
      </c>
      <c r="E129" s="65" t="n">
        <v>1.507</v>
      </c>
      <c r="F129" s="65" t="n">
        <v>518.1323901437963</v>
      </c>
      <c r="G129" s="65" t="n">
        <v>716.4035933333333</v>
      </c>
      <c r="H129" s="65" t="n">
        <v>244.6390649314535</v>
      </c>
      <c r="I129" s="65" t="n">
        <v>183.15</v>
      </c>
      <c r="J129" s="65" t="n">
        <v>228.7203252123425</v>
      </c>
      <c r="K129" s="65" t="n">
        <v>213.41</v>
      </c>
      <c r="L129" s="65" t="n">
        <v>7</v>
      </c>
      <c r="M129" s="65" t="n">
        <v>6.960000000000036</v>
      </c>
      <c r="N129" s="65" t="n">
        <v>6.539999999999964</v>
      </c>
      <c r="O129" s="65" t="n">
        <v>0</v>
      </c>
      <c r="P129" s="65" t="n">
        <v>36.69</v>
      </c>
      <c r="Q129" s="65" t="n">
        <v>39.76000000000001</v>
      </c>
      <c r="R129" s="65" t="n">
        <v>111.7</v>
      </c>
      <c r="S129" s="67" t="n">
        <v>0.1295330975359491</v>
      </c>
      <c r="T129" s="68" t="inlineStr">
        <is>
          <t>03/06/2025</t>
        </is>
      </c>
      <c r="U129" s="18" t="inlineStr">
        <is>
          <t>10:12:44</t>
        </is>
      </c>
      <c r="V129" s="69">
        <f>IFERROR(Tabela11[[#This Row],[Lucro]]*1/Tabela11[[#This Row],[Capital total]],"")</f>
        <v/>
      </c>
      <c r="W129" s="61">
        <f>Tabela11[[#This Row],[Lucro]]-C128</f>
        <v/>
      </c>
    </row>
    <row r="130">
      <c r="A130" s="64" t="n">
        <v>1060.229064931454</v>
      </c>
      <c r="B130" s="65" t="n">
        <v>518.1323901437963</v>
      </c>
      <c r="C130" s="65" t="n">
        <v>-542.0966747876573</v>
      </c>
      <c r="D130" s="65" t="n">
        <v>6.306999999999999</v>
      </c>
      <c r="E130" s="65" t="n">
        <v>1.507</v>
      </c>
      <c r="F130" s="65" t="n">
        <v>518.1323901437963</v>
      </c>
      <c r="G130" s="65" t="n">
        <v>716.4035933333333</v>
      </c>
      <c r="H130" s="65" t="n">
        <v>244.6390649314535</v>
      </c>
      <c r="I130" s="65" t="n">
        <v>183.15</v>
      </c>
      <c r="J130" s="65" t="n">
        <v>228.7203252123425</v>
      </c>
      <c r="K130" s="65" t="n">
        <v>213.41</v>
      </c>
      <c r="L130" s="65" t="n">
        <v>7</v>
      </c>
      <c r="M130" s="65" t="n">
        <v>6.960000000000036</v>
      </c>
      <c r="N130" s="65" t="n">
        <v>6.539999999999964</v>
      </c>
      <c r="O130" s="65" t="n">
        <v>0</v>
      </c>
      <c r="P130" s="65" t="n">
        <v>36.69</v>
      </c>
      <c r="Q130" s="65" t="n">
        <v>39.76000000000001</v>
      </c>
      <c r="R130" s="65" t="n">
        <v>111.7</v>
      </c>
      <c r="S130" s="67" t="n">
        <v>0.1295330975359491</v>
      </c>
      <c r="T130" s="68" t="inlineStr">
        <is>
          <t>05/06/2025</t>
        </is>
      </c>
      <c r="U130" s="18" t="inlineStr">
        <is>
          <t>06:33:09</t>
        </is>
      </c>
      <c r="V130" s="69">
        <f>IFERROR(Tabela11[[#This Row],[Lucro]]*1/Tabela11[[#This Row],[Capital total]],"")</f>
        <v/>
      </c>
      <c r="W130" s="61">
        <f>Tabela11[[#This Row],[Lucro]]-C129</f>
        <v/>
      </c>
    </row>
    <row r="132">
      <c r="A132" t="n">
        <v>1060.229064931454</v>
      </c>
      <c r="B132" t="n">
        <v>513.0544900577471</v>
      </c>
      <c r="C132" t="n">
        <v>-547.1745748737065</v>
      </c>
      <c r="D132" t="n">
        <v>6.306999999999999</v>
      </c>
      <c r="E132" t="n">
        <v>1.507</v>
      </c>
      <c r="F132" t="n">
        <v>513.0544900577471</v>
      </c>
      <c r="G132" t="e">
        <v>#REF!</v>
      </c>
      <c r="H132" t="n">
        <v>244.6390649314535</v>
      </c>
      <c r="I132" t="n">
        <v>180.77</v>
      </c>
      <c r="J132" t="n">
        <v>226.3624251262931</v>
      </c>
      <c r="K132" t="n">
        <v>212.88</v>
      </c>
      <c r="L132" t="n">
        <v>7</v>
      </c>
      <c r="M132" t="n">
        <v>6.960000000000036</v>
      </c>
      <c r="N132" t="n">
        <v>6.539999999999964</v>
      </c>
      <c r="O132" t="n">
        <v>0</v>
      </c>
      <c r="P132" t="n">
        <v>36.67</v>
      </c>
      <c r="Q132" t="n">
        <v>39.76000000000001</v>
      </c>
      <c r="R132" t="n">
        <v>111.7</v>
      </c>
      <c r="S132" t="n">
        <v>0.1282636225144368</v>
      </c>
      <c r="T132" t="inlineStr">
        <is>
          <t>05/06/2025</t>
        </is>
      </c>
      <c r="U132" t="inlineStr">
        <is>
          <t>06:34:48</t>
        </is>
      </c>
    </row>
    <row r="133">
      <c r="A133" t="n">
        <v>1060.229064931454</v>
      </c>
      <c r="B133" t="n">
        <v>513.0544900577471</v>
      </c>
      <c r="C133" t="n">
        <v>-547.1745748737065</v>
      </c>
      <c r="D133" t="n">
        <v>6.306999999999999</v>
      </c>
      <c r="E133" t="n">
        <v>1.507</v>
      </c>
      <c r="F133" t="n">
        <v>513.0544900577471</v>
      </c>
      <c r="G133" t="e">
        <v>#REF!</v>
      </c>
      <c r="H133" t="n">
        <v>244.6390649314535</v>
      </c>
      <c r="I133" t="n">
        <v>180.77</v>
      </c>
      <c r="J133" t="n">
        <v>226.3624251262931</v>
      </c>
      <c r="K133" t="n">
        <v>212.88</v>
      </c>
      <c r="L133" t="n">
        <v>7</v>
      </c>
      <c r="M133" t="n">
        <v>6.960000000000036</v>
      </c>
      <c r="N133" t="n">
        <v>6.539999999999964</v>
      </c>
      <c r="O133" t="n">
        <v>0</v>
      </c>
      <c r="P133" t="n">
        <v>36.67</v>
      </c>
      <c r="Q133" t="n">
        <v>39.76000000000001</v>
      </c>
      <c r="R133" t="n">
        <v>111.7</v>
      </c>
      <c r="S133" t="n">
        <v>0.1282636225144368</v>
      </c>
      <c r="T133" t="inlineStr">
        <is>
          <t>05/06/2025</t>
        </is>
      </c>
      <c r="U133" t="inlineStr">
        <is>
          <t>06:37:15</t>
        </is>
      </c>
    </row>
  </sheetData>
  <mergeCells count="1">
    <mergeCell ref="A1:U2"/>
  </mergeCells>
  <conditionalFormatting sqref="H5:H130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I5:I13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K5:K130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Q5:R13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S5:S130">
    <cfRule type="dataBar" priority="22">
      <dataBar>
        <cfvo type="min"/>
        <cfvo type="max"/>
        <color rgb="FF638EC6"/>
      </dataBar>
    </cfRule>
    <cfRule type="top10" rank="10" priority="23" dxfId="0" percent="1"/>
    <cfRule type="iconSet" priority="24">
      <iconSet iconSet="3Arrows">
        <cfvo type="percent" val="0"/>
        <cfvo type="percent" val="33"/>
        <cfvo type="percent" val="67"/>
      </iconSet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5" bottom="0.787401575" header="0.31496062" footer="0.31496062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opLeftCell="A2" workbookViewId="0">
      <selection activeCell="B10" sqref="B10"/>
    </sheetView>
  </sheetViews>
  <sheetFormatPr baseColWidth="8" defaultRowHeight="15"/>
  <cols>
    <col width="10.5703125" customWidth="1" style="45" min="1" max="2"/>
    <col width="9.5703125" bestFit="1" customWidth="1" style="45" min="3" max="4"/>
    <col width="10.5703125" bestFit="1" customWidth="1" style="45" min="5" max="5"/>
  </cols>
  <sheetData>
    <row r="1">
      <c r="A1" t="inlineStr">
        <is>
          <t>Valores acumulados em meses</t>
        </is>
      </c>
    </row>
    <row r="4">
      <c r="A4" s="28" t="inlineStr">
        <is>
          <t>Mês</t>
        </is>
      </c>
      <c r="B4" s="27" t="inlineStr">
        <is>
          <t>Valor</t>
        </is>
      </c>
      <c r="E4" s="29" t="inlineStr">
        <is>
          <t>Total</t>
        </is>
      </c>
    </row>
    <row r="5">
      <c r="A5" s="36" t="inlineStr">
        <is>
          <t>jan/25</t>
        </is>
      </c>
      <c r="B5" s="74" t="n">
        <v>-27.01712459565215</v>
      </c>
      <c r="C5" s="5" t="n"/>
      <c r="E5" s="75">
        <f>SUM(Tabela12[Valor])</f>
        <v/>
      </c>
    </row>
    <row r="6">
      <c r="A6" s="36" t="inlineStr">
        <is>
          <t>fev/25</t>
        </is>
      </c>
      <c r="B6" s="74" t="n">
        <v>25.1199742566731</v>
      </c>
      <c r="C6" s="71" t="n"/>
    </row>
    <row r="7">
      <c r="A7" s="37" t="inlineStr">
        <is>
          <t>mar/25</t>
        </is>
      </c>
      <c r="B7" s="76">
        <f>SUM(Base!W49:W81)</f>
        <v/>
      </c>
    </row>
    <row r="8">
      <c r="A8" s="38" t="n">
        <v>45748</v>
      </c>
      <c r="B8" s="76">
        <f>SUM(Base!W82:W108)</f>
        <v/>
      </c>
    </row>
    <row r="9">
      <c r="A9" s="38" t="n">
        <v>45778</v>
      </c>
      <c r="B9" s="76">
        <f>SUM(Base!W109:W126)</f>
        <v/>
      </c>
    </row>
    <row r="11">
      <c r="A11" s="35" t="n"/>
    </row>
    <row r="12">
      <c r="A12" s="35" t="n"/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Armando rodrigues</dc:creator>
  <dcterms:created xsi:type="dcterms:W3CDTF">2025-01-16T23:18:32Z</dcterms:created>
  <dcterms:modified xsi:type="dcterms:W3CDTF">2025-06-05T09:37:15Z</dcterms:modified>
  <cp:lastModifiedBy>Armando rodrigues</cp:lastModifiedBy>
  <cp:lastPrinted>2025-04-05T01:16:42Z</cp:lastPrinted>
</cp:coreProperties>
</file>