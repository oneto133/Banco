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68431def48b862b/Documentos/"/>
    </mc:Choice>
  </mc:AlternateContent>
  <xr:revisionPtr revIDLastSave="3769" documentId="8_{F5FB63E0-06CA-4436-B336-401368D2AF29}" xr6:coauthVersionLast="47" xr6:coauthVersionMax="47" xr10:uidLastSave="{79736F2F-BFCF-4F25-A302-EACCA990F47D}"/>
  <bookViews>
    <workbookView xWindow="-120" yWindow="-120" windowWidth="20730" windowHeight="11040" xr2:uid="{0C90E633-8AD9-48BB-9345-05ABC524E1DE}"/>
  </bookViews>
  <sheets>
    <sheet name="CONTAS" sheetId="1" r:id="rId1"/>
    <sheet name="Levantamento de gastos do mês" sheetId="2" r:id="rId2"/>
    <sheet name="Lista de compras do mês" sheetId="3" r:id="rId3"/>
  </sheets>
  <definedNames>
    <definedName name="_xlnm._FilterDatabase" localSheetId="1" hidden="1">'Levantamento de gastos do mês'!$A$3:$N$56</definedName>
    <definedName name="_xleta.HYPERLINK" hidden="1" xlm="1">#NAME?</definedName>
    <definedName name="_xleta.TODAY" hidden="1" xlm="1">#NAME?</definedName>
    <definedName name="_xlnm.Extract" localSheetId="1">'Levantamento de gastos do mês'!$D$55:$Q$55</definedName>
    <definedName name="_xlnm.Criteria" localSheetId="1">'Levantamento de gastos do mês'!$A$55:$A$56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3" i="1" l="1"/>
  <c r="T23" i="1"/>
  <c r="B6" i="2"/>
  <c r="A55" i="3"/>
  <c r="A56" i="3"/>
  <c r="B55" i="3"/>
  <c r="B56" i="3"/>
  <c r="A51" i="3"/>
  <c r="A52" i="3"/>
  <c r="A53" i="3"/>
  <c r="A54" i="3"/>
  <c r="B51" i="3"/>
  <c r="B52" i="3"/>
  <c r="B53" i="3"/>
  <c r="B54" i="3"/>
  <c r="F56" i="2"/>
  <c r="G56" i="2"/>
  <c r="K56" i="2"/>
  <c r="L56" i="2"/>
  <c r="C56" i="3" s="1"/>
  <c r="D56" i="3" s="1"/>
  <c r="M56" i="2"/>
  <c r="F55" i="2"/>
  <c r="G55" i="2"/>
  <c r="K55" i="2"/>
  <c r="L55" i="2"/>
  <c r="C55" i="3" s="1"/>
  <c r="D55" i="3" s="1"/>
  <c r="M55" i="2"/>
  <c r="F54" i="2"/>
  <c r="G54" i="2"/>
  <c r="K54" i="2"/>
  <c r="L54" i="2"/>
  <c r="C54" i="3" s="1"/>
  <c r="D54" i="3" s="1"/>
  <c r="M54" i="2"/>
  <c r="H53" i="2"/>
  <c r="F53" i="2"/>
  <c r="G53" i="2"/>
  <c r="K53" i="2"/>
  <c r="L53" i="2"/>
  <c r="C53" i="3" s="1"/>
  <c r="D53" i="3" s="1"/>
  <c r="M53" i="2"/>
  <c r="H7" i="2"/>
  <c r="H32" i="2"/>
  <c r="F52" i="2"/>
  <c r="G52" i="2"/>
  <c r="K52" i="2"/>
  <c r="L52" i="2"/>
  <c r="C52" i="3" s="1"/>
  <c r="D52" i="3" s="1"/>
  <c r="M52" i="2"/>
  <c r="H8" i="2"/>
  <c r="F51" i="2"/>
  <c r="G51" i="2"/>
  <c r="K51" i="2"/>
  <c r="L51" i="2"/>
  <c r="C51" i="3" s="1"/>
  <c r="D51" i="3" s="1"/>
  <c r="M51" i="2"/>
  <c r="B8" i="2"/>
  <c r="P21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D34" i="1"/>
  <c r="D35" i="1"/>
  <c r="D36" i="1"/>
  <c r="D37" i="1"/>
  <c r="D38" i="1"/>
  <c r="D39" i="1"/>
  <c r="D40" i="1"/>
  <c r="D41" i="1"/>
  <c r="D42" i="1"/>
  <c r="G42" i="1"/>
  <c r="G41" i="1"/>
  <c r="G40" i="1"/>
  <c r="G39" i="1"/>
  <c r="G38" i="1"/>
  <c r="G37" i="1"/>
  <c r="G36" i="1"/>
  <c r="H29" i="1"/>
  <c r="F29" i="1"/>
  <c r="C29" i="1"/>
  <c r="D29" i="1" s="1"/>
  <c r="T22" i="1"/>
  <c r="H38" i="2"/>
  <c r="I38" i="2"/>
  <c r="A50" i="3"/>
  <c r="B50" i="3"/>
  <c r="A46" i="3"/>
  <c r="A47" i="3"/>
  <c r="A48" i="3"/>
  <c r="A49" i="3"/>
  <c r="B46" i="3"/>
  <c r="B47" i="3"/>
  <c r="B49" i="3"/>
  <c r="F50" i="2"/>
  <c r="G50" i="2"/>
  <c r="K50" i="2"/>
  <c r="L50" i="2"/>
  <c r="M50" i="2"/>
  <c r="H22" i="2"/>
  <c r="H25" i="2"/>
  <c r="F49" i="2"/>
  <c r="G49" i="2"/>
  <c r="K49" i="2"/>
  <c r="L49" i="2"/>
  <c r="C50" i="3"/>
  <c r="D50" i="3"/>
  <c r="M49" i="2"/>
  <c r="C49" i="3"/>
  <c r="D49" i="3"/>
  <c r="I48" i="2"/>
  <c r="B48" i="3"/>
  <c r="F48" i="2"/>
  <c r="G48" i="2"/>
  <c r="K48" i="2"/>
  <c r="L48" i="2"/>
  <c r="C48" i="3"/>
  <c r="D48" i="3"/>
  <c r="M48" i="2"/>
  <c r="B47" i="2"/>
  <c r="F47" i="2"/>
  <c r="G47" i="2"/>
  <c r="K47" i="2"/>
  <c r="L47" i="2"/>
  <c r="C47" i="3"/>
  <c r="D47" i="3"/>
  <c r="M47" i="2"/>
  <c r="B46" i="2"/>
  <c r="F46" i="2"/>
  <c r="G46" i="2"/>
  <c r="K46" i="2"/>
  <c r="L46" i="2"/>
  <c r="C46" i="3"/>
  <c r="D46" i="3"/>
  <c r="M46" i="2"/>
  <c r="P12" i="1"/>
  <c r="F5" i="1"/>
  <c r="F21" i="1"/>
  <c r="AG5" i="1"/>
  <c r="U5" i="1"/>
  <c r="AI5" i="1"/>
  <c r="J5" i="1"/>
  <c r="P11" i="1"/>
  <c r="AE5" i="1"/>
  <c r="AB12" i="1"/>
  <c r="AF12" i="1"/>
  <c r="AF13" i="1"/>
  <c r="AF14" i="1"/>
  <c r="AF15" i="1"/>
  <c r="AF16" i="1"/>
  <c r="AF17" i="1"/>
  <c r="AF18" i="1"/>
  <c r="AF19" i="1"/>
  <c r="S5" i="1"/>
  <c r="T21" i="1"/>
  <c r="A40" i="3"/>
  <c r="A41" i="3"/>
  <c r="A42" i="3"/>
  <c r="A43" i="3"/>
  <c r="A44" i="3"/>
  <c r="A45" i="3"/>
  <c r="B40" i="3"/>
  <c r="B41" i="3"/>
  <c r="B42" i="3"/>
  <c r="B43" i="3"/>
  <c r="B44" i="3"/>
  <c r="B45" i="3"/>
  <c r="A28" i="3"/>
  <c r="A29" i="3"/>
  <c r="A30" i="3"/>
  <c r="A31" i="3"/>
  <c r="A32" i="3"/>
  <c r="A33" i="3"/>
  <c r="A34" i="3"/>
  <c r="A35" i="3"/>
  <c r="A36" i="3"/>
  <c r="A37" i="3"/>
  <c r="A38" i="3"/>
  <c r="A39" i="3"/>
  <c r="B28" i="3"/>
  <c r="B29" i="3"/>
  <c r="B30" i="3"/>
  <c r="B31" i="3"/>
  <c r="B32" i="3"/>
  <c r="B33" i="3"/>
  <c r="B34" i="3"/>
  <c r="B35" i="3"/>
  <c r="B36" i="3"/>
  <c r="B37" i="3"/>
  <c r="B38" i="3"/>
  <c r="B39" i="3"/>
  <c r="F45" i="2"/>
  <c r="G45" i="2"/>
  <c r="K45" i="2"/>
  <c r="L45" i="2"/>
  <c r="C45" i="3"/>
  <c r="D45" i="3"/>
  <c r="M45" i="2"/>
  <c r="K44" i="2"/>
  <c r="F43" i="2"/>
  <c r="G43" i="2"/>
  <c r="K43" i="2"/>
  <c r="L43" i="2"/>
  <c r="C43" i="3"/>
  <c r="D43" i="3"/>
  <c r="M43" i="2"/>
  <c r="F42" i="2"/>
  <c r="G42" i="2"/>
  <c r="K42" i="2"/>
  <c r="L42" i="2"/>
  <c r="C42" i="3"/>
  <c r="D42" i="3"/>
  <c r="M42" i="2"/>
  <c r="F41" i="2"/>
  <c r="G41" i="2"/>
  <c r="K41" i="2"/>
  <c r="L41" i="2"/>
  <c r="C41" i="3"/>
  <c r="D41" i="3"/>
  <c r="M41" i="2"/>
  <c r="F40" i="2"/>
  <c r="G40" i="2"/>
  <c r="K40" i="2"/>
  <c r="L40" i="2"/>
  <c r="C40" i="3"/>
  <c r="D40" i="3"/>
  <c r="M40" i="2"/>
  <c r="F39" i="2"/>
  <c r="G39" i="2"/>
  <c r="K39" i="2"/>
  <c r="L39" i="2"/>
  <c r="C39" i="3"/>
  <c r="D39" i="3"/>
  <c r="M39" i="2"/>
  <c r="F38" i="2"/>
  <c r="G38" i="2"/>
  <c r="K38" i="2"/>
  <c r="L38" i="2"/>
  <c r="C38" i="3"/>
  <c r="D38" i="3"/>
  <c r="M38" i="2"/>
  <c r="F37" i="2"/>
  <c r="G37" i="2"/>
  <c r="K37" i="2"/>
  <c r="L37" i="2"/>
  <c r="C37" i="3"/>
  <c r="D37" i="3"/>
  <c r="M37" i="2"/>
  <c r="F36" i="2"/>
  <c r="G36" i="2"/>
  <c r="K36" i="2"/>
  <c r="L36" i="2"/>
  <c r="C36" i="3"/>
  <c r="D36" i="3"/>
  <c r="M36" i="2"/>
  <c r="F35" i="2"/>
  <c r="G35" i="2"/>
  <c r="K35" i="2"/>
  <c r="L35" i="2"/>
  <c r="C35" i="3"/>
  <c r="D35" i="3"/>
  <c r="M35" i="2"/>
  <c r="H34" i="2"/>
  <c r="F34" i="2"/>
  <c r="G34" i="2"/>
  <c r="K34" i="2"/>
  <c r="L34" i="2"/>
  <c r="C34" i="3"/>
  <c r="D34" i="3"/>
  <c r="M34" i="2"/>
  <c r="H18" i="2"/>
  <c r="F33" i="2"/>
  <c r="G33" i="2"/>
  <c r="K33" i="2"/>
  <c r="L33" i="2"/>
  <c r="C33" i="3"/>
  <c r="D33" i="3"/>
  <c r="M33" i="2"/>
  <c r="F32" i="2"/>
  <c r="G32" i="2"/>
  <c r="K32" i="2"/>
  <c r="L32" i="2"/>
  <c r="C32" i="3"/>
  <c r="D32" i="3"/>
  <c r="M32" i="2"/>
  <c r="H9" i="2"/>
  <c r="F31" i="2"/>
  <c r="G31" i="2"/>
  <c r="K31" i="2"/>
  <c r="L31" i="2"/>
  <c r="C31" i="3"/>
  <c r="D31" i="3"/>
  <c r="M31" i="2"/>
  <c r="F30" i="2"/>
  <c r="G30" i="2"/>
  <c r="K30" i="2"/>
  <c r="L30" i="2"/>
  <c r="C30" i="3"/>
  <c r="D30" i="3"/>
  <c r="M30" i="2"/>
  <c r="F29" i="2"/>
  <c r="G29" i="2"/>
  <c r="K29" i="2"/>
  <c r="L29" i="2"/>
  <c r="C29" i="3"/>
  <c r="D29" i="3"/>
  <c r="M29" i="2"/>
  <c r="K28" i="2"/>
  <c r="F28" i="2"/>
  <c r="H6" i="2"/>
  <c r="H17" i="2"/>
  <c r="H27" i="2"/>
  <c r="F12" i="1"/>
  <c r="F10" i="1"/>
  <c r="F11" i="1"/>
  <c r="F13" i="1"/>
  <c r="F14" i="1"/>
  <c r="F15" i="1"/>
  <c r="F16" i="1"/>
  <c r="F17" i="1"/>
  <c r="F18" i="1"/>
  <c r="F19" i="1"/>
  <c r="F20" i="1"/>
  <c r="T13" i="1"/>
  <c r="T14" i="1"/>
  <c r="T15" i="1"/>
  <c r="T16" i="1"/>
  <c r="T17" i="1"/>
  <c r="T18" i="1"/>
  <c r="T19" i="1"/>
  <c r="T20" i="1"/>
  <c r="F16" i="2"/>
  <c r="G16" i="2"/>
  <c r="K16" i="2"/>
  <c r="L16" i="2"/>
  <c r="M16" i="2"/>
  <c r="F26" i="2"/>
  <c r="G26" i="2"/>
  <c r="L26" i="2"/>
  <c r="F19" i="2"/>
  <c r="G19" i="2"/>
  <c r="I19" i="2"/>
  <c r="L19" i="2"/>
  <c r="F20" i="2"/>
  <c r="G20" i="2"/>
  <c r="H20" i="2"/>
  <c r="I20" i="2"/>
  <c r="L20" i="2"/>
  <c r="F21" i="2"/>
  <c r="G21" i="2"/>
  <c r="I21" i="2"/>
  <c r="L21" i="2"/>
  <c r="F7" i="2"/>
  <c r="G7" i="2"/>
  <c r="K7" i="2"/>
  <c r="L7" i="2"/>
  <c r="M7" i="2"/>
  <c r="F8" i="2"/>
  <c r="G8" i="2"/>
  <c r="K8" i="2"/>
  <c r="L8" i="2"/>
  <c r="M8" i="2"/>
  <c r="F9" i="2"/>
  <c r="G9" i="2"/>
  <c r="K9" i="2"/>
  <c r="L9" i="2"/>
  <c r="M9" i="2"/>
  <c r="F22" i="2"/>
  <c r="G22" i="2"/>
  <c r="K22" i="2"/>
  <c r="L22" i="2"/>
  <c r="M22" i="2"/>
  <c r="F23" i="2"/>
  <c r="G23" i="2"/>
  <c r="K23" i="2"/>
  <c r="L23" i="2"/>
  <c r="M23" i="2"/>
  <c r="F10" i="2"/>
  <c r="G10" i="2"/>
  <c r="K10" i="2"/>
  <c r="L10" i="2"/>
  <c r="M10" i="2"/>
  <c r="F11" i="2"/>
  <c r="G11" i="2"/>
  <c r="K11" i="2"/>
  <c r="L11" i="2"/>
  <c r="M11" i="2"/>
  <c r="F12" i="2"/>
  <c r="G12" i="2"/>
  <c r="K12" i="2"/>
  <c r="L12" i="2"/>
  <c r="M12" i="2"/>
  <c r="F4" i="2"/>
  <c r="G4" i="2"/>
  <c r="K4" i="2"/>
  <c r="L4" i="2"/>
  <c r="M4" i="2"/>
  <c r="F13" i="2"/>
  <c r="G13" i="2"/>
  <c r="I13" i="2"/>
  <c r="K13" i="2"/>
  <c r="L13" i="2"/>
  <c r="M13" i="2"/>
  <c r="F14" i="2"/>
  <c r="G14" i="2"/>
  <c r="K14" i="2"/>
  <c r="L14" i="2"/>
  <c r="M14" i="2"/>
  <c r="F24" i="2"/>
  <c r="G24" i="2"/>
  <c r="K24" i="2"/>
  <c r="L24" i="2"/>
  <c r="M24" i="2"/>
  <c r="F15" i="2"/>
  <c r="G15" i="2"/>
  <c r="H15" i="2"/>
  <c r="K15" i="2"/>
  <c r="L15" i="2"/>
  <c r="M15" i="2"/>
  <c r="F25" i="2"/>
  <c r="G25" i="2"/>
  <c r="L25" i="2"/>
  <c r="F27" i="2"/>
  <c r="G27" i="2"/>
  <c r="K27" i="2"/>
  <c r="L27" i="2"/>
  <c r="M27" i="2"/>
  <c r="A5" i="3"/>
  <c r="A13" i="3"/>
  <c r="B5" i="3"/>
  <c r="B13" i="3"/>
  <c r="A27" i="3"/>
  <c r="A15" i="3"/>
  <c r="A22" i="3"/>
  <c r="A23" i="3"/>
  <c r="B27" i="3"/>
  <c r="B15" i="3"/>
  <c r="B22" i="3"/>
  <c r="B23" i="3"/>
  <c r="A19" i="3"/>
  <c r="A7" i="3"/>
  <c r="A20" i="3"/>
  <c r="A21" i="3"/>
  <c r="A18" i="3"/>
  <c r="B19" i="3"/>
  <c r="B7" i="3"/>
  <c r="B20" i="3"/>
  <c r="B21" i="3"/>
  <c r="B18" i="3"/>
  <c r="A4" i="3"/>
  <c r="B4" i="3"/>
  <c r="F18" i="2"/>
  <c r="G18" i="2"/>
  <c r="K18" i="2"/>
  <c r="L18" i="2"/>
  <c r="M18" i="2"/>
  <c r="F17" i="2"/>
  <c r="G17" i="2"/>
  <c r="K17" i="2"/>
  <c r="L17" i="2"/>
  <c r="M17" i="2"/>
  <c r="F5" i="2"/>
  <c r="F6" i="2"/>
  <c r="O13" i="1"/>
  <c r="T12" i="1"/>
  <c r="O12" i="1"/>
  <c r="A24" i="3"/>
  <c r="B24" i="3"/>
  <c r="A8" i="3"/>
  <c r="A11" i="3"/>
  <c r="A12" i="3"/>
  <c r="B8" i="3"/>
  <c r="B11" i="3"/>
  <c r="B12" i="3"/>
  <c r="A16" i="3"/>
  <c r="B16" i="3"/>
  <c r="A25" i="3"/>
  <c r="A14" i="3"/>
  <c r="A26" i="3"/>
  <c r="A9" i="3"/>
  <c r="A17" i="3"/>
  <c r="B9" i="3"/>
  <c r="B26" i="3"/>
  <c r="B14" i="3"/>
  <c r="B17" i="3"/>
  <c r="B6" i="3"/>
  <c r="B10" i="3"/>
  <c r="A6" i="3"/>
  <c r="A10" i="3"/>
  <c r="K5" i="2"/>
  <c r="B13" i="1"/>
  <c r="B12" i="1"/>
  <c r="B5" i="1"/>
  <c r="K6" i="2"/>
  <c r="K26" i="2"/>
  <c r="M26" i="2"/>
  <c r="C20" i="3"/>
  <c r="D20" i="3"/>
  <c r="G6" i="2"/>
  <c r="L6" i="2"/>
  <c r="M6" i="2"/>
  <c r="G5" i="2"/>
  <c r="L5" i="2"/>
  <c r="C5" i="3"/>
  <c r="D5" i="3"/>
  <c r="K19" i="2"/>
  <c r="M19" i="2"/>
  <c r="C19" i="3"/>
  <c r="D19" i="3"/>
  <c r="C21" i="3"/>
  <c r="D21" i="3"/>
  <c r="C18" i="3"/>
  <c r="D18" i="3"/>
  <c r="C27" i="3"/>
  <c r="D27" i="3"/>
  <c r="C15" i="3"/>
  <c r="D15" i="3"/>
  <c r="C22" i="3"/>
  <c r="D22" i="3"/>
  <c r="C23" i="3"/>
  <c r="D23" i="3"/>
  <c r="M5" i="2"/>
  <c r="C13" i="3"/>
  <c r="D13" i="3"/>
  <c r="C7" i="3"/>
  <c r="D7" i="3"/>
  <c r="C4" i="3"/>
  <c r="D4" i="3"/>
  <c r="C17" i="3"/>
  <c r="D17" i="3"/>
  <c r="C6" i="3"/>
  <c r="D6" i="3"/>
  <c r="C10" i="3"/>
  <c r="D10" i="3"/>
  <c r="C14" i="3"/>
  <c r="D14" i="3"/>
  <c r="C26" i="3"/>
  <c r="D26" i="3"/>
  <c r="C9" i="3"/>
  <c r="D9" i="3"/>
  <c r="C25" i="3"/>
  <c r="C16" i="3"/>
  <c r="D16" i="3"/>
  <c r="C8" i="3"/>
  <c r="D8" i="3"/>
  <c r="C11" i="3"/>
  <c r="D11" i="3"/>
  <c r="C12" i="3"/>
  <c r="D12" i="3"/>
  <c r="C24" i="3"/>
  <c r="D24" i="3"/>
  <c r="K20" i="2"/>
  <c r="M20" i="2"/>
  <c r="K21" i="2"/>
  <c r="M21" i="2"/>
  <c r="L28" i="2"/>
  <c r="C28" i="3"/>
  <c r="D28" i="3"/>
  <c r="M28" i="2"/>
  <c r="G28" i="2"/>
  <c r="T11" i="1"/>
  <c r="P5" i="1"/>
  <c r="Q5" i="1"/>
  <c r="W5" i="1"/>
  <c r="AB5" i="1"/>
  <c r="AC5" i="1"/>
  <c r="F44" i="2"/>
  <c r="L44" i="2"/>
  <c r="G44" i="2"/>
  <c r="M44" i="2"/>
  <c r="C44" i="3"/>
  <c r="D44" i="3"/>
  <c r="P8" i="2"/>
  <c r="H5" i="1"/>
  <c r="C5" i="1" s="1"/>
  <c r="D5" i="1" s="1"/>
  <c r="I25" i="2"/>
  <c r="K25" i="2"/>
  <c r="M25" i="2"/>
  <c r="P4" i="2"/>
  <c r="B25" i="3"/>
  <c r="D25" i="3"/>
  <c r="G4" i="3"/>
  <c r="J29" i="1" l="1"/>
</calcChain>
</file>

<file path=xl/sharedStrings.xml><?xml version="1.0" encoding="utf-8"?>
<sst xmlns="http://schemas.openxmlformats.org/spreadsheetml/2006/main" count="460" uniqueCount="147">
  <si>
    <t>Finanças</t>
  </si>
  <si>
    <t>Salário líquido</t>
  </si>
  <si>
    <t>Contas a pagar</t>
  </si>
  <si>
    <t>Credor</t>
  </si>
  <si>
    <t>Descrição</t>
  </si>
  <si>
    <t>Valor total</t>
  </si>
  <si>
    <t>Parcelado</t>
  </si>
  <si>
    <t>CMIG</t>
  </si>
  <si>
    <t>Conta de energia</t>
  </si>
  <si>
    <t>Não</t>
  </si>
  <si>
    <t>Copasa</t>
  </si>
  <si>
    <t>Conta de água</t>
  </si>
  <si>
    <t>Saldo restante</t>
  </si>
  <si>
    <t>Mês</t>
  </si>
  <si>
    <t>Sim</t>
  </si>
  <si>
    <t>Vezes</t>
  </si>
  <si>
    <t>-</t>
  </si>
  <si>
    <t>Waldriano</t>
  </si>
  <si>
    <t>Adriana</t>
  </si>
  <si>
    <t>Urgente</t>
  </si>
  <si>
    <t>Urgência</t>
  </si>
  <si>
    <t>Moderado</t>
  </si>
  <si>
    <t>Dona Rose</t>
  </si>
  <si>
    <t>Leve</t>
  </si>
  <si>
    <t>Conta super atrasada</t>
  </si>
  <si>
    <t>Valor da parcela</t>
  </si>
  <si>
    <t>Yamaha</t>
  </si>
  <si>
    <t>À calcular</t>
  </si>
  <si>
    <t>Consórcio</t>
  </si>
  <si>
    <t>Youtube</t>
  </si>
  <si>
    <t>Youtube família</t>
  </si>
  <si>
    <t>Celular</t>
  </si>
  <si>
    <t>Recarga de celular</t>
  </si>
  <si>
    <t>Link Net</t>
  </si>
  <si>
    <t>Internet  de dentro de casa</t>
  </si>
  <si>
    <t>Casa</t>
  </si>
  <si>
    <t>Aluguel da Casa</t>
  </si>
  <si>
    <t>Categoria</t>
  </si>
  <si>
    <t>Contas de casa</t>
  </si>
  <si>
    <t>Empréstimo</t>
  </si>
  <si>
    <t>Automóvel</t>
  </si>
  <si>
    <t>Comunicação</t>
  </si>
  <si>
    <t>Lazer</t>
  </si>
  <si>
    <t>Preço Projetado</t>
  </si>
  <si>
    <t>Descrição/Marca do produto</t>
  </si>
  <si>
    <t>Dias de uso</t>
  </si>
  <si>
    <t>Quantidade nescessária p/ o mês</t>
  </si>
  <si>
    <t>Data da compra</t>
  </si>
  <si>
    <t>Óleo Vitaliv 900ml</t>
  </si>
  <si>
    <t>Data de início de uso</t>
  </si>
  <si>
    <t>QTD/UN</t>
  </si>
  <si>
    <t>Inflação a.m</t>
  </si>
  <si>
    <t>Valor Necessário</t>
  </si>
  <si>
    <t>QTD Média Diária</t>
  </si>
  <si>
    <t>Levantamento e projeção de gastos mensais</t>
  </si>
  <si>
    <t>Pão</t>
  </si>
  <si>
    <t>Preço unidade/qtd</t>
  </si>
  <si>
    <t>Alimentação</t>
  </si>
  <si>
    <t>Total</t>
  </si>
  <si>
    <t>Sabão grosso</t>
  </si>
  <si>
    <t>Limpeza</t>
  </si>
  <si>
    <t>Estoque</t>
  </si>
  <si>
    <t>Lista de compras do mês</t>
  </si>
  <si>
    <t>Preço</t>
  </si>
  <si>
    <t>QTD</t>
  </si>
  <si>
    <t>Alho Granel</t>
  </si>
  <si>
    <t>Hortfruit</t>
  </si>
  <si>
    <t>Cebola</t>
  </si>
  <si>
    <t>Banana Prata</t>
  </si>
  <si>
    <t>Acordo</t>
  </si>
  <si>
    <t>Acordo da mamãe</t>
  </si>
  <si>
    <t>não</t>
  </si>
  <si>
    <t>Farofa yoki</t>
  </si>
  <si>
    <t>Margarina 500ml</t>
  </si>
  <si>
    <t>Coentro</t>
  </si>
  <si>
    <t>Cebolinha</t>
  </si>
  <si>
    <t>Musculo moído</t>
  </si>
  <si>
    <t>Fevereiro</t>
  </si>
  <si>
    <t>Valor pago</t>
  </si>
  <si>
    <t>Sogra</t>
  </si>
  <si>
    <t>Emprestimo de mil reais</t>
  </si>
  <si>
    <t>Acém moído</t>
  </si>
  <si>
    <t>Ovo</t>
  </si>
  <si>
    <t>Salsicha</t>
  </si>
  <si>
    <t>Biscoito</t>
  </si>
  <si>
    <t>Bolacha cream Cracker</t>
  </si>
  <si>
    <t>Achocolatado 3 corações</t>
  </si>
  <si>
    <t>16//01/2025</t>
  </si>
  <si>
    <t>Batata</t>
  </si>
  <si>
    <t>Bolacha Maisena</t>
  </si>
  <si>
    <t>Pimentão</t>
  </si>
  <si>
    <t>Sabonete</t>
  </si>
  <si>
    <t>Higiene Pessoal</t>
  </si>
  <si>
    <t>Pão de forma</t>
  </si>
  <si>
    <t>Suco de pacote</t>
  </si>
  <si>
    <t>Leite em pó</t>
  </si>
  <si>
    <t>Total Gasto</t>
  </si>
  <si>
    <t>Total Previsível</t>
  </si>
  <si>
    <t>Valor gasto</t>
  </si>
  <si>
    <t>Total gasto no mês</t>
  </si>
  <si>
    <t>Total Gasto no mês</t>
  </si>
  <si>
    <t>Vencimento</t>
  </si>
  <si>
    <t>Sabão em pó</t>
  </si>
  <si>
    <t>Daniel</t>
  </si>
  <si>
    <t>Período</t>
  </si>
  <si>
    <t>Café pilão 500g</t>
  </si>
  <si>
    <t>Morango</t>
  </si>
  <si>
    <t>Filtro Café</t>
  </si>
  <si>
    <t>Macarrão</t>
  </si>
  <si>
    <t>Arroz 5kg</t>
  </si>
  <si>
    <t>Feijão Carioca</t>
  </si>
  <si>
    <t>Leite em líquido</t>
  </si>
  <si>
    <t>Biscoito 550g</t>
  </si>
  <si>
    <t>Kit Shampoo seda</t>
  </si>
  <si>
    <t>Bala</t>
  </si>
  <si>
    <t>Absorvente mili c/32</t>
  </si>
  <si>
    <t>Desodorante dove</t>
  </si>
  <si>
    <t>Creme dental oral B</t>
  </si>
  <si>
    <t>Agua Sanitária</t>
  </si>
  <si>
    <t>Escova de dente</t>
  </si>
  <si>
    <t>Sabão em líquido infantil</t>
  </si>
  <si>
    <t>Desinfetante Dular</t>
  </si>
  <si>
    <t>Jamille</t>
  </si>
  <si>
    <t>Dinheiro de empréstimo gasolina</t>
  </si>
  <si>
    <t>Devedor</t>
  </si>
  <si>
    <t>Dinheiro que falta do Daniel</t>
  </si>
  <si>
    <t>Bolo abc</t>
  </si>
  <si>
    <t>Sonho</t>
  </si>
  <si>
    <t>Maçã</t>
  </si>
  <si>
    <t>Cotonete</t>
  </si>
  <si>
    <t>Fralda</t>
  </si>
  <si>
    <t>Perfume</t>
  </si>
  <si>
    <t>Dinheiro de um perfume parcelado</t>
  </si>
  <si>
    <t>Perfumaria</t>
  </si>
  <si>
    <t>Contas a pagar Fevereiro</t>
  </si>
  <si>
    <t>Contas a pagar Abril</t>
  </si>
  <si>
    <t>Valor faltante</t>
  </si>
  <si>
    <t>Linguiça de frango avivar</t>
  </si>
  <si>
    <t>Coxa e sobrecoxa de frango</t>
  </si>
  <si>
    <t>Miojo</t>
  </si>
  <si>
    <t>Creme para cabelo</t>
  </si>
  <si>
    <t>Halls</t>
  </si>
  <si>
    <t>Baton Garoto</t>
  </si>
  <si>
    <t>Guloseimas</t>
  </si>
  <si>
    <t>26/12/2024 - 30/01/2025</t>
  </si>
  <si>
    <t>Banco Gênio</t>
  </si>
  <si>
    <t>Dinheiro de empréstimo para alimentação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</si>
</sst>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8"/>
      <color theme="1"/>
      <name val="Bahnschrift Light"/>
      <family val="2"/>
    </font>
    <font>
      <b/>
      <sz val="12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72">
    <xf numFmtId="0" fontId="0" fillId="0" borderId="0" xfId="0"/>
    <xf numFmtId="44" fontId="0" fillId="0" borderId="0" xfId="1" applyFont="1"/>
    <xf numFmtId="0" fontId="0" fillId="0" borderId="1" xfId="0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4" fontId="0" fillId="0" borderId="5" xfId="1" applyFont="1" applyBorder="1" applyAlignment="1">
      <alignment horizontal="center" vertical="center"/>
    </xf>
    <xf numFmtId="0" fontId="3" fillId="0" borderId="1" xfId="2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4" fontId="0" fillId="0" borderId="5" xfId="0" applyNumberForma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 vertical="center" wrapText="1"/>
    </xf>
    <xf numFmtId="44" fontId="0" fillId="0" borderId="0" xfId="1" applyFont="1" applyAlignment="1">
      <alignment horizontal="center" vertical="center"/>
    </xf>
    <xf numFmtId="44" fontId="0" fillId="0" borderId="0" xfId="0" applyNumberFormat="1"/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 wrapText="1"/>
    </xf>
    <xf numFmtId="9" fontId="0" fillId="0" borderId="5" xfId="3" applyFont="1" applyBorder="1" applyAlignment="1">
      <alignment horizontal="center" vertical="center" wrapText="1"/>
    </xf>
    <xf numFmtId="10" fontId="0" fillId="0" borderId="5" xfId="1" applyNumberFormat="1" applyFont="1" applyBorder="1" applyAlignment="1">
      <alignment horizontal="center" vertical="center"/>
    </xf>
    <xf numFmtId="44" fontId="0" fillId="0" borderId="6" xfId="0" applyNumberFormat="1" applyBorder="1"/>
    <xf numFmtId="44" fontId="0" fillId="0" borderId="5" xfId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44" fontId="1" fillId="0" borderId="3" xfId="0" applyNumberFormat="1" applyFont="1" applyBorder="1" applyAlignment="1">
      <alignment horizontal="center" vertical="center" wrapText="1"/>
    </xf>
    <xf numFmtId="164" fontId="0" fillId="0" borderId="5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4" fontId="0" fillId="7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44" fontId="0" fillId="0" borderId="8" xfId="0" applyNumberFormat="1" applyBorder="1" applyAlignment="1">
      <alignment horizontal="center" vertical="center"/>
    </xf>
    <xf numFmtId="44" fontId="0" fillId="0" borderId="6" xfId="0" applyNumberFormat="1" applyBorder="1" applyAlignment="1">
      <alignment horizontal="center" vertical="center"/>
    </xf>
    <xf numFmtId="44" fontId="0" fillId="0" borderId="3" xfId="1" applyFont="1" applyBorder="1" applyAlignment="1">
      <alignment horizontal="center" vertical="center" wrapText="1"/>
    </xf>
    <xf numFmtId="44" fontId="0" fillId="0" borderId="7" xfId="1" applyFont="1" applyBorder="1" applyAlignment="1">
      <alignment horizontal="center" vertical="center"/>
    </xf>
    <xf numFmtId="44" fontId="0" fillId="0" borderId="6" xfId="1" applyFont="1" applyBorder="1" applyAlignment="1">
      <alignment horizontal="center" vertical="center"/>
    </xf>
    <xf numFmtId="44" fontId="2" fillId="2" borderId="0" xfId="1" applyFont="1" applyFill="1" applyAlignment="1">
      <alignment horizontal="center" vertical="center" wrapText="1"/>
    </xf>
    <xf numFmtId="0" fontId="0" fillId="2" borderId="0" xfId="0" applyFill="1"/>
    <xf numFmtId="0" fontId="0" fillId="0" borderId="5" xfId="0" applyBorder="1" applyAlignment="1">
      <alignment vertical="center"/>
    </xf>
    <xf numFmtId="0" fontId="0" fillId="0" borderId="1" xfId="0" applyBorder="1" applyAlignment="1">
      <alignment vertical="center"/>
    </xf>
    <xf numFmtId="44" fontId="0" fillId="0" borderId="5" xfId="0" applyNumberFormat="1" applyBorder="1"/>
    <xf numFmtId="44" fontId="0" fillId="10" borderId="1" xfId="0" applyNumberFormat="1" applyFill="1" applyBorder="1"/>
    <xf numFmtId="0" fontId="0" fillId="9" borderId="1" xfId="0" applyFill="1" applyBorder="1" applyAlignment="1">
      <alignment horizontal="center" vertical="center" wrapText="1"/>
    </xf>
    <xf numFmtId="44" fontId="0" fillId="5" borderId="1" xfId="1" applyFont="1" applyFill="1" applyBorder="1" applyAlignment="1">
      <alignment horizontal="center" vertical="center"/>
    </xf>
    <xf numFmtId="44" fontId="0" fillId="7" borderId="1" xfId="1" applyFont="1" applyFill="1" applyBorder="1"/>
    <xf numFmtId="44" fontId="0" fillId="13" borderId="1" xfId="0" applyNumberFormat="1" applyFill="1" applyBorder="1"/>
    <xf numFmtId="44" fontId="0" fillId="4" borderId="1" xfId="1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44" fontId="0" fillId="0" borderId="2" xfId="1" applyFont="1" applyBorder="1" applyAlignment="1">
      <alignment horizontal="center" vertical="center" wrapText="1"/>
    </xf>
    <xf numFmtId="44" fontId="0" fillId="0" borderId="4" xfId="1" applyFont="1" applyBorder="1" applyAlignment="1">
      <alignment horizontal="center" vertical="center" wrapText="1"/>
    </xf>
    <xf numFmtId="44" fontId="7" fillId="11" borderId="1" xfId="1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center" vertical="center" wrapText="1"/>
    </xf>
    <xf numFmtId="0" fontId="6" fillId="12" borderId="1" xfId="0" applyFont="1" applyFill="1" applyBorder="1" applyAlignment="1">
      <alignment horizontal="center" vertical="center" wrapText="1"/>
    </xf>
    <xf numFmtId="44" fontId="6" fillId="11" borderId="1" xfId="1" applyFont="1" applyFill="1" applyBorder="1" applyAlignment="1">
      <alignment horizontal="center" vertical="center" wrapText="1"/>
    </xf>
    <xf numFmtId="14" fontId="0" fillId="0" borderId="1" xfId="1" applyNumberFormat="1" applyFont="1" applyBorder="1" applyAlignment="1">
      <alignment horizontal="center" vertical="center"/>
    </xf>
    <xf numFmtId="43" fontId="0" fillId="0" borderId="5" xfId="4" applyFont="1" applyBorder="1" applyAlignment="1">
      <alignment horizontal="center" vertical="center"/>
    </xf>
    <xf numFmtId="14" fontId="0" fillId="0" borderId="5" xfId="1" applyNumberFormat="1" applyFont="1" applyBorder="1" applyAlignment="1">
      <alignment horizontal="center" vertical="center"/>
    </xf>
    <xf numFmtId="0" fontId="0" fillId="4" borderId="3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44" fontId="2" fillId="3" borderId="1" xfId="1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44" fontId="2" fillId="3" borderId="5" xfId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5" fillId="8" borderId="1" xfId="0" applyFont="1" applyFill="1" applyBorder="1" applyAlignment="1">
      <alignment horizontal="center" vertical="center"/>
    </xf>
    <xf numFmtId="44" fontId="0" fillId="0" borderId="5" xfId="1" applyNumberFormat="1" applyFont="1" applyBorder="1" applyAlignment="1">
      <alignment horizontal="center" vertical="center"/>
    </xf>
  </cellXfs>
  <cellStyles count="5">
    <cellStyle name="Hiperlink" xfId="2" builtinId="8"/>
    <cellStyle name="Moeda" xfId="1" builtinId="4"/>
    <cellStyle name="Normal" xfId="0" builtinId="0"/>
    <cellStyle name="Porcentagem" xfId="3" builtinId="5"/>
    <cellStyle name="Vírgula" xfId="4" builtinId="3"/>
  </cellStyles>
  <dxfs count="13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ONTAS!U20"/><Relationship Id="rId2" Type="http://schemas.openxmlformats.org/officeDocument/2006/relationships/hyperlink" Target="#CONTAS!AL19"/><Relationship Id="rId1" Type="http://schemas.openxmlformats.org/officeDocument/2006/relationships/hyperlink" Target="#CONTAS!Z22"/><Relationship Id="rId6" Type="http://schemas.openxmlformats.org/officeDocument/2006/relationships/hyperlink" Target="#CONTAS!O22"/><Relationship Id="rId5" Type="http://schemas.openxmlformats.org/officeDocument/2006/relationships/hyperlink" Target="#CONTAS!A1"/><Relationship Id="rId4" Type="http://schemas.openxmlformats.org/officeDocument/2006/relationships/hyperlink" Target="#CONTAS!A2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523875</xdr:colOff>
      <xdr:row>1</xdr:row>
      <xdr:rowOff>76200</xdr:rowOff>
    </xdr:from>
    <xdr:to>
      <xdr:col>1</xdr:col>
      <xdr:colOff>714375</xdr:colOff>
      <xdr:row>2</xdr:row>
      <xdr:rowOff>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D639A44-224B-109A-1F50-8385F21BB4F5}"/>
            </a:ext>
          </a:extLst>
        </xdr:cNvPr>
        <xdr:cNvSpPr/>
      </xdr:nvSpPr>
      <xdr:spPr>
        <a:xfrm>
          <a:off x="523875" y="400050"/>
          <a:ext cx="1352550" cy="24765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kern="1200">
              <a:latin typeface="Arial" panose="020B0604020202020204" pitchFamily="34" charset="0"/>
              <a:cs typeface="Arial" panose="020B0604020202020204" pitchFamily="34" charset="0"/>
            </a:rPr>
            <a:t>Janeiro</a:t>
          </a:r>
        </a:p>
      </xdr:txBody>
    </xdr:sp>
    <xdr:clientData/>
  </xdr:twoCellAnchor>
  <xdr:twoCellAnchor>
    <xdr:from>
      <xdr:col>1</xdr:col>
      <xdr:colOff>828675</xdr:colOff>
      <xdr:row>1</xdr:row>
      <xdr:rowOff>85725</xdr:rowOff>
    </xdr:from>
    <xdr:to>
      <xdr:col>1</xdr:col>
      <xdr:colOff>2181225</xdr:colOff>
      <xdr:row>2</xdr:row>
      <xdr:rowOff>9525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8ED5A9-5952-4579-A6AE-8F9FA6C0191A}"/>
            </a:ext>
          </a:extLst>
        </xdr:cNvPr>
        <xdr:cNvSpPr/>
      </xdr:nvSpPr>
      <xdr:spPr>
        <a:xfrm>
          <a:off x="1990725" y="409575"/>
          <a:ext cx="1352550" cy="24765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kern="1200">
              <a:latin typeface="Arial" panose="020B0604020202020204" pitchFamily="34" charset="0"/>
              <a:cs typeface="Arial" panose="020B0604020202020204" pitchFamily="34" charset="0"/>
            </a:rPr>
            <a:t>Fevereiro</a:t>
          </a:r>
        </a:p>
      </xdr:txBody>
    </xdr:sp>
    <xdr:clientData/>
  </xdr:twoCellAnchor>
  <xdr:twoCellAnchor>
    <xdr:from>
      <xdr:col>1</xdr:col>
      <xdr:colOff>2286000</xdr:colOff>
      <xdr:row>1</xdr:row>
      <xdr:rowOff>85725</xdr:rowOff>
    </xdr:from>
    <xdr:to>
      <xdr:col>4</xdr:col>
      <xdr:colOff>38100</xdr:colOff>
      <xdr:row>2</xdr:row>
      <xdr:rowOff>9525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A72BAC4-3B21-404B-B0DD-5032B7D00935}"/>
            </a:ext>
          </a:extLst>
        </xdr:cNvPr>
        <xdr:cNvSpPr/>
      </xdr:nvSpPr>
      <xdr:spPr>
        <a:xfrm>
          <a:off x="3448050" y="409575"/>
          <a:ext cx="1352550" cy="24765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kern="1200">
              <a:latin typeface="Arial" panose="020B0604020202020204" pitchFamily="34" charset="0"/>
              <a:cs typeface="Arial" panose="020B0604020202020204" pitchFamily="34" charset="0"/>
            </a:rPr>
            <a:t>Março</a:t>
          </a:r>
        </a:p>
      </xdr:txBody>
    </xdr:sp>
    <xdr:clientData/>
  </xdr:twoCellAnchor>
  <xdr:twoCellAnchor>
    <xdr:from>
      <xdr:col>17</xdr:col>
      <xdr:colOff>32584</xdr:colOff>
      <xdr:row>1</xdr:row>
      <xdr:rowOff>17546</xdr:rowOff>
    </xdr:from>
    <xdr:to>
      <xdr:col>17</xdr:col>
      <xdr:colOff>857249</xdr:colOff>
      <xdr:row>1</xdr:row>
      <xdr:rowOff>305302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53C75AE-6844-5DAE-32F0-A3CD8A12A670}"/>
            </a:ext>
          </a:extLst>
        </xdr:cNvPr>
        <xdr:cNvSpPr/>
      </xdr:nvSpPr>
      <xdr:spPr>
        <a:xfrm>
          <a:off x="14015284" y="341396"/>
          <a:ext cx="824665" cy="28775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Fevereiro</a:t>
          </a:r>
        </a:p>
      </xdr:txBody>
    </xdr:sp>
    <xdr:clientData/>
  </xdr:twoCellAnchor>
  <xdr:twoCellAnchor>
    <xdr:from>
      <xdr:col>19</xdr:col>
      <xdr:colOff>38237</xdr:colOff>
      <xdr:row>1</xdr:row>
      <xdr:rowOff>18204</xdr:rowOff>
    </xdr:from>
    <xdr:to>
      <xdr:col>20</xdr:col>
      <xdr:colOff>152537</xdr:colOff>
      <xdr:row>1</xdr:row>
      <xdr:rowOff>307930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1A1631-A6B9-4306-A45D-D5DB6F4372DC}"/>
            </a:ext>
          </a:extLst>
        </xdr:cNvPr>
        <xdr:cNvSpPr/>
      </xdr:nvSpPr>
      <xdr:spPr>
        <a:xfrm>
          <a:off x="14877184" y="344059"/>
          <a:ext cx="771024" cy="28972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Janeiro</a:t>
          </a:r>
        </a:p>
      </xdr:txBody>
    </xdr:sp>
    <xdr:clientData/>
  </xdr:twoCellAnchor>
  <xdr:twoCellAnchor>
    <xdr:from>
      <xdr:col>21</xdr:col>
      <xdr:colOff>39343</xdr:colOff>
      <xdr:row>1</xdr:row>
      <xdr:rowOff>17390</xdr:rowOff>
    </xdr:from>
    <xdr:to>
      <xdr:col>22</xdr:col>
      <xdr:colOff>221321</xdr:colOff>
      <xdr:row>1</xdr:row>
      <xdr:rowOff>301170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B407E1A-36C4-46D4-AB82-4C2417DF73D9}"/>
            </a:ext>
          </a:extLst>
        </xdr:cNvPr>
        <xdr:cNvSpPr/>
      </xdr:nvSpPr>
      <xdr:spPr>
        <a:xfrm>
          <a:off x="16191738" y="343245"/>
          <a:ext cx="1009149" cy="28378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Março</a:t>
          </a:r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428625</xdr:colOff>
      <xdr:row>1</xdr:row>
      <xdr:rowOff>247650</xdr:rowOff>
    </xdr:to>
    <xdr:sp macro="" textlink="">
      <xdr:nvSpPr>
        <xdr:cNvPr id="11" name="Retângulo: Cantos Arredond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1559188-2669-4E25-8450-305EEB5E8926}"/>
            </a:ext>
          </a:extLst>
        </xdr:cNvPr>
        <xdr:cNvSpPr/>
      </xdr:nvSpPr>
      <xdr:spPr>
        <a:xfrm>
          <a:off x="24012525" y="323850"/>
          <a:ext cx="1219200" cy="24765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kern="1200">
              <a:latin typeface="Arial" panose="020B0604020202020204" pitchFamily="34" charset="0"/>
              <a:cs typeface="Arial" panose="020B0604020202020204" pitchFamily="34" charset="0"/>
            </a:rPr>
            <a:t>Janeiro</a:t>
          </a:r>
        </a:p>
      </xdr:txBody>
    </xdr:sp>
    <xdr:clientData/>
  </xdr:twoCellAnchor>
  <xdr:twoCellAnchor>
    <xdr:from>
      <xdr:col>28</xdr:col>
      <xdr:colOff>542925</xdr:colOff>
      <xdr:row>1</xdr:row>
      <xdr:rowOff>9525</xdr:rowOff>
    </xdr:from>
    <xdr:to>
      <xdr:col>28</xdr:col>
      <xdr:colOff>1714500</xdr:colOff>
      <xdr:row>1</xdr:row>
      <xdr:rowOff>257175</xdr:rowOff>
    </xdr:to>
    <xdr:sp macro="" textlink="">
      <xdr:nvSpPr>
        <xdr:cNvPr id="12" name="Retângulo: Cantos Arredondados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482E904-69C9-41FF-AC1E-5A4D03B65424}"/>
            </a:ext>
          </a:extLst>
        </xdr:cNvPr>
        <xdr:cNvSpPr/>
      </xdr:nvSpPr>
      <xdr:spPr>
        <a:xfrm>
          <a:off x="25346025" y="333375"/>
          <a:ext cx="1171575" cy="24765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kern="1200">
              <a:latin typeface="Arial" panose="020B0604020202020204" pitchFamily="34" charset="0"/>
              <a:cs typeface="Arial" panose="020B0604020202020204" pitchFamily="34" charset="0"/>
            </a:rPr>
            <a:t>Fevereiro</a:t>
          </a:r>
        </a:p>
      </xdr:txBody>
    </xdr:sp>
    <xdr:clientData/>
  </xdr:twoCellAnchor>
  <xdr:twoCellAnchor>
    <xdr:from>
      <xdr:col>28</xdr:col>
      <xdr:colOff>1962150</xdr:colOff>
      <xdr:row>1</xdr:row>
      <xdr:rowOff>9525</xdr:rowOff>
    </xdr:from>
    <xdr:to>
      <xdr:col>30</xdr:col>
      <xdr:colOff>571500</xdr:colOff>
      <xdr:row>1</xdr:row>
      <xdr:rowOff>257175</xdr:rowOff>
    </xdr:to>
    <xdr:sp macro="" textlink="">
      <xdr:nvSpPr>
        <xdr:cNvPr id="13" name="Retângulo: Cantos Arredondados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F9A9113-650E-4418-8E43-C36C0145EFF4}"/>
            </a:ext>
          </a:extLst>
        </xdr:cNvPr>
        <xdr:cNvSpPr/>
      </xdr:nvSpPr>
      <xdr:spPr>
        <a:xfrm>
          <a:off x="26765250" y="333375"/>
          <a:ext cx="1485900" cy="24765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kern="1200">
              <a:latin typeface="Arial" panose="020B0604020202020204" pitchFamily="34" charset="0"/>
              <a:cs typeface="Arial" panose="020B0604020202020204" pitchFamily="34" charset="0"/>
            </a:rPr>
            <a:t>Março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603C9F9-0AAF-4275-8CF5-69703A53C794}" name="Tabela3" displayName="Tabela3" ref="A9:J21" totalsRowShown="0" headerRowDxfId="128" dataDxfId="126" headerRowBorderDxfId="127" tableBorderDxfId="125" totalsRowBorderDxfId="124">
  <autoFilter ref="A9:J21" xr:uid="{0603C9F9-0AAF-4275-8CF5-69703A53C79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7FAFAC11-7CFF-430F-A0E9-C949A32A16DA}" name="Credor" dataDxfId="123" dataCellStyle="Moeda"/>
    <tableColumn id="2" xr3:uid="{B7B9DABB-913A-4756-A858-2DFC8EE1F748}" name="Descrição" dataDxfId="122"/>
    <tableColumn id="3" xr3:uid="{0887B1C8-1B6C-45E0-9F06-7A417F18D8E5}" name="Valor total" dataDxfId="121" dataCellStyle="Moeda"/>
    <tableColumn id="4" xr3:uid="{E87A90F8-8B70-41CB-8C90-39F7D3E5A881}" name="Parcelado" dataDxfId="120"/>
    <tableColumn id="5" xr3:uid="{CFAC84FF-3C6D-4BA8-A377-684D24AC8D53}" name="Vezes" dataDxfId="119"/>
    <tableColumn id="7" xr3:uid="{9DB15108-E900-474F-B91A-8E98524BDD53}" name="Valor da parcela" dataDxfId="118">
      <calculatedColumnFormula>IFERROR(Tabela3[[#This Row],[Valor total]]/Tabela3[[#This Row],[Vezes]],Tabela3[[#This Row],[Valor total]])</calculatedColumnFormula>
    </tableColumn>
    <tableColumn id="10" xr3:uid="{02B7A711-B9E9-4EEE-8574-B39123E4FE3B}" name="Vencimento" dataDxfId="117" dataCellStyle="Moeda"/>
    <tableColumn id="6" xr3:uid="{6F564AA4-5FB9-4414-A64E-EB7B14FA574B}" name="Urgência" dataDxfId="116"/>
    <tableColumn id="8" xr3:uid="{384A0A2A-0008-433F-9FB4-F35251F1653F}" name="Categoria" dataDxfId="115"/>
    <tableColumn id="9" xr3:uid="{5E12A4E9-E6C7-41A6-A53A-27CA9C11A1A5}" name="Valor pago" dataDxfId="114" dataCellStyle="Moed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937C20-2609-4F86-B628-C86B104E810C}" name="Tabela4" displayName="Tabela4" ref="A4:C5" totalsRowShown="0" headerRowDxfId="113" dataDxfId="111" headerRowBorderDxfId="112" tableBorderDxfId="110" totalsRowBorderDxfId="109" headerRowCellStyle="Moeda">
  <autoFilter ref="A4:C5" xr:uid="{AD937C20-2609-4F86-B628-C86B104E810C}">
    <filterColumn colId="0" hiddenButton="1"/>
    <filterColumn colId="1" hiddenButton="1"/>
    <filterColumn colId="2" hiddenButton="1"/>
  </autoFilter>
  <tableColumns count="3">
    <tableColumn id="1" xr3:uid="{39FB43B3-E5AE-4655-9BAD-D4E6320521A0}" name="Salário líquido" dataDxfId="108" dataCellStyle="Moeda"/>
    <tableColumn id="2" xr3:uid="{C7FF7DC0-1227-44D0-94AF-679F1E9A2A3F}" name="Mês" dataDxfId="107">
      <calculatedColumnFormula>TEXT(MONTH(TODAY()),"MMMM")</calculatedColumnFormula>
    </tableColumn>
    <tableColumn id="3" xr3:uid="{EEC50FAF-075A-467B-9052-8F631C5796EB}" name="Saldo restante" dataDxfId="106" dataCellStyle="Moeda">
      <calculatedColumnFormula>Tabela4[[#This Row],[Salário líquido]]-H5</calculatedColumnFormula>
    </tableColumn>
  </tableColumns>
  <tableStyleInfo name="TableStyleDark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085D832-CFB0-4505-A666-1EEBC76813DB}" name="Tabela38" displayName="Tabela38" ref="N9:X23" totalsRowShown="0" headerRowDxfId="105" dataDxfId="103" headerRowBorderDxfId="104" tableBorderDxfId="102" totalsRowBorderDxfId="101">
  <autoFilter ref="N9:X23" xr:uid="{8085D832-CFB0-4505-A666-1EEBC76813D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ECF8C9D0-553B-4EE8-BC54-A3FF718D738B}" name="Credor" dataDxfId="100" dataCellStyle="Moeda"/>
    <tableColumn id="2" xr3:uid="{C2CF6610-71D5-4FB5-BBB0-5538EAB9EE1B}" name="Descrição" dataDxfId="99"/>
    <tableColumn id="3" xr3:uid="{35982153-899E-419E-9B9D-4AFEA1509F16}" name="Valor total" dataDxfId="98" dataCellStyle="Moeda"/>
    <tableColumn id="11" xr3:uid="{F213FC51-9011-4642-8277-FB329709AEF9}" name="Valor faltante" dataDxfId="97" dataCellStyle="Moeda">
      <calculatedColumnFormula>Tabela38[[#This Row],[Valor total]]</calculatedColumnFormula>
    </tableColumn>
    <tableColumn id="4" xr3:uid="{AC1EC437-DC8B-4069-B7F9-0D20663CE43A}" name="Parcelado" dataDxfId="96"/>
    <tableColumn id="5" xr3:uid="{513730B6-EF9E-4A38-AE89-5B364C4B177C}" name="Vezes" dataDxfId="95"/>
    <tableColumn id="7" xr3:uid="{D4E46B66-386E-4202-9463-E52EA84BFBFF}" name="Valor da parcela" dataDxfId="94">
      <calculatedColumnFormula>IFERROR(Tabela38[[#This Row],[Valor total]]/Tabela38[[#This Row],[Vezes]],Tabela38[[#This Row],[Valor total]])</calculatedColumnFormula>
    </tableColumn>
    <tableColumn id="10" xr3:uid="{721C939B-709A-4F85-92A9-808863F79220}" name="Vencimento" dataDxfId="93" dataCellStyle="Moeda"/>
    <tableColumn id="6" xr3:uid="{84590C30-9CCC-4363-B5E8-6A94A794B7B0}" name="Urgência" dataDxfId="92"/>
    <tableColumn id="8" xr3:uid="{CB61A8D7-EED0-42DF-9645-CE09B916CC0F}" name="Categoria" dataDxfId="91"/>
    <tableColumn id="9" xr3:uid="{9F692544-8E9D-430D-8682-19957B6DFDEF}" name="Valor pago" dataDxfId="9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B953B6-938F-4FBC-98BE-866BDCADE59C}" name="Tabela49" displayName="Tabela49" ref="N4:P5" totalsRowShown="0" headerRowDxfId="89" dataDxfId="87" headerRowBorderDxfId="88" tableBorderDxfId="86" totalsRowBorderDxfId="85" headerRowCellStyle="Moeda">
  <autoFilter ref="N4:P5" xr:uid="{DBB953B6-938F-4FBC-98BE-866BDCADE59C}">
    <filterColumn colId="0" hiddenButton="1"/>
    <filterColumn colId="1" hiddenButton="1"/>
    <filterColumn colId="2" hiddenButton="1"/>
  </autoFilter>
  <tableColumns count="3">
    <tableColumn id="1" xr3:uid="{9D210EC7-99B3-4BDA-AE31-AC2B1AB33505}" name="Salário líquido" dataDxfId="84" dataCellStyle="Moeda"/>
    <tableColumn id="2" xr3:uid="{FA8B16F1-B1A0-47E6-9B57-994B2670C7BC}" name="Mês" dataDxfId="83"/>
    <tableColumn id="3" xr3:uid="{F6A64C25-F2F2-4A65-85A9-0FB05516B018}" name="Saldo restante" dataDxfId="82" dataCellStyle="Moeda">
      <calculatedColumnFormula>(N5-SUM(Tabela38[Valor da parcela])) + (SUMIF(Tabela38[Urgência],"Leve",Tabela38[Valor da parcela]))</calculatedColumnFormula>
    </tableColumn>
  </tableColumns>
  <tableStyleInfo name="TableStyleDark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5DB6395-B29B-4EAF-983E-8737FE54D981}" name="Tabela383" displayName="Tabela383" ref="AA9:AJ19" totalsRowShown="0" headerRowDxfId="81" dataDxfId="79" headerRowBorderDxfId="80" tableBorderDxfId="78" totalsRowBorderDxfId="77">
  <autoFilter ref="AA9:AJ19" xr:uid="{C5DB6395-B29B-4EAF-983E-8737FE54D9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CB202F02-2EE4-45C8-9A04-74406876265B}" name="Credor" dataDxfId="76" dataCellStyle="Moeda"/>
    <tableColumn id="2" xr3:uid="{67534980-D26C-4EFB-9360-581EA30A1E28}" name="Descrição" dataDxfId="75"/>
    <tableColumn id="3" xr3:uid="{B837590A-99E6-47F8-B1C7-7AB2648C058C}" name="Valor total" dataDxfId="74" dataCellStyle="Moeda"/>
    <tableColumn id="4" xr3:uid="{CF847D21-4E03-4213-98F7-425E44A67FF9}" name="Parcelado" dataDxfId="73"/>
    <tableColumn id="5" xr3:uid="{8D7D8ECA-9058-4757-99CC-B0F278F2130B}" name="Vezes" dataDxfId="72"/>
    <tableColumn id="7" xr3:uid="{DF6C2536-89F4-4F56-8634-2BC3A5B15424}" name="Valor da parcela" dataDxfId="71">
      <calculatedColumnFormula>IFERROR(Tabela383[[#This Row],[Valor total]]/Tabela383[[#This Row],[Vezes]],Tabela383[[#This Row],[Valor total]])</calculatedColumnFormula>
    </tableColumn>
    <tableColumn id="10" xr3:uid="{94ADA72C-1C9D-4ECF-9E0B-F6F812B25FAE}" name="Vencimento" dataDxfId="70" dataCellStyle="Moeda"/>
    <tableColumn id="6" xr3:uid="{0C290B3C-F198-460E-8FD7-1D6C8D537D18}" name="Urgência" dataDxfId="69"/>
    <tableColumn id="8" xr3:uid="{E5A42553-570C-45C4-BB9F-7324DF3ED9E1}" name="Categoria" dataDxfId="68"/>
    <tableColumn id="9" xr3:uid="{2812389D-CAA2-47CF-8A08-11C7DABBC270}" name="Valor pago" dataDxfId="6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0B486C3-272B-4366-8F27-647A5258CAFF}" name="Tabela497" displayName="Tabela497" ref="Z4:AB5" totalsRowShown="0" headerRowDxfId="66" dataDxfId="64" headerRowBorderDxfId="65" tableBorderDxfId="63" totalsRowBorderDxfId="62" headerRowCellStyle="Moeda">
  <autoFilter ref="Z4:AB5" xr:uid="{50B486C3-272B-4366-8F27-647A5258CAFF}">
    <filterColumn colId="0" hiddenButton="1"/>
    <filterColumn colId="1" hiddenButton="1"/>
    <filterColumn colId="2" hiddenButton="1"/>
  </autoFilter>
  <tableColumns count="3">
    <tableColumn id="1" xr3:uid="{37369B15-6ABF-473B-80E6-2AB3F181FF2F}" name="Salário líquido" dataDxfId="61" dataCellStyle="Moeda"/>
    <tableColumn id="2" xr3:uid="{26375FEF-931E-4386-BF28-46CA6E8FDE28}" name="Mês" dataDxfId="60"/>
    <tableColumn id="3" xr3:uid="{5F389079-CA2C-4B53-88A1-8E36853C2EF7}" name="Saldo restante" dataDxfId="59" dataCellStyle="Moeda">
      <calculatedColumnFormula>(Z5-SUM(Tabela383[Valor da parcela])) + (SUMIF(Tabela383[Urgência],"Leve",Tabela383[Valor da parcela]))</calculatedColumnFormula>
    </tableColumn>
  </tableColumns>
  <tableStyleInfo name="TableStyleDark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2AB5333-3296-4AD2-A3D6-91FE5D3F30E1}" name="Tabela38310" displayName="Tabela38310" ref="A33:K42" totalsRowShown="0" headerRowDxfId="58" dataDxfId="56" headerRowBorderDxfId="57" tableBorderDxfId="55" totalsRowBorderDxfId="54">
  <autoFilter ref="A33:K42" xr:uid="{02AB5333-3296-4AD2-A3D6-91FE5D3F30E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37AAB614-CBC9-4BE4-804A-689C1907F04B}" name="Credor" dataDxfId="53" dataCellStyle="Moeda"/>
    <tableColumn id="2" xr3:uid="{97930DAF-71D5-4435-A219-02B515B963A1}" name="Descrição" dataDxfId="52"/>
    <tableColumn id="3" xr3:uid="{1535A51E-42DA-4FD1-B83D-670A9FDD26F8}" name="Valor total" dataDxfId="51" dataCellStyle="Moeda"/>
    <tableColumn id="11" xr3:uid="{BFA064B2-4AAE-4510-8680-3C3887BB5082}" name="Valor faltante" dataDxfId="50" dataCellStyle="Moeda">
      <calculatedColumnFormula>Tabela38310[[#This Row],[Valor total]]</calculatedColumnFormula>
    </tableColumn>
    <tableColumn id="4" xr3:uid="{8375AAAE-6113-4E12-B61E-4A575A2BDCF8}" name="Parcelado" dataDxfId="49"/>
    <tableColumn id="5" xr3:uid="{7AC74EEF-44E5-4BAD-8BC8-2DB5ED652D7B}" name="Vezes" dataDxfId="48"/>
    <tableColumn id="7" xr3:uid="{605D2083-3719-4EA3-A794-29B73E0FBB7A}" name="Valor da parcela" dataDxfId="47">
      <calculatedColumnFormula>IFERROR(Tabela38310[[#This Row],[Valor total]]/Tabela38310[[#This Row],[Vezes]],Tabela38310[[#This Row],[Valor total]])</calculatedColumnFormula>
    </tableColumn>
    <tableColumn id="10" xr3:uid="{D16DA3DC-A0FE-438B-AF31-04679AAA82F1}" name="Vencimento" dataDxfId="46" dataCellStyle="Moeda"/>
    <tableColumn id="6" xr3:uid="{9C5B1FB4-9C43-4B30-B78F-6E3E8ECF1FBF}" name="Urgência" dataDxfId="45"/>
    <tableColumn id="8" xr3:uid="{C257A4B2-2FEE-400D-8DD4-59E69F72300B}" name="Categoria" dataDxfId="44"/>
    <tableColumn id="9" xr3:uid="{4661A200-E7D2-470E-A4D8-2AC1F856FAEB}" name="Valor pago" dataDxfId="4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B4C88B6-7DFB-46B4-9BAB-E6DD8EC4DE40}" name="Tabela49711" displayName="Tabela49711" ref="A28:C29" totalsRowShown="0" headerRowDxfId="42" dataDxfId="40" headerRowBorderDxfId="41" tableBorderDxfId="39" totalsRowBorderDxfId="38" headerRowCellStyle="Moeda">
  <autoFilter ref="A28:C29" xr:uid="{EB4C88B6-7DFB-46B4-9BAB-E6DD8EC4DE40}">
    <filterColumn colId="0" hiddenButton="1"/>
    <filterColumn colId="1" hiddenButton="1"/>
    <filterColumn colId="2" hiddenButton="1"/>
  </autoFilter>
  <tableColumns count="3">
    <tableColumn id="1" xr3:uid="{A59C4ED5-6C79-455E-A300-C4BD0F858B1B}" name="Salário líquido" dataDxfId="37" dataCellStyle="Moeda"/>
    <tableColumn id="2" xr3:uid="{FF00A3D6-2A8A-4F80-9FFF-22422E930FD0}" name="Mês" dataDxfId="36"/>
    <tableColumn id="3" xr3:uid="{E3538E2F-F6FA-447A-8178-945D8BAC74AC}" name="Saldo restante" dataDxfId="35" dataCellStyle="Moeda">
      <calculatedColumnFormula>(A29-SUM(Tabela38310[Valor da parcela])) + (SUMIF(Tabela38310[Urgência],"Leve",Tabela38310[Valor da parcela]))</calculatedColumnFormula>
    </tableColumn>
  </tableColumns>
  <tableStyleInfo name="TableStyleDark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734532-3EEB-4A32-95EA-B71D55970ABE}" name="Tabela1" displayName="Tabela1" ref="A3:N56" totalsRowShown="0" headerRowDxfId="34" headerRowBorderDxfId="33" tableBorderDxfId="32" totalsRowBorderDxfId="31">
  <sortState xmlns:xlrd2="http://schemas.microsoft.com/office/spreadsheetml/2017/richdata2" ref="A4:N26">
    <sortCondition ref="N4:N26" customList="Alimentação;Hortifruit"/>
  </sortState>
  <tableColumns count="14">
    <tableColumn id="1" xr3:uid="{D34361EB-6195-46AF-97AC-81FEF5358B9F}" name="Descrição/Marca do produto" dataDxfId="30"/>
    <tableColumn id="2" xr3:uid="{5A355E0A-49E7-467C-BAD4-5AA96C32CB34}" name="QTD/UN" dataDxfId="29"/>
    <tableColumn id="15" xr3:uid="{B943E220-1B5D-40BC-9CB4-97EFECE1B85F}" name="Estoque" dataDxfId="28"/>
    <tableColumn id="3" xr3:uid="{9E9AFA86-8B48-4095-91AA-61F42FACE97F}" name="Data da compra" dataDxfId="27"/>
    <tableColumn id="4" xr3:uid="{098F79A1-F955-4EA2-AB3F-990EA5EC05A7}" name="Data de início de uso" dataDxfId="26"/>
    <tableColumn id="5" xr3:uid="{DA3005CE-7322-40E3-8F03-FB6F5AD1537F}" name="Dias de uso" dataDxfId="25">
      <calculatedColumnFormula>IFERROR(IF(TODAY()-E4=0,1,TODAY()-E4),"-")</calculatedColumnFormula>
    </tableColumn>
    <tableColumn id="6" xr3:uid="{BC69E708-3DE4-4679-860D-9B72D823B6C8}" name="QTD Média Diária" dataDxfId="24" dataCellStyle="Porcentagem">
      <calculatedColumnFormula>IFERROR((B4-C4)/F4,"-")</calculatedColumnFormula>
    </tableColumn>
    <tableColumn id="7" xr3:uid="{873F9113-1CBC-40C5-B38B-0297A371E3C7}" name="Valor gasto" dataDxfId="23" dataCellStyle="Moeda"/>
    <tableColumn id="13" xr3:uid="{5CAEAF30-81FE-44DF-8ECD-DD40355DDFEA}" name="Preço unidade/qtd" dataDxfId="22" dataCellStyle="Moeda"/>
    <tableColumn id="8" xr3:uid="{347D6EC1-438B-419B-8ED5-D1F490FBED54}" name="Inflação a.m" dataDxfId="21" dataCellStyle="Moeda"/>
    <tableColumn id="9" xr3:uid="{600A94AE-E03D-43DD-B119-81E04FB36C55}" name="Preço Projetado" dataDxfId="20">
      <calculatedColumnFormula>I4+(J4*I4)</calculatedColumnFormula>
    </tableColumn>
    <tableColumn id="10" xr3:uid="{429FE444-E473-4049-93BA-A14D57561926}" name="Quantidade nescessária p/ o mês" dataDxfId="19">
      <calculatedColumnFormula>IFERROR((30/F4)*(B4 - C4),"-")</calculatedColumnFormula>
    </tableColumn>
    <tableColumn id="11" xr3:uid="{356C384F-8EBA-48CE-9481-5A21E0D43968}" name="Valor Necessário" dataDxfId="18">
      <calculatedColumnFormula>IFERROR(L4*K4,"-")</calculatedColumnFormula>
    </tableColumn>
    <tableColumn id="14" xr3:uid="{4625F10A-3539-480B-9C7F-AFD6E8BAC111}" name="Categoria" dataDxfId="17"/>
  </tableColumns>
  <tableStyleInfo name="TableStyleDark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1AE7EF-0511-4243-A3E5-49D11B2E636A}" name="Tabela5" displayName="Tabela5" ref="A3:D56" totalsRowShown="0" headerRowDxfId="16" dataDxfId="14" headerRowBorderDxfId="15" tableBorderDxfId="13" totalsRowBorderDxfId="12">
  <autoFilter ref="A3:D56" xr:uid="{321AE7EF-0511-4243-A3E5-49D11B2E636A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A4:D27">
    <sortCondition descending="1" ref="C3:C27"/>
  </sortState>
  <tableColumns count="4">
    <tableColumn id="1" xr3:uid="{55A237F6-F533-4E53-804E-AD6C2697C07F}" name="Descrição" dataDxfId="11">
      <calculatedColumnFormula>Tabela1[[#This Row],[Descrição/Marca do produto]]</calculatedColumnFormula>
    </tableColumn>
    <tableColumn id="2" xr3:uid="{BECA8336-049C-4FDD-BAF8-1006D728581B}" name="Preço" dataDxfId="10" dataCellStyle="Moeda">
      <calculatedColumnFormula>Tabela1[[#This Row],[Preço unidade/qtd]]</calculatedColumnFormula>
    </tableColumn>
    <tableColumn id="3" xr3:uid="{F6836345-229C-47BC-8CD4-5DE19993F259}" name="QTD" dataDxfId="9">
      <calculatedColumnFormula>Tabela1[[#This Row],[Quantidade nescessária p/ o mês]]</calculatedColumnFormula>
    </tableColumn>
    <tableColumn id="4" xr3:uid="{1D00AC78-BA2E-481D-92F4-365820B80FB0}" name="Valor total" dataDxfId="8">
      <calculatedColumnFormula>IFERROR(Tabela5[[#This Row],[QTD]]*Tabela5[[#This Row],[Preço]],0)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C2C-81D2-4E2E-A24B-430C037B366E}">
  <sheetPr codeName="Planilha1"/>
  <dimension ref="A1:AJ42"/>
  <sheetViews>
    <sheetView tabSelected="1" topLeftCell="M8" zoomScaleNormal="100" workbookViewId="0">
      <selection activeCell="P23" sqref="P23"/>
    </sheetView>
  </sheetViews>
  <sheetFormatPr defaultRowHeight="15" x14ac:dyDescent="0.25"/>
  <cols>
    <col min="1" max="1" width="19" style="1" bestFit="1" customWidth="1"/>
    <col min="2" max="2" width="30" bestFit="1" customWidth="1"/>
    <col min="3" max="3" width="11.85546875" style="1" customWidth="1"/>
    <col min="4" max="4" width="12.140625" style="1" bestFit="1" customWidth="1"/>
    <col min="5" max="5" width="9.85546875" bestFit="1" customWidth="1"/>
    <col min="6" max="6" width="12" customWidth="1"/>
    <col min="7" max="7" width="11.85546875" bestFit="1" customWidth="1"/>
    <col min="8" max="8" width="12.140625" bestFit="1" customWidth="1"/>
    <col min="9" max="9" width="14.5703125" bestFit="1" customWidth="1"/>
    <col min="10" max="10" width="12.140625" style="1" bestFit="1" customWidth="1"/>
    <col min="11" max="12" width="7.42578125" customWidth="1"/>
    <col min="13" max="13" width="12.140625" bestFit="1" customWidth="1"/>
    <col min="14" max="14" width="12.140625" customWidth="1"/>
    <col min="15" max="15" width="39.28515625" bestFit="1" customWidth="1"/>
    <col min="16" max="18" width="12.140625" bestFit="1" customWidth="1"/>
    <col min="19" max="19" width="10.7109375" bestFit="1" customWidth="1"/>
    <col min="20" max="20" width="10.28515625" customWidth="1"/>
    <col min="21" max="21" width="11.85546875" bestFit="1" customWidth="1"/>
    <col min="22" max="22" width="12.28515625" bestFit="1" customWidth="1"/>
    <col min="23" max="24" width="14.5703125" bestFit="1" customWidth="1"/>
    <col min="25" max="26" width="12.140625" bestFit="1" customWidth="1"/>
    <col min="27" max="27" width="18.42578125" bestFit="1" customWidth="1"/>
    <col min="28" max="28" width="11.85546875" bestFit="1" customWidth="1"/>
    <col min="29" max="29" width="31" bestFit="1" customWidth="1"/>
    <col min="30" max="30" width="12.140625" bestFit="1" customWidth="1"/>
    <col min="31" max="31" width="8.7109375" bestFit="1" customWidth="1"/>
    <col min="32" max="32" width="7.7109375" bestFit="1" customWidth="1"/>
    <col min="33" max="33" width="10.5703125" bestFit="1" customWidth="1"/>
    <col min="34" max="34" width="12.28515625" bestFit="1" customWidth="1"/>
    <col min="35" max="35" width="12.140625" bestFit="1" customWidth="1"/>
    <col min="36" max="36" width="14.5703125" bestFit="1" customWidth="1"/>
    <col min="37" max="38" width="12.140625" bestFit="1" customWidth="1"/>
  </cols>
  <sheetData>
    <row r="1" spans="1:36" ht="25.5" customHeight="1" x14ac:dyDescent="0.25">
      <c r="A1" s="63" t="s">
        <v>0</v>
      </c>
      <c r="B1" s="63"/>
      <c r="C1" s="63"/>
      <c r="D1" s="63"/>
      <c r="E1" s="63"/>
      <c r="F1" s="63"/>
      <c r="G1" s="63"/>
      <c r="H1" s="63"/>
      <c r="I1" s="63"/>
      <c r="J1" s="39"/>
      <c r="K1" s="40"/>
      <c r="L1" s="40"/>
      <c r="M1" s="40"/>
      <c r="N1" s="40"/>
      <c r="O1" s="40"/>
      <c r="P1" s="65" t="s">
        <v>0</v>
      </c>
      <c r="Q1" s="65"/>
      <c r="R1" s="65"/>
      <c r="S1" s="65"/>
      <c r="T1" s="65"/>
      <c r="U1" s="65"/>
      <c r="V1" s="65"/>
      <c r="W1" s="65"/>
      <c r="X1" s="65"/>
    </row>
    <row r="2" spans="1:36" ht="25.5" customHeight="1" x14ac:dyDescent="0.25">
      <c r="A2"/>
      <c r="C2"/>
      <c r="D2"/>
      <c r="J2"/>
    </row>
    <row r="3" spans="1:36" x14ac:dyDescent="0.25">
      <c r="P3" s="1"/>
      <c r="R3" s="1"/>
      <c r="S3" s="1"/>
    </row>
    <row r="4" spans="1:36" ht="30.75" customHeight="1" x14ac:dyDescent="0.25">
      <c r="A4" s="51" t="s">
        <v>1</v>
      </c>
      <c r="B4" s="36" t="s">
        <v>13</v>
      </c>
      <c r="C4" s="52" t="s">
        <v>12</v>
      </c>
      <c r="D4" s="9"/>
      <c r="E4" s="9"/>
      <c r="F4" s="53" t="s">
        <v>78</v>
      </c>
      <c r="G4" s="9"/>
      <c r="H4" s="55" t="s">
        <v>99</v>
      </c>
      <c r="J4" s="55" t="s">
        <v>124</v>
      </c>
      <c r="N4" s="51" t="s">
        <v>1</v>
      </c>
      <c r="O4" s="36" t="s">
        <v>13</v>
      </c>
      <c r="P4" s="52" t="s">
        <v>12</v>
      </c>
      <c r="Q4" s="9"/>
      <c r="R4" s="9"/>
      <c r="S4" s="56" t="s">
        <v>78</v>
      </c>
      <c r="T4" s="9"/>
      <c r="U4" s="54" t="s">
        <v>100</v>
      </c>
      <c r="W4" s="54" t="s">
        <v>124</v>
      </c>
      <c r="Z4" s="51" t="s">
        <v>1</v>
      </c>
      <c r="AA4" s="36" t="s">
        <v>13</v>
      </c>
      <c r="AB4" s="52" t="s">
        <v>12</v>
      </c>
      <c r="AC4" s="9"/>
      <c r="AD4" s="9"/>
      <c r="AE4" s="56" t="s">
        <v>78</v>
      </c>
      <c r="AF4" s="9"/>
      <c r="AG4" s="54" t="s">
        <v>100</v>
      </c>
      <c r="AI4" s="54" t="s">
        <v>124</v>
      </c>
    </row>
    <row r="5" spans="1:36" x14ac:dyDescent="0.25">
      <c r="A5" s="37">
        <v>2100</v>
      </c>
      <c r="B5" s="4" t="str">
        <f ca="1">TEXT(MONTH(TODAY()),"MMMM")</f>
        <v>janeiro</v>
      </c>
      <c r="C5" s="38">
        <f>Tabela4[[#This Row],[Salário líquido]]-H5</f>
        <v>-491.61999999999989</v>
      </c>
      <c r="D5" s="61" t="str">
        <f>IF(C5&lt;0,"Você está negativo!","")</f>
        <v>Você está negativo!</v>
      </c>
      <c r="E5" s="61"/>
      <c r="F5" s="46">
        <f>SUM(Tabela3[Valor pago])</f>
        <v>1857.7</v>
      </c>
      <c r="H5" s="48">
        <f>F5+'Levantamento de gastos do mês'!P8</f>
        <v>2591.62</v>
      </c>
      <c r="J5" s="48">
        <f>SUM(Tabela3[Valor total])</f>
        <v>5609</v>
      </c>
      <c r="N5" s="37">
        <v>2401.04</v>
      </c>
      <c r="O5" s="4" t="s">
        <v>77</v>
      </c>
      <c r="P5" s="38">
        <f>(N5-SUM(Tabela38[Valor da parcela])) + (SUMIF(Tabela38[Urgência],"Leve",Tabela38[Valor da parcela]))</f>
        <v>-495.92999999999984</v>
      </c>
      <c r="Q5" s="61" t="str">
        <f>IF(P5&lt;0,"Você está negativo!","")</f>
        <v>Você está negativo!</v>
      </c>
      <c r="R5" s="61"/>
      <c r="S5" s="46">
        <f>SUM(Tabela38[Valor pago])</f>
        <v>0</v>
      </c>
      <c r="U5" s="47">
        <f>SUM(Tabela38[Valor pago])</f>
        <v>0</v>
      </c>
      <c r="W5" s="47">
        <f>SUM(Tabela38[Valor total])</f>
        <v>6296.97</v>
      </c>
      <c r="Z5" s="37">
        <v>2401.04</v>
      </c>
      <c r="AA5" s="4" t="s">
        <v>77</v>
      </c>
      <c r="AB5" s="38">
        <f>(Z5-SUM(Tabela383[Valor da parcela])) + (SUMIF(Tabela383[Urgência],"Leve",Tabela383[Valor da parcela]))</f>
        <v>454.03999999999996</v>
      </c>
      <c r="AC5" s="61" t="str">
        <f>IF(AB5&lt;0,"Você está negativo!","")</f>
        <v/>
      </c>
      <c r="AD5" s="61"/>
      <c r="AE5" s="46">
        <f>SUM(Tabela38[Valor pago])</f>
        <v>0</v>
      </c>
      <c r="AG5" s="47">
        <f>SUM(Tabela383[Valor pago])</f>
        <v>0</v>
      </c>
      <c r="AI5" s="47">
        <f>SUM(Tabela383[Valor total])</f>
        <v>5141.09</v>
      </c>
    </row>
    <row r="6" spans="1:36" x14ac:dyDescent="0.25">
      <c r="P6" s="1"/>
      <c r="R6" s="1"/>
      <c r="S6" s="1"/>
    </row>
    <row r="7" spans="1:36" ht="15" customHeight="1" x14ac:dyDescent="0.25">
      <c r="A7" s="62" t="s">
        <v>2</v>
      </c>
      <c r="B7" s="62"/>
      <c r="C7" s="62"/>
      <c r="D7" s="62"/>
      <c r="E7" s="62"/>
      <c r="F7" s="62"/>
      <c r="G7" s="62"/>
      <c r="H7" s="62"/>
      <c r="N7" s="62" t="s">
        <v>134</v>
      </c>
      <c r="O7" s="62"/>
      <c r="P7" s="62"/>
      <c r="Q7" s="62"/>
      <c r="R7" s="62"/>
      <c r="S7" s="62"/>
      <c r="T7" s="62"/>
      <c r="U7" s="62"/>
      <c r="Z7" s="62" t="s">
        <v>2</v>
      </c>
      <c r="AA7" s="62"/>
      <c r="AB7" s="62"/>
      <c r="AC7" s="62"/>
      <c r="AD7" s="62"/>
      <c r="AE7" s="62"/>
      <c r="AF7" s="62"/>
      <c r="AG7" s="62"/>
      <c r="AH7" s="62"/>
      <c r="AI7" s="62"/>
    </row>
    <row r="8" spans="1:36" ht="15" customHeight="1" x14ac:dyDescent="0.25">
      <c r="A8" s="64"/>
      <c r="B8" s="64"/>
      <c r="C8" s="64"/>
      <c r="D8" s="64"/>
      <c r="E8" s="64"/>
      <c r="F8" s="64"/>
      <c r="G8" s="64"/>
      <c r="H8" s="64"/>
      <c r="N8" s="64"/>
      <c r="O8" s="64"/>
      <c r="P8" s="64"/>
      <c r="Q8" s="64"/>
      <c r="R8" s="64"/>
      <c r="S8" s="64"/>
      <c r="T8" s="64"/>
      <c r="U8" s="64"/>
      <c r="Z8" s="62"/>
      <c r="AA8" s="62"/>
      <c r="AB8" s="62"/>
      <c r="AC8" s="62"/>
      <c r="AD8" s="62"/>
      <c r="AE8" s="62"/>
      <c r="AF8" s="62"/>
      <c r="AG8" s="62"/>
      <c r="AH8" s="62"/>
      <c r="AI8" s="62"/>
    </row>
    <row r="9" spans="1:36" ht="36" customHeight="1" x14ac:dyDescent="0.25">
      <c r="A9" s="49" t="s">
        <v>3</v>
      </c>
      <c r="B9" s="50" t="s">
        <v>4</v>
      </c>
      <c r="C9" s="49" t="s">
        <v>5</v>
      </c>
      <c r="D9" s="50" t="s">
        <v>6</v>
      </c>
      <c r="E9" s="50" t="s">
        <v>15</v>
      </c>
      <c r="F9" s="50" t="s">
        <v>25</v>
      </c>
      <c r="G9" s="49" t="s">
        <v>101</v>
      </c>
      <c r="H9" s="50" t="s">
        <v>20</v>
      </c>
      <c r="I9" s="50" t="s">
        <v>37</v>
      </c>
      <c r="J9" s="49" t="s">
        <v>78</v>
      </c>
      <c r="N9" s="49" t="s">
        <v>3</v>
      </c>
      <c r="O9" s="50" t="s">
        <v>4</v>
      </c>
      <c r="P9" s="49" t="s">
        <v>5</v>
      </c>
      <c r="Q9" s="49" t="s">
        <v>136</v>
      </c>
      <c r="R9" s="50" t="s">
        <v>6</v>
      </c>
      <c r="S9" s="50" t="s">
        <v>15</v>
      </c>
      <c r="T9" s="50" t="s">
        <v>25</v>
      </c>
      <c r="U9" s="49" t="s">
        <v>101</v>
      </c>
      <c r="V9" s="50" t="s">
        <v>20</v>
      </c>
      <c r="W9" s="50" t="s">
        <v>37</v>
      </c>
      <c r="X9" s="60" t="s">
        <v>78</v>
      </c>
      <c r="AA9" s="49" t="s">
        <v>3</v>
      </c>
      <c r="AB9" s="50" t="s">
        <v>4</v>
      </c>
      <c r="AC9" s="49" t="s">
        <v>5</v>
      </c>
      <c r="AD9" s="50" t="s">
        <v>6</v>
      </c>
      <c r="AE9" s="50" t="s">
        <v>15</v>
      </c>
      <c r="AF9" s="50" t="s">
        <v>25</v>
      </c>
      <c r="AG9" s="49" t="s">
        <v>101</v>
      </c>
      <c r="AH9" s="50" t="s">
        <v>20</v>
      </c>
      <c r="AI9" s="50" t="s">
        <v>37</v>
      </c>
      <c r="AJ9" s="50" t="s">
        <v>78</v>
      </c>
    </row>
    <row r="10" spans="1:36" x14ac:dyDescent="0.25">
      <c r="A10" s="3" t="s">
        <v>7</v>
      </c>
      <c r="B10" s="2" t="s">
        <v>8</v>
      </c>
      <c r="C10" s="3">
        <v>80</v>
      </c>
      <c r="D10" s="2" t="s">
        <v>9</v>
      </c>
      <c r="E10" s="2" t="s">
        <v>16</v>
      </c>
      <c r="F10" s="8">
        <f>IFERROR(Tabela3[[#This Row],[Valor total]]/Tabela3[[#This Row],[Vezes]],Tabela3[[#This Row],[Valor total]])</f>
        <v>80</v>
      </c>
      <c r="G10" s="57">
        <v>45662</v>
      </c>
      <c r="H10" s="7" t="s">
        <v>21</v>
      </c>
      <c r="I10" s="7" t="s">
        <v>38</v>
      </c>
      <c r="J10" s="29">
        <v>82</v>
      </c>
      <c r="N10" s="3" t="s">
        <v>7</v>
      </c>
      <c r="O10" s="2" t="s">
        <v>8</v>
      </c>
      <c r="P10" s="3">
        <v>168</v>
      </c>
      <c r="Q10" s="3">
        <f>Tabela38[[#This Row],[Valor total]]</f>
        <v>168</v>
      </c>
      <c r="R10" s="2" t="s">
        <v>9</v>
      </c>
      <c r="S10" s="2" t="s">
        <v>16</v>
      </c>
      <c r="T10" s="8">
        <v>168</v>
      </c>
      <c r="U10" s="57">
        <v>45693</v>
      </c>
      <c r="V10" s="7" t="s">
        <v>19</v>
      </c>
      <c r="W10" s="7" t="s">
        <v>38</v>
      </c>
      <c r="X10" s="7"/>
      <c r="Y10" s="10"/>
      <c r="AA10" s="3" t="s">
        <v>7</v>
      </c>
      <c r="AB10" s="2" t="s">
        <v>8</v>
      </c>
      <c r="AC10" s="3" t="s">
        <v>16</v>
      </c>
      <c r="AD10" s="2" t="s">
        <v>9</v>
      </c>
      <c r="AE10" s="2" t="s">
        <v>16</v>
      </c>
      <c r="AF10" s="8" t="s">
        <v>16</v>
      </c>
      <c r="AG10" s="57" t="s">
        <v>16</v>
      </c>
      <c r="AH10" s="7" t="s">
        <v>19</v>
      </c>
      <c r="AI10" s="7" t="s">
        <v>38</v>
      </c>
      <c r="AJ10" s="7"/>
    </row>
    <row r="11" spans="1:36" x14ac:dyDescent="0.25">
      <c r="A11" s="3" t="s">
        <v>10</v>
      </c>
      <c r="B11" s="2" t="s">
        <v>11</v>
      </c>
      <c r="C11" s="3">
        <v>100</v>
      </c>
      <c r="D11" s="2" t="s">
        <v>14</v>
      </c>
      <c r="E11" s="2">
        <v>1</v>
      </c>
      <c r="F11" s="8">
        <f>IFERROR(Tabela3[[#This Row],[Valor total]]/Tabela3[[#This Row],[Vezes]],Tabela3[[#This Row],[Valor total]])</f>
        <v>100</v>
      </c>
      <c r="G11" s="57">
        <v>45677</v>
      </c>
      <c r="H11" s="2" t="s">
        <v>19</v>
      </c>
      <c r="I11" s="2" t="s">
        <v>38</v>
      </c>
      <c r="J11" s="3">
        <v>42.63</v>
      </c>
      <c r="N11" s="3" t="s">
        <v>10</v>
      </c>
      <c r="O11" s="2" t="s">
        <v>11</v>
      </c>
      <c r="P11" s="3">
        <f>100 - 42.63</f>
        <v>57.37</v>
      </c>
      <c r="Q11" s="3">
        <f>Tabela38[[#This Row],[Valor total]]</f>
        <v>57.37</v>
      </c>
      <c r="R11" s="2" t="s">
        <v>9</v>
      </c>
      <c r="S11" s="2" t="s">
        <v>16</v>
      </c>
      <c r="T11" s="8">
        <f>IFERROR(Tabela38[[#This Row],[Valor total]]/Tabela38[[#This Row],[Vezes]],Tabela38[[#This Row],[Valor total]])</f>
        <v>57.37</v>
      </c>
      <c r="U11" s="57">
        <v>45693</v>
      </c>
      <c r="V11" s="2" t="s">
        <v>19</v>
      </c>
      <c r="W11" s="2" t="s">
        <v>38</v>
      </c>
      <c r="X11" s="2"/>
      <c r="Y11" s="10"/>
      <c r="AA11" s="3" t="s">
        <v>10</v>
      </c>
      <c r="AB11" s="2" t="s">
        <v>11</v>
      </c>
      <c r="AC11" s="3">
        <v>44.09</v>
      </c>
      <c r="AD11" s="2" t="s">
        <v>9</v>
      </c>
      <c r="AE11" s="2" t="s">
        <v>16</v>
      </c>
      <c r="AF11" s="8" t="s">
        <v>16</v>
      </c>
      <c r="AG11" s="57">
        <v>45725</v>
      </c>
      <c r="AH11" s="2" t="s">
        <v>19</v>
      </c>
      <c r="AI11" s="2" t="s">
        <v>38</v>
      </c>
      <c r="AJ11" s="2"/>
    </row>
    <row r="12" spans="1:36" x14ac:dyDescent="0.25">
      <c r="A12" s="3" t="s">
        <v>17</v>
      </c>
      <c r="B12" s="6" t="str">
        <f>HYPERLINK("C:\Users\rodri\Downloads\dsc.txt","Clique aqui para ver a descrição")</f>
        <v>Clique aqui para ver a descrição</v>
      </c>
      <c r="C12" s="3">
        <v>402</v>
      </c>
      <c r="D12" s="2" t="s">
        <v>9</v>
      </c>
      <c r="E12" s="2">
        <v>2</v>
      </c>
      <c r="F12" s="8">
        <f>IFERROR(Tabela3[[#This Row],[Valor total]]/Tabela3[[#This Row],[Vezes]],Tabela3[[#This Row],[Valor total]])</f>
        <v>201</v>
      </c>
      <c r="G12" s="57">
        <v>45662</v>
      </c>
      <c r="H12" s="2" t="s">
        <v>21</v>
      </c>
      <c r="I12" s="2" t="s">
        <v>39</v>
      </c>
      <c r="J12" s="3">
        <v>200</v>
      </c>
      <c r="N12" s="3" t="s">
        <v>17</v>
      </c>
      <c r="O12" s="6" t="str">
        <f>HYPERLINK("C:\Users\rodri\Downloads\dsc.txt","Clique aqui para ver a descrição")</f>
        <v>Clique aqui para ver a descrição</v>
      </c>
      <c r="P12" s="3">
        <f>((85+100+150) + 20 / 100 * (85+100+150) - 200)+(202*0.2)</f>
        <v>242.4</v>
      </c>
      <c r="Q12" s="3">
        <f>Tabela38[[#This Row],[Valor total]]</f>
        <v>242.4</v>
      </c>
      <c r="R12" s="2" t="s">
        <v>9</v>
      </c>
      <c r="S12" s="2" t="s">
        <v>16</v>
      </c>
      <c r="T12" s="8">
        <f>IFERROR(Tabela38[[#This Row],[Valor total]]/Tabela38[[#This Row],[Vezes]],Tabela38[[#This Row],[Valor total]])</f>
        <v>242.4</v>
      </c>
      <c r="U12" s="57">
        <v>45695</v>
      </c>
      <c r="V12" s="2" t="s">
        <v>21</v>
      </c>
      <c r="W12" s="2" t="s">
        <v>39</v>
      </c>
      <c r="X12" s="2"/>
      <c r="Y12" s="10"/>
      <c r="AA12" s="3" t="s">
        <v>18</v>
      </c>
      <c r="AB12" s="6" t="str">
        <f>HYPERLINK("C:\Users\rodri\Downloads\dsc1.txt","Clique aqui para ver a descrição")</f>
        <v>Clique aqui para ver a descrição</v>
      </c>
      <c r="AC12" s="3">
        <v>500</v>
      </c>
      <c r="AD12" s="2" t="s">
        <v>14</v>
      </c>
      <c r="AE12" s="2">
        <v>2</v>
      </c>
      <c r="AF12" s="8">
        <f>IFERROR(Tabela383[[#This Row],[Valor total]]/Tabela383[[#This Row],[Vezes]],Tabela383[[#This Row],[Valor total]])</f>
        <v>250</v>
      </c>
      <c r="AG12" s="57">
        <v>45695</v>
      </c>
      <c r="AH12" s="4" t="s">
        <v>19</v>
      </c>
      <c r="AI12" s="2" t="s">
        <v>39</v>
      </c>
      <c r="AJ12" s="2"/>
    </row>
    <row r="13" spans="1:36" x14ac:dyDescent="0.25">
      <c r="A13" s="3" t="s">
        <v>18</v>
      </c>
      <c r="B13" s="6" t="str">
        <f>HYPERLINK("C:\Users\rodri\Downloads\dsc1.txt","Clique aqui para ver a descrição")</f>
        <v>Clique aqui para ver a descrição</v>
      </c>
      <c r="C13" s="3">
        <v>1500</v>
      </c>
      <c r="D13" s="2" t="s">
        <v>14</v>
      </c>
      <c r="E13" s="2">
        <v>3</v>
      </c>
      <c r="F13" s="8">
        <f>IFERROR(Tabela3[[#This Row],[Valor total]]/Tabela3[[#This Row],[Vezes]],Tabela3[[#This Row],[Valor total]])</f>
        <v>500</v>
      </c>
      <c r="G13" s="3"/>
      <c r="H13" s="4" t="s">
        <v>23</v>
      </c>
      <c r="I13" s="2" t="s">
        <v>39</v>
      </c>
      <c r="J13" s="3"/>
      <c r="N13" s="3" t="s">
        <v>18</v>
      </c>
      <c r="O13" s="6" t="str">
        <f>HYPERLINK("C:\Users\rodri\Downloads\dsc1.txt","Clique aqui para ver a descrição")</f>
        <v>Clique aqui para ver a descrição</v>
      </c>
      <c r="P13" s="3">
        <v>1000</v>
      </c>
      <c r="Q13" s="3">
        <f>Tabela38[[#This Row],[Valor total]]</f>
        <v>1000</v>
      </c>
      <c r="R13" s="2" t="s">
        <v>14</v>
      </c>
      <c r="S13" s="2">
        <v>2</v>
      </c>
      <c r="T13" s="8">
        <f>IFERROR(Tabela38[[#This Row],[Valor total]]/Tabela38[[#This Row],[Vezes]],Tabela38[[#This Row],[Valor total]])</f>
        <v>500</v>
      </c>
      <c r="U13" s="57">
        <v>45695</v>
      </c>
      <c r="V13" s="4" t="s">
        <v>19</v>
      </c>
      <c r="W13" s="2" t="s">
        <v>39</v>
      </c>
      <c r="X13" s="2"/>
      <c r="Y13" s="10"/>
      <c r="AA13" s="5" t="s">
        <v>22</v>
      </c>
      <c r="AB13" s="4" t="s">
        <v>24</v>
      </c>
      <c r="AC13" s="5">
        <v>2000</v>
      </c>
      <c r="AD13" s="4" t="s">
        <v>14</v>
      </c>
      <c r="AE13" s="4">
        <v>5</v>
      </c>
      <c r="AF13" s="8">
        <f>IFERROR(Tabela383[[#This Row],[Valor total]]/Tabela383[[#This Row],[Vezes]],Tabela383[[#This Row],[Valor total]])</f>
        <v>400</v>
      </c>
      <c r="AG13" s="5"/>
      <c r="AH13" s="7" t="s">
        <v>23</v>
      </c>
      <c r="AI13" s="2" t="s">
        <v>39</v>
      </c>
      <c r="AJ13" s="2"/>
    </row>
    <row r="14" spans="1:36" x14ac:dyDescent="0.25">
      <c r="A14" s="5" t="s">
        <v>22</v>
      </c>
      <c r="B14" s="4" t="s">
        <v>24</v>
      </c>
      <c r="C14" s="5">
        <v>2000</v>
      </c>
      <c r="D14" s="4" t="s">
        <v>14</v>
      </c>
      <c r="E14" s="4" t="s">
        <v>27</v>
      </c>
      <c r="F14" s="8">
        <f>IFERROR(Tabela3[[#This Row],[Valor total]]/Tabela3[[#This Row],[Vezes]],Tabela3[[#This Row],[Valor total]])</f>
        <v>2000</v>
      </c>
      <c r="G14" s="5"/>
      <c r="H14" s="7" t="s">
        <v>23</v>
      </c>
      <c r="I14" s="2" t="s">
        <v>39</v>
      </c>
      <c r="J14" s="3"/>
      <c r="N14" s="5" t="s">
        <v>22</v>
      </c>
      <c r="O14" s="4" t="s">
        <v>24</v>
      </c>
      <c r="P14" s="5">
        <v>2000</v>
      </c>
      <c r="Q14" s="5">
        <f>Tabela38[[#This Row],[Valor total]]</f>
        <v>2000</v>
      </c>
      <c r="R14" s="4" t="s">
        <v>14</v>
      </c>
      <c r="S14" s="4">
        <v>5</v>
      </c>
      <c r="T14" s="8">
        <f>IFERROR(Tabela38[[#This Row],[Valor total]]/Tabela38[[#This Row],[Vezes]],Tabela38[[#This Row],[Valor total]])</f>
        <v>400</v>
      </c>
      <c r="U14" s="5"/>
      <c r="V14" s="7" t="s">
        <v>23</v>
      </c>
      <c r="W14" s="2" t="s">
        <v>39</v>
      </c>
      <c r="X14" s="2"/>
      <c r="Y14" s="10"/>
      <c r="AA14" s="5" t="s">
        <v>26</v>
      </c>
      <c r="AB14" s="4" t="s">
        <v>28</v>
      </c>
      <c r="AC14" s="5">
        <v>763</v>
      </c>
      <c r="AD14" s="4" t="s">
        <v>9</v>
      </c>
      <c r="AE14" s="4" t="s">
        <v>16</v>
      </c>
      <c r="AF14" s="8">
        <f>IFERROR(Tabela383[[#This Row],[Valor total]]/Tabela383[[#This Row],[Vezes]],Tabela383[[#This Row],[Valor total]])</f>
        <v>763</v>
      </c>
      <c r="AG14" s="59">
        <v>45728</v>
      </c>
      <c r="AH14" s="2" t="s">
        <v>19</v>
      </c>
      <c r="AI14" s="2" t="s">
        <v>40</v>
      </c>
      <c r="AJ14" s="2"/>
    </row>
    <row r="15" spans="1:36" x14ac:dyDescent="0.25">
      <c r="A15" s="5" t="s">
        <v>26</v>
      </c>
      <c r="B15" s="4" t="s">
        <v>28</v>
      </c>
      <c r="C15" s="5">
        <v>763</v>
      </c>
      <c r="D15" s="4" t="s">
        <v>14</v>
      </c>
      <c r="E15" s="4" t="s">
        <v>16</v>
      </c>
      <c r="F15" s="8">
        <f>IFERROR(Tabela3[[#This Row],[Valor total]]/Tabela3[[#This Row],[Vezes]],Tabela3[[#This Row],[Valor total]])</f>
        <v>763</v>
      </c>
      <c r="G15" s="5"/>
      <c r="H15" s="2" t="s">
        <v>19</v>
      </c>
      <c r="I15" s="2" t="s">
        <v>40</v>
      </c>
      <c r="J15" s="3">
        <v>763</v>
      </c>
      <c r="N15" s="5" t="s">
        <v>26</v>
      </c>
      <c r="O15" s="4" t="s">
        <v>28</v>
      </c>
      <c r="P15" s="5">
        <v>763</v>
      </c>
      <c r="Q15" s="5">
        <f>Tabela38[[#This Row],[Valor total]]</f>
        <v>763</v>
      </c>
      <c r="R15" s="4" t="s">
        <v>9</v>
      </c>
      <c r="S15" s="4" t="s">
        <v>16</v>
      </c>
      <c r="T15" s="8">
        <f>IFERROR(Tabela38[[#This Row],[Valor total]]/Tabela38[[#This Row],[Vezes]],Tabela38[[#This Row],[Valor total]])</f>
        <v>763</v>
      </c>
      <c r="U15" s="5"/>
      <c r="V15" s="2" t="s">
        <v>19</v>
      </c>
      <c r="W15" s="2" t="s">
        <v>40</v>
      </c>
      <c r="X15" s="2"/>
      <c r="Y15" s="10"/>
      <c r="AA15" s="5" t="s">
        <v>29</v>
      </c>
      <c r="AB15" s="4" t="s">
        <v>30</v>
      </c>
      <c r="AC15" s="5">
        <v>54</v>
      </c>
      <c r="AD15" s="4" t="s">
        <v>9</v>
      </c>
      <c r="AE15" s="4"/>
      <c r="AF15" s="8">
        <f>IFERROR(Tabela383[[#This Row],[Valor total]]/Tabela383[[#This Row],[Vezes]],Tabela383[[#This Row],[Valor total]])</f>
        <v>54</v>
      </c>
      <c r="AG15" s="59">
        <v>45721</v>
      </c>
      <c r="AH15" s="4" t="s">
        <v>21</v>
      </c>
      <c r="AI15" s="2" t="s">
        <v>42</v>
      </c>
      <c r="AJ15" s="2"/>
    </row>
    <row r="16" spans="1:36" x14ac:dyDescent="0.25">
      <c r="A16" s="5" t="s">
        <v>29</v>
      </c>
      <c r="B16" s="4" t="s">
        <v>30</v>
      </c>
      <c r="C16" s="5">
        <v>54</v>
      </c>
      <c r="D16" s="4" t="s">
        <v>9</v>
      </c>
      <c r="E16" s="4"/>
      <c r="F16" s="8">
        <f>IFERROR(Tabela3[[#This Row],[Valor total]]/Tabela3[[#This Row],[Vezes]],Tabela3[[#This Row],[Valor total]])</f>
        <v>54</v>
      </c>
      <c r="G16" s="5"/>
      <c r="H16" s="4" t="s">
        <v>21</v>
      </c>
      <c r="I16" s="2" t="s">
        <v>42</v>
      </c>
      <c r="J16" s="3">
        <v>54.99</v>
      </c>
      <c r="N16" s="5" t="s">
        <v>29</v>
      </c>
      <c r="O16" s="4" t="s">
        <v>30</v>
      </c>
      <c r="P16" s="5">
        <v>54</v>
      </c>
      <c r="Q16" s="5">
        <f>Tabela38[[#This Row],[Valor total]]</f>
        <v>54</v>
      </c>
      <c r="R16" s="4" t="s">
        <v>9</v>
      </c>
      <c r="S16" s="4"/>
      <c r="T16" s="8">
        <f>IFERROR(Tabela38[[#This Row],[Valor total]]/Tabela38[[#This Row],[Vezes]],Tabela38[[#This Row],[Valor total]])</f>
        <v>54</v>
      </c>
      <c r="U16" s="5"/>
      <c r="V16" s="4" t="s">
        <v>21</v>
      </c>
      <c r="W16" s="2" t="s">
        <v>42</v>
      </c>
      <c r="X16" s="2"/>
      <c r="Y16" s="10"/>
      <c r="AA16" s="5" t="s">
        <v>31</v>
      </c>
      <c r="AB16" s="4" t="s">
        <v>32</v>
      </c>
      <c r="AC16" s="5">
        <v>30</v>
      </c>
      <c r="AD16" s="4" t="s">
        <v>9</v>
      </c>
      <c r="AE16" s="4" t="s">
        <v>16</v>
      </c>
      <c r="AF16" s="8">
        <f>IFERROR(Tabela383[[#This Row],[Valor total]]/Tabela383[[#This Row],[Vezes]],Tabela383[[#This Row],[Valor total]])</f>
        <v>30</v>
      </c>
      <c r="AG16" s="59">
        <v>45721</v>
      </c>
      <c r="AH16" s="4" t="s">
        <v>21</v>
      </c>
      <c r="AI16" s="2" t="s">
        <v>41</v>
      </c>
      <c r="AJ16" s="2"/>
    </row>
    <row r="17" spans="1:36" x14ac:dyDescent="0.25">
      <c r="A17" s="5" t="s">
        <v>31</v>
      </c>
      <c r="B17" s="4" t="s">
        <v>32</v>
      </c>
      <c r="C17" s="5">
        <v>30</v>
      </c>
      <c r="D17" s="4" t="s">
        <v>9</v>
      </c>
      <c r="E17" s="4" t="s">
        <v>16</v>
      </c>
      <c r="F17" s="8">
        <f>IFERROR(Tabela3[[#This Row],[Valor total]]/Tabela3[[#This Row],[Vezes]],Tabela3[[#This Row],[Valor total]])</f>
        <v>30</v>
      </c>
      <c r="G17" s="5"/>
      <c r="H17" s="4" t="s">
        <v>21</v>
      </c>
      <c r="I17" s="2" t="s">
        <v>41</v>
      </c>
      <c r="J17" s="3">
        <v>30</v>
      </c>
      <c r="N17" s="5" t="s">
        <v>31</v>
      </c>
      <c r="O17" s="4" t="s">
        <v>32</v>
      </c>
      <c r="P17" s="5">
        <v>30</v>
      </c>
      <c r="Q17" s="5">
        <f>Tabela38[[#This Row],[Valor total]]</f>
        <v>30</v>
      </c>
      <c r="R17" s="4" t="s">
        <v>9</v>
      </c>
      <c r="S17" s="4" t="s">
        <v>16</v>
      </c>
      <c r="T17" s="8">
        <f>IFERROR(Tabela38[[#This Row],[Valor total]]/Tabela38[[#This Row],[Vezes]],Tabela38[[#This Row],[Valor total]])</f>
        <v>30</v>
      </c>
      <c r="U17" s="5"/>
      <c r="V17" s="4" t="s">
        <v>21</v>
      </c>
      <c r="W17" s="2" t="s">
        <v>41</v>
      </c>
      <c r="X17" s="2"/>
      <c r="Y17" s="10"/>
      <c r="AA17" s="5" t="s">
        <v>33</v>
      </c>
      <c r="AB17" s="4" t="s">
        <v>34</v>
      </c>
      <c r="AC17" s="5">
        <v>100</v>
      </c>
      <c r="AD17" s="4" t="s">
        <v>9</v>
      </c>
      <c r="AE17" s="4" t="s">
        <v>16</v>
      </c>
      <c r="AF17" s="8">
        <f>IFERROR(Tabela383[[#This Row],[Valor total]]/Tabela383[[#This Row],[Vezes]],Tabela383[[#This Row],[Valor total]])</f>
        <v>100</v>
      </c>
      <c r="AG17" s="59">
        <v>45730</v>
      </c>
      <c r="AH17" s="4" t="s">
        <v>21</v>
      </c>
      <c r="AI17" s="2" t="s">
        <v>41</v>
      </c>
      <c r="AJ17" s="2"/>
    </row>
    <row r="18" spans="1:36" x14ac:dyDescent="0.25">
      <c r="A18" s="5" t="s">
        <v>33</v>
      </c>
      <c r="B18" s="4" t="s">
        <v>34</v>
      </c>
      <c r="C18" s="5">
        <v>100</v>
      </c>
      <c r="D18" s="4" t="s">
        <v>9</v>
      </c>
      <c r="E18" s="4" t="s">
        <v>16</v>
      </c>
      <c r="F18" s="8">
        <f>IFERROR(Tabela3[[#This Row],[Valor total]]/Tabela3[[#This Row],[Vezes]],Tabela3[[#This Row],[Valor total]])</f>
        <v>100</v>
      </c>
      <c r="G18" s="59">
        <v>45671</v>
      </c>
      <c r="H18" s="4" t="s">
        <v>21</v>
      </c>
      <c r="I18" s="2" t="s">
        <v>41</v>
      </c>
      <c r="J18" s="3">
        <v>102.08</v>
      </c>
      <c r="N18" s="5" t="s">
        <v>33</v>
      </c>
      <c r="O18" s="4" t="s">
        <v>34</v>
      </c>
      <c r="P18" s="5">
        <v>100</v>
      </c>
      <c r="Q18" s="5">
        <f>Tabela38[[#This Row],[Valor total]]</f>
        <v>100</v>
      </c>
      <c r="R18" s="4" t="s">
        <v>9</v>
      </c>
      <c r="S18" s="4" t="s">
        <v>16</v>
      </c>
      <c r="T18" s="8">
        <f>IFERROR(Tabela38[[#This Row],[Valor total]]/Tabela38[[#This Row],[Vezes]],Tabela38[[#This Row],[Valor total]])</f>
        <v>100</v>
      </c>
      <c r="U18" s="5"/>
      <c r="V18" s="4" t="s">
        <v>21</v>
      </c>
      <c r="W18" s="2" t="s">
        <v>41</v>
      </c>
      <c r="X18" s="2"/>
      <c r="Y18" s="10"/>
      <c r="AA18" s="5" t="s">
        <v>35</v>
      </c>
      <c r="AB18" s="4" t="s">
        <v>36</v>
      </c>
      <c r="AC18" s="5">
        <v>450</v>
      </c>
      <c r="AD18" s="4" t="s">
        <v>9</v>
      </c>
      <c r="AE18" s="4" t="s">
        <v>16</v>
      </c>
      <c r="AF18" s="8">
        <f>IFERROR(Tabela383[[#This Row],[Valor total]]/Tabela383[[#This Row],[Vezes]],Tabela383[[#This Row],[Valor total]])</f>
        <v>450</v>
      </c>
      <c r="AG18" s="59">
        <v>45736</v>
      </c>
      <c r="AH18" s="4" t="s">
        <v>21</v>
      </c>
      <c r="AI18" s="4" t="s">
        <v>38</v>
      </c>
      <c r="AJ18" s="2"/>
    </row>
    <row r="19" spans="1:36" x14ac:dyDescent="0.25">
      <c r="A19" s="5" t="s">
        <v>35</v>
      </c>
      <c r="B19" s="4" t="s">
        <v>36</v>
      </c>
      <c r="C19" s="5">
        <v>450</v>
      </c>
      <c r="D19" s="4" t="s">
        <v>9</v>
      </c>
      <c r="E19" s="4" t="s">
        <v>16</v>
      </c>
      <c r="F19" s="8">
        <f>IFERROR(Tabela3[[#This Row],[Valor total]]/Tabela3[[#This Row],[Vezes]],Tabela3[[#This Row],[Valor total]])</f>
        <v>450</v>
      </c>
      <c r="G19" s="59">
        <v>45677</v>
      </c>
      <c r="H19" s="4" t="s">
        <v>21</v>
      </c>
      <c r="I19" s="4" t="s">
        <v>38</v>
      </c>
      <c r="J19" s="3">
        <v>450</v>
      </c>
      <c r="N19" s="5" t="s">
        <v>35</v>
      </c>
      <c r="O19" s="4" t="s">
        <v>36</v>
      </c>
      <c r="P19" s="5">
        <v>450</v>
      </c>
      <c r="Q19" s="5">
        <f>Tabela38[[#This Row],[Valor total]]</f>
        <v>450</v>
      </c>
      <c r="R19" s="4" t="s">
        <v>9</v>
      </c>
      <c r="S19" s="4" t="s">
        <v>16</v>
      </c>
      <c r="T19" s="8">
        <f>IFERROR(Tabela38[[#This Row],[Valor total]]/Tabela38[[#This Row],[Vezes]],Tabela38[[#This Row],[Valor total]])</f>
        <v>450</v>
      </c>
      <c r="U19" s="5"/>
      <c r="V19" s="4" t="s">
        <v>21</v>
      </c>
      <c r="W19" s="4" t="s">
        <v>38</v>
      </c>
      <c r="X19" s="2"/>
      <c r="Y19" s="10"/>
      <c r="AA19" s="5" t="s">
        <v>79</v>
      </c>
      <c r="AB19" s="4" t="s">
        <v>80</v>
      </c>
      <c r="AC19" s="5">
        <v>1200</v>
      </c>
      <c r="AD19" s="4" t="s">
        <v>14</v>
      </c>
      <c r="AE19" s="4">
        <v>4</v>
      </c>
      <c r="AF19" s="8">
        <f>IFERROR(Tabela383[[#This Row],[Valor total]]/Tabela383[[#This Row],[Vezes]],Tabela383[[#This Row],[Valor total]])</f>
        <v>300</v>
      </c>
      <c r="AG19" s="5"/>
      <c r="AH19" s="4" t="s">
        <v>21</v>
      </c>
      <c r="AI19" s="4" t="s">
        <v>39</v>
      </c>
      <c r="AJ19" s="4"/>
    </row>
    <row r="20" spans="1:36" x14ac:dyDescent="0.25">
      <c r="A20" s="5" t="s">
        <v>69</v>
      </c>
      <c r="B20" s="4" t="s">
        <v>70</v>
      </c>
      <c r="C20" s="5">
        <v>90</v>
      </c>
      <c r="D20" s="4" t="s">
        <v>71</v>
      </c>
      <c r="E20" s="4" t="s">
        <v>16</v>
      </c>
      <c r="F20" s="8">
        <f>IFERROR(Tabela3[[#This Row],[Valor total]]/Tabela3[[#This Row],[Vezes]],Tabela3[[#This Row],[Valor total]])</f>
        <v>90</v>
      </c>
      <c r="G20" s="59">
        <v>45664</v>
      </c>
      <c r="H20" s="4" t="s">
        <v>19</v>
      </c>
      <c r="I20" s="4" t="s">
        <v>39</v>
      </c>
      <c r="J20" s="5">
        <v>93</v>
      </c>
      <c r="N20" s="5" t="s">
        <v>79</v>
      </c>
      <c r="O20" s="4" t="s">
        <v>80</v>
      </c>
      <c r="P20" s="5">
        <v>1200</v>
      </c>
      <c r="Q20" s="5">
        <f>Tabela38[[#This Row],[Valor total]]</f>
        <v>1200</v>
      </c>
      <c r="R20" s="4" t="s">
        <v>14</v>
      </c>
      <c r="S20" s="4">
        <v>4</v>
      </c>
      <c r="T20" s="8">
        <f>IFERROR(Tabela38[[#This Row],[Valor total]]/Tabela38[[#This Row],[Vezes]],Tabela38[[#This Row],[Valor total]])</f>
        <v>300</v>
      </c>
      <c r="U20" s="5"/>
      <c r="V20" s="4" t="s">
        <v>21</v>
      </c>
      <c r="W20" s="4" t="s">
        <v>39</v>
      </c>
      <c r="X20" s="4"/>
      <c r="Y20" s="10"/>
    </row>
    <row r="21" spans="1:36" x14ac:dyDescent="0.25">
      <c r="A21" s="5" t="s">
        <v>103</v>
      </c>
      <c r="B21" s="4" t="s">
        <v>125</v>
      </c>
      <c r="C21" s="5">
        <v>40</v>
      </c>
      <c r="D21" s="5" t="s">
        <v>9</v>
      </c>
      <c r="E21" s="4" t="s">
        <v>16</v>
      </c>
      <c r="F21" s="8">
        <f>IFERROR(Tabela3[[#This Row],[Valor total]]/Tabela3[[#This Row],[Vezes]],Tabela3[[#This Row],[Valor total]])</f>
        <v>40</v>
      </c>
      <c r="G21" s="59">
        <v>45662</v>
      </c>
      <c r="H21" s="4" t="s">
        <v>19</v>
      </c>
      <c r="I21" s="4" t="s">
        <v>39</v>
      </c>
      <c r="J21" s="5">
        <v>40</v>
      </c>
      <c r="N21" s="5" t="s">
        <v>122</v>
      </c>
      <c r="O21" s="4" t="s">
        <v>123</v>
      </c>
      <c r="P21" s="5">
        <f>60+90+10</f>
        <v>160</v>
      </c>
      <c r="Q21" s="5">
        <f>Tabela38[[#This Row],[Valor total]]</f>
        <v>160</v>
      </c>
      <c r="R21" s="8" t="s">
        <v>9</v>
      </c>
      <c r="S21" s="4" t="s">
        <v>16</v>
      </c>
      <c r="T21" s="8">
        <f>IFERROR(Tabela38[[#This Row],[Valor total]]/Tabela38[[#This Row],[Vezes]],Tabela38[[#This Row],[Valor total]])</f>
        <v>160</v>
      </c>
      <c r="U21" s="59">
        <v>45695</v>
      </c>
      <c r="V21" s="4" t="s">
        <v>21</v>
      </c>
      <c r="W21" s="4" t="s">
        <v>39</v>
      </c>
      <c r="X21" s="4"/>
      <c r="Y21" s="10"/>
    </row>
    <row r="22" spans="1:36" x14ac:dyDescent="0.25">
      <c r="N22" s="5" t="s">
        <v>131</v>
      </c>
      <c r="O22" s="4" t="s">
        <v>132</v>
      </c>
      <c r="P22" s="5">
        <v>72.2</v>
      </c>
      <c r="Q22" s="5">
        <f>Tabela38[[#This Row],[Valor total]]</f>
        <v>72.2</v>
      </c>
      <c r="R22" s="4" t="s">
        <v>9</v>
      </c>
      <c r="S22" s="4">
        <v>1</v>
      </c>
      <c r="T22" s="8">
        <f>IFERROR(Tabela38[[#This Row],[Valor total]]/Tabela38[[#This Row],[Vezes]],Tabela38[[#This Row],[Valor total]])</f>
        <v>72.2</v>
      </c>
      <c r="U22" s="59">
        <v>45693</v>
      </c>
      <c r="V22" s="4" t="s">
        <v>21</v>
      </c>
      <c r="W22" s="4" t="s">
        <v>133</v>
      </c>
      <c r="X22" s="4"/>
      <c r="Y22" s="10"/>
    </row>
    <row r="23" spans="1:36" x14ac:dyDescent="0.25">
      <c r="N23" s="5" t="s">
        <v>145</v>
      </c>
      <c r="O23" s="4" t="s">
        <v>146</v>
      </c>
      <c r="P23" s="5"/>
      <c r="Q23" s="71">
        <f>Tabela38[[#This Row],[Valor total]]</f>
        <v>0</v>
      </c>
      <c r="R23" s="4"/>
      <c r="S23" s="4"/>
      <c r="T23" s="8">
        <f>IFERROR(Tabela38[[#This Row],[Valor total]]/Tabela38[[#This Row],[Vezes]],Tabela38[[#This Row],[Valor total]])</f>
        <v>0</v>
      </c>
      <c r="U23" s="71"/>
      <c r="V23" s="4"/>
      <c r="W23" s="4"/>
      <c r="X23" s="4"/>
    </row>
    <row r="28" spans="1:36" ht="30" x14ac:dyDescent="0.25">
      <c r="A28" s="51" t="s">
        <v>1</v>
      </c>
      <c r="B28" s="36" t="s">
        <v>13</v>
      </c>
      <c r="C28" s="52" t="s">
        <v>12</v>
      </c>
      <c r="D28" s="9"/>
      <c r="E28" s="9"/>
      <c r="F28" s="56" t="s">
        <v>78</v>
      </c>
      <c r="G28" s="9"/>
      <c r="H28" s="54" t="s">
        <v>100</v>
      </c>
      <c r="J28" s="54" t="s">
        <v>124</v>
      </c>
    </row>
    <row r="29" spans="1:36" x14ac:dyDescent="0.25">
      <c r="A29" s="37">
        <v>2401.04</v>
      </c>
      <c r="B29" s="4" t="s">
        <v>77</v>
      </c>
      <c r="C29" s="38">
        <f>(A29-SUM(Tabela38310[Valor da parcela])) + (SUMIF(Tabela38310[Urgência],"Leve",Tabela38310[Valor da parcela]))</f>
        <v>703.04</v>
      </c>
      <c r="D29" s="61" t="str">
        <f>IF(C29&lt;0,"Você está negativo!","")</f>
        <v/>
      </c>
      <c r="E29" s="61"/>
      <c r="F29" s="46">
        <f>SUM(Tabela38[Valor pago])</f>
        <v>0</v>
      </c>
      <c r="H29" s="47">
        <f>SUM(Tabela38310[Valor pago])</f>
        <v>0</v>
      </c>
      <c r="J29" s="47">
        <f>SUM(Tabela38310[Valor faltante])</f>
        <v>4598</v>
      </c>
    </row>
    <row r="30" spans="1:36" x14ac:dyDescent="0.25">
      <c r="A30"/>
      <c r="C30"/>
      <c r="D30"/>
      <c r="J30"/>
    </row>
    <row r="31" spans="1:36" x14ac:dyDescent="0.25">
      <c r="A31" s="62" t="s">
        <v>135</v>
      </c>
      <c r="B31" s="62"/>
      <c r="C31" s="62"/>
      <c r="D31" s="62"/>
      <c r="E31" s="62"/>
      <c r="F31" s="62"/>
      <c r="G31" s="62"/>
      <c r="H31" s="62"/>
      <c r="I31" s="62"/>
      <c r="J31" s="62"/>
    </row>
    <row r="32" spans="1:36" x14ac:dyDescent="0.25">
      <c r="A32" s="62"/>
      <c r="B32" s="62"/>
      <c r="C32" s="62"/>
      <c r="D32" s="62"/>
      <c r="E32" s="62"/>
      <c r="F32" s="62"/>
      <c r="G32" s="62"/>
      <c r="H32" s="62"/>
      <c r="I32" s="62"/>
      <c r="J32" s="62"/>
    </row>
    <row r="33" spans="1:11" ht="30" x14ac:dyDescent="0.25">
      <c r="A33" s="49" t="s">
        <v>3</v>
      </c>
      <c r="B33" s="50" t="s">
        <v>4</v>
      </c>
      <c r="C33" s="49" t="s">
        <v>5</v>
      </c>
      <c r="D33" s="49" t="s">
        <v>136</v>
      </c>
      <c r="E33" s="50" t="s">
        <v>6</v>
      </c>
      <c r="F33" s="50" t="s">
        <v>15</v>
      </c>
      <c r="G33" s="50" t="s">
        <v>25</v>
      </c>
      <c r="H33" s="49" t="s">
        <v>101</v>
      </c>
      <c r="I33" s="50" t="s">
        <v>20</v>
      </c>
      <c r="J33" s="50" t="s">
        <v>37</v>
      </c>
      <c r="K33" s="50" t="s">
        <v>78</v>
      </c>
    </row>
    <row r="34" spans="1:11" x14ac:dyDescent="0.25">
      <c r="A34" s="3" t="s">
        <v>7</v>
      </c>
      <c r="B34" s="2" t="s">
        <v>8</v>
      </c>
      <c r="C34" s="3" t="s">
        <v>16</v>
      </c>
      <c r="D34" s="3" t="str">
        <f>Tabela38310[[#This Row],[Valor total]]</f>
        <v>-</v>
      </c>
      <c r="E34" s="2" t="s">
        <v>9</v>
      </c>
      <c r="F34" s="2" t="s">
        <v>16</v>
      </c>
      <c r="G34" s="8" t="s">
        <v>16</v>
      </c>
      <c r="H34" s="57" t="s">
        <v>16</v>
      </c>
      <c r="I34" s="7" t="s">
        <v>19</v>
      </c>
      <c r="J34" s="7" t="s">
        <v>38</v>
      </c>
      <c r="K34" s="7"/>
    </row>
    <row r="35" spans="1:11" x14ac:dyDescent="0.25">
      <c r="A35" s="3" t="s">
        <v>10</v>
      </c>
      <c r="B35" s="2" t="s">
        <v>11</v>
      </c>
      <c r="C35" s="3"/>
      <c r="D35" s="3">
        <f>Tabela38310[[#This Row],[Valor total]]</f>
        <v>0</v>
      </c>
      <c r="E35" s="2" t="s">
        <v>9</v>
      </c>
      <c r="F35" s="2" t="s">
        <v>16</v>
      </c>
      <c r="G35" s="8" t="s">
        <v>16</v>
      </c>
      <c r="H35" s="57">
        <v>45725</v>
      </c>
      <c r="I35" s="2" t="s">
        <v>19</v>
      </c>
      <c r="J35" s="2" t="s">
        <v>38</v>
      </c>
      <c r="K35" s="2"/>
    </row>
    <row r="36" spans="1:11" x14ac:dyDescent="0.25">
      <c r="A36" s="5" t="s">
        <v>22</v>
      </c>
      <c r="B36" s="4" t="s">
        <v>24</v>
      </c>
      <c r="C36" s="5">
        <v>2000</v>
      </c>
      <c r="D36" s="5">
        <f>Tabela38310[[#This Row],[Valor total]]</f>
        <v>2000</v>
      </c>
      <c r="E36" s="4" t="s">
        <v>14</v>
      </c>
      <c r="F36" s="4">
        <v>5</v>
      </c>
      <c r="G36" s="8">
        <f>IFERROR(Tabela38310[[#This Row],[Valor total]]/Tabela38310[[#This Row],[Vezes]],Tabela38310[[#This Row],[Valor total]])</f>
        <v>400</v>
      </c>
      <c r="H36" s="5"/>
      <c r="I36" s="7" t="s">
        <v>23</v>
      </c>
      <c r="J36" s="2" t="s">
        <v>39</v>
      </c>
      <c r="K36" s="2"/>
    </row>
    <row r="37" spans="1:11" x14ac:dyDescent="0.25">
      <c r="A37" s="5" t="s">
        <v>26</v>
      </c>
      <c r="B37" s="4" t="s">
        <v>28</v>
      </c>
      <c r="C37" s="5">
        <v>763</v>
      </c>
      <c r="D37" s="5">
        <f>Tabela38310[[#This Row],[Valor total]]</f>
        <v>763</v>
      </c>
      <c r="E37" s="4" t="s">
        <v>9</v>
      </c>
      <c r="F37" s="4" t="s">
        <v>16</v>
      </c>
      <c r="G37" s="8">
        <f>IFERROR(Tabela38310[[#This Row],[Valor total]]/Tabela38310[[#This Row],[Vezes]],Tabela38310[[#This Row],[Valor total]])</f>
        <v>763</v>
      </c>
      <c r="H37" s="59">
        <v>45728</v>
      </c>
      <c r="I37" s="2" t="s">
        <v>19</v>
      </c>
      <c r="J37" s="2" t="s">
        <v>40</v>
      </c>
      <c r="K37" s="2"/>
    </row>
    <row r="38" spans="1:11" x14ac:dyDescent="0.25">
      <c r="A38" s="5" t="s">
        <v>29</v>
      </c>
      <c r="B38" s="4" t="s">
        <v>30</v>
      </c>
      <c r="C38" s="5">
        <v>55</v>
      </c>
      <c r="D38" s="5">
        <f>Tabela38310[[#This Row],[Valor total]]</f>
        <v>55</v>
      </c>
      <c r="E38" s="4" t="s">
        <v>9</v>
      </c>
      <c r="F38" s="4"/>
      <c r="G38" s="8">
        <f>IFERROR(Tabela38310[[#This Row],[Valor total]]/Tabela38310[[#This Row],[Vezes]],Tabela38310[[#This Row],[Valor total]])</f>
        <v>55</v>
      </c>
      <c r="H38" s="59">
        <v>45721</v>
      </c>
      <c r="I38" s="4" t="s">
        <v>21</v>
      </c>
      <c r="J38" s="2" t="s">
        <v>42</v>
      </c>
      <c r="K38" s="2"/>
    </row>
    <row r="39" spans="1:11" x14ac:dyDescent="0.25">
      <c r="A39" s="5" t="s">
        <v>31</v>
      </c>
      <c r="B39" s="4" t="s">
        <v>32</v>
      </c>
      <c r="C39" s="5">
        <v>30</v>
      </c>
      <c r="D39" s="5">
        <f>Tabela38310[[#This Row],[Valor total]]</f>
        <v>30</v>
      </c>
      <c r="E39" s="4" t="s">
        <v>9</v>
      </c>
      <c r="F39" s="4" t="s">
        <v>16</v>
      </c>
      <c r="G39" s="8">
        <f>IFERROR(Tabela38310[[#This Row],[Valor total]]/Tabela38310[[#This Row],[Vezes]],Tabela38310[[#This Row],[Valor total]])</f>
        <v>30</v>
      </c>
      <c r="H39" s="59">
        <v>45721</v>
      </c>
      <c r="I39" s="4" t="s">
        <v>21</v>
      </c>
      <c r="J39" s="2" t="s">
        <v>41</v>
      </c>
      <c r="K39" s="2"/>
    </row>
    <row r="40" spans="1:11" x14ac:dyDescent="0.25">
      <c r="A40" s="5" t="s">
        <v>33</v>
      </c>
      <c r="B40" s="4" t="s">
        <v>34</v>
      </c>
      <c r="C40" s="5">
        <v>100</v>
      </c>
      <c r="D40" s="5">
        <f>Tabela38310[[#This Row],[Valor total]]</f>
        <v>100</v>
      </c>
      <c r="E40" s="4" t="s">
        <v>9</v>
      </c>
      <c r="F40" s="4" t="s">
        <v>16</v>
      </c>
      <c r="G40" s="8">
        <f>IFERROR(Tabela38310[[#This Row],[Valor total]]/Tabela38310[[#This Row],[Vezes]],Tabela38310[[#This Row],[Valor total]])</f>
        <v>100</v>
      </c>
      <c r="H40" s="59">
        <v>45730</v>
      </c>
      <c r="I40" s="4" t="s">
        <v>21</v>
      </c>
      <c r="J40" s="2" t="s">
        <v>41</v>
      </c>
      <c r="K40" s="2"/>
    </row>
    <row r="41" spans="1:11" x14ac:dyDescent="0.25">
      <c r="A41" s="5" t="s">
        <v>35</v>
      </c>
      <c r="B41" s="4" t="s">
        <v>36</v>
      </c>
      <c r="C41" s="5">
        <v>450</v>
      </c>
      <c r="D41" s="5">
        <f>Tabela38310[[#This Row],[Valor total]]</f>
        <v>450</v>
      </c>
      <c r="E41" s="4" t="s">
        <v>9</v>
      </c>
      <c r="F41" s="4" t="s">
        <v>16</v>
      </c>
      <c r="G41" s="8">
        <f>IFERROR(Tabela38310[[#This Row],[Valor total]]/Tabela38310[[#This Row],[Vezes]],Tabela38310[[#This Row],[Valor total]])</f>
        <v>450</v>
      </c>
      <c r="H41" s="59">
        <v>45736</v>
      </c>
      <c r="I41" s="4" t="s">
        <v>21</v>
      </c>
      <c r="J41" s="4" t="s">
        <v>38</v>
      </c>
      <c r="K41" s="2"/>
    </row>
    <row r="42" spans="1:11" x14ac:dyDescent="0.25">
      <c r="A42" s="5" t="s">
        <v>79</v>
      </c>
      <c r="B42" s="4" t="s">
        <v>80</v>
      </c>
      <c r="C42" s="5">
        <v>1200</v>
      </c>
      <c r="D42" s="5">
        <f>Tabela38310[[#This Row],[Valor total]]</f>
        <v>1200</v>
      </c>
      <c r="E42" s="4" t="s">
        <v>14</v>
      </c>
      <c r="F42" s="4">
        <v>4</v>
      </c>
      <c r="G42" s="8">
        <f>IFERROR(Tabela38310[[#This Row],[Valor total]]/Tabela38310[[#This Row],[Vezes]],Tabela38310[[#This Row],[Valor total]])</f>
        <v>300</v>
      </c>
      <c r="H42" s="5"/>
      <c r="I42" s="4" t="s">
        <v>21</v>
      </c>
      <c r="J42" s="4" t="s">
        <v>39</v>
      </c>
      <c r="K42" s="4"/>
    </row>
  </sheetData>
  <mergeCells count="10">
    <mergeCell ref="D29:E29"/>
    <mergeCell ref="A31:J32"/>
    <mergeCell ref="Z7:AI8"/>
    <mergeCell ref="AC5:AD5"/>
    <mergeCell ref="A1:I1"/>
    <mergeCell ref="A7:H8"/>
    <mergeCell ref="D5:E5"/>
    <mergeCell ref="P1:X1"/>
    <mergeCell ref="Q5:R5"/>
    <mergeCell ref="N7:U8"/>
  </mergeCells>
  <conditionalFormatting sqref="D10:D21 AD10:AD19 R10:R23 E34:E42">
    <cfRule type="containsText" dxfId="138" priority="36" operator="containsText" text="Sim">
      <formula>NOT(ISERROR(SEARCH("Sim",D10)))</formula>
    </cfRule>
    <cfRule type="containsText" dxfId="137" priority="37" operator="containsText" text="Não">
      <formula>NOT(ISERROR(SEARCH("Não",D10)))</formula>
    </cfRule>
  </conditionalFormatting>
  <conditionalFormatting sqref="H10:H21 AH10:AH19 V10:V23 I34:I42">
    <cfRule type="containsText" dxfId="136" priority="30" operator="containsText" text="Moderado">
      <formula>NOT(ISERROR(SEARCH("Moderado",H10)))</formula>
    </cfRule>
    <cfRule type="containsText" dxfId="135" priority="31" operator="containsText" text="Urgente">
      <formula>NOT(ISERROR(SEARCH("Urgente",H10)))</formula>
    </cfRule>
    <cfRule type="containsText" dxfId="134" priority="32" operator="containsText" text="Moderado">
      <formula>NOT(ISERROR(SEARCH("Moderado",H10)))</formula>
    </cfRule>
    <cfRule type="containsText" dxfId="133" priority="33" operator="containsText" text="Leve">
      <formula>NOT(ISERROR(SEARCH("Leve",H10)))</formula>
    </cfRule>
    <cfRule type="containsText" dxfId="132" priority="34" operator="containsText" text="Urgente">
      <formula>NOT(ISERROR(SEARCH("Urgente",H10)))</formula>
    </cfRule>
    <cfRule type="containsText" dxfId="131" priority="35" operator="containsText" text="Leve">
      <formula>NOT(ISERROR(SEARCH("Leve",H10)))</formula>
    </cfRule>
  </conditionalFormatting>
  <conditionalFormatting sqref="A5:D5 N5:Q5 Z5:AC5">
    <cfRule type="containsText" dxfId="130" priority="29" operator="containsText" text="Você está negativo!">
      <formula>NOT(ISERROR(SEARCH("Você está negativo!",A5)))</formula>
    </cfRule>
  </conditionalFormatting>
  <conditionalFormatting sqref="A29:D29">
    <cfRule type="containsText" dxfId="129" priority="1" operator="containsText" text="Você está negativo!">
      <formula>NOT(ISERROR(SEARCH("Você está negativo!",A29)))</formula>
    </cfRule>
  </conditionalFormatting>
  <pageMargins left="0.511811024" right="0.511811024" top="0.78740157499999996" bottom="0.78740157499999996" header="0.31496062000000002" footer="0.31496062000000002"/>
  <drawing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038C7-CE0C-4CE0-99D2-AA99D9C9A289}">
  <dimension ref="A1:Q97"/>
  <sheetViews>
    <sheetView workbookViewId="0">
      <selection activeCell="B7" sqref="B7"/>
    </sheetView>
  </sheetViews>
  <sheetFormatPr defaultRowHeight="15" x14ac:dyDescent="0.25"/>
  <cols>
    <col min="1" max="1" width="25.5703125" style="10" bestFit="1" customWidth="1"/>
    <col min="2" max="2" width="5.85546875" style="10" customWidth="1"/>
    <col min="3" max="3" width="8.140625" style="10" customWidth="1"/>
    <col min="4" max="4" width="11.140625" style="10" bestFit="1" customWidth="1"/>
    <col min="5" max="5" width="12.42578125" style="10" customWidth="1"/>
    <col min="6" max="6" width="7.7109375" style="9" bestFit="1" customWidth="1"/>
    <col min="7" max="7" width="10.7109375" style="9" bestFit="1" customWidth="1"/>
    <col min="8" max="8" width="10.28515625" style="11" bestFit="1" customWidth="1"/>
    <col min="9" max="9" width="12" style="12" bestFit="1" customWidth="1"/>
    <col min="10" max="10" width="8.5703125" style="12" bestFit="1" customWidth="1"/>
    <col min="11" max="11" width="9.7109375" style="10" bestFit="1" customWidth="1"/>
    <col min="12" max="12" width="17.5703125" style="10" customWidth="1"/>
    <col min="13" max="13" width="12.140625" bestFit="1" customWidth="1"/>
    <col min="14" max="14" width="15.140625" bestFit="1" customWidth="1"/>
    <col min="16" max="16" width="12.140625" bestFit="1" customWidth="1"/>
  </cols>
  <sheetData>
    <row r="1" spans="1:17" ht="15" customHeight="1" x14ac:dyDescent="0.25">
      <c r="A1" s="66" t="s">
        <v>54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</row>
    <row r="2" spans="1:17" ht="12" customHeight="1" x14ac:dyDescent="0.25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</row>
    <row r="3" spans="1:17" s="10" customFormat="1" ht="43.5" customHeight="1" x14ac:dyDescent="0.25">
      <c r="A3" s="14" t="s">
        <v>44</v>
      </c>
      <c r="B3" s="15" t="s">
        <v>50</v>
      </c>
      <c r="C3" s="15" t="s">
        <v>61</v>
      </c>
      <c r="D3" s="15" t="s">
        <v>47</v>
      </c>
      <c r="E3" s="15" t="s">
        <v>49</v>
      </c>
      <c r="F3" s="15" t="s">
        <v>45</v>
      </c>
      <c r="G3" s="15" t="s">
        <v>53</v>
      </c>
      <c r="H3" s="25" t="s">
        <v>98</v>
      </c>
      <c r="I3" s="25" t="s">
        <v>56</v>
      </c>
      <c r="J3" s="25" t="s">
        <v>51</v>
      </c>
      <c r="K3" s="15" t="s">
        <v>43</v>
      </c>
      <c r="L3" s="15" t="s">
        <v>46</v>
      </c>
      <c r="M3" s="16" t="s">
        <v>52</v>
      </c>
      <c r="N3" s="24" t="s">
        <v>37</v>
      </c>
      <c r="P3" s="45" t="s">
        <v>97</v>
      </c>
    </row>
    <row r="4" spans="1:17" x14ac:dyDescent="0.25">
      <c r="A4" s="17" t="s">
        <v>84</v>
      </c>
      <c r="B4" s="4">
        <v>1</v>
      </c>
      <c r="C4" s="4">
        <v>0</v>
      </c>
      <c r="D4" s="18">
        <v>45673</v>
      </c>
      <c r="E4" s="18">
        <v>45673</v>
      </c>
      <c r="F4" s="19">
        <f t="shared" ref="F4:F27" ca="1" si="0">IFERROR(IF(TODAY()-E4=0,1,TODAY()-E4),"-")</f>
        <v>16</v>
      </c>
      <c r="G4" s="20">
        <f t="shared" ref="G4:G27" ca="1" si="1">IFERROR((B4-C4)/F4,"-")</f>
        <v>6.25E-2</v>
      </c>
      <c r="H4" s="5">
        <v>3.25</v>
      </c>
      <c r="I4" s="23">
        <v>3.25</v>
      </c>
      <c r="J4" s="21">
        <v>4.5999999999999999E-3</v>
      </c>
      <c r="K4" s="8">
        <f t="shared" ref="K4:K27" si="2">I4+(J4*I4)</f>
        <v>3.2649499999999998</v>
      </c>
      <c r="L4" s="26">
        <f t="shared" ref="L4:L27" ca="1" si="3">IFERROR((30/F4)*(B4 - C4),"-")</f>
        <v>1.875</v>
      </c>
      <c r="M4" s="22">
        <f t="shared" ref="M4:M27" ca="1" si="4">IFERROR(L4*K4,"-")</f>
        <v>6.1217812499999997</v>
      </c>
      <c r="N4" s="2" t="s">
        <v>16</v>
      </c>
      <c r="P4" s="44">
        <f ca="1">SUM(Tabela1[Valor Necessário])</f>
        <v>1989.2683154923975</v>
      </c>
    </row>
    <row r="5" spans="1:17" x14ac:dyDescent="0.25">
      <c r="A5" s="17" t="s">
        <v>48</v>
      </c>
      <c r="B5" s="4">
        <v>1</v>
      </c>
      <c r="C5" s="4">
        <v>0</v>
      </c>
      <c r="D5" s="18">
        <v>45661</v>
      </c>
      <c r="E5" s="18">
        <v>45662</v>
      </c>
      <c r="F5" s="19">
        <f t="shared" ca="1" si="0"/>
        <v>27</v>
      </c>
      <c r="G5" s="20">
        <f t="shared" ca="1" si="1"/>
        <v>3.7037037037037035E-2</v>
      </c>
      <c r="H5" s="5">
        <v>7.89</v>
      </c>
      <c r="I5" s="23">
        <v>7.89</v>
      </c>
      <c r="J5" s="21">
        <v>4.5999999999999999E-3</v>
      </c>
      <c r="K5" s="8">
        <f t="shared" si="2"/>
        <v>7.9262939999999995</v>
      </c>
      <c r="L5" s="26">
        <f t="shared" ca="1" si="3"/>
        <v>1.1111111111111112</v>
      </c>
      <c r="M5" s="22">
        <f t="shared" ca="1" si="4"/>
        <v>8.8069933333333328</v>
      </c>
      <c r="N5" s="42" t="s">
        <v>57</v>
      </c>
    </row>
    <row r="6" spans="1:17" x14ac:dyDescent="0.25">
      <c r="A6" s="17" t="s">
        <v>55</v>
      </c>
      <c r="B6" s="4">
        <f>36+7+7+6+8+9+16+6+6+6+2</f>
        <v>109</v>
      </c>
      <c r="C6" s="4">
        <v>0</v>
      </c>
      <c r="D6" s="18">
        <v>45661</v>
      </c>
      <c r="E6" s="18">
        <v>45661</v>
      </c>
      <c r="F6" s="19">
        <f t="shared" ca="1" si="0"/>
        <v>28</v>
      </c>
      <c r="G6" s="20">
        <f t="shared" ca="1" si="1"/>
        <v>3.8928571428571428</v>
      </c>
      <c r="H6" s="5">
        <f>Tabela1[[#This Row],[Preço unidade/qtd]]*Tabela1[[#This Row],[QTD/UN]]</f>
        <v>87.2</v>
      </c>
      <c r="I6" s="23">
        <v>0.8</v>
      </c>
      <c r="J6" s="21">
        <v>4.5999999999999999E-3</v>
      </c>
      <c r="K6" s="8">
        <f t="shared" si="2"/>
        <v>0.80368000000000006</v>
      </c>
      <c r="L6" s="26">
        <f t="shared" ca="1" si="3"/>
        <v>116.78571428571428</v>
      </c>
      <c r="M6" s="22">
        <f t="shared" ca="1" si="4"/>
        <v>93.858342857142858</v>
      </c>
      <c r="N6" s="41" t="s">
        <v>57</v>
      </c>
      <c r="P6" s="67" t="s">
        <v>96</v>
      </c>
    </row>
    <row r="7" spans="1:17" x14ac:dyDescent="0.25">
      <c r="A7" s="17" t="s">
        <v>72</v>
      </c>
      <c r="B7" s="4">
        <v>2</v>
      </c>
      <c r="C7" s="4">
        <v>1</v>
      </c>
      <c r="D7" s="18">
        <v>45661</v>
      </c>
      <c r="E7" s="18">
        <v>45661</v>
      </c>
      <c r="F7" s="19">
        <f t="shared" ca="1" si="0"/>
        <v>28</v>
      </c>
      <c r="G7" s="20">
        <f t="shared" ca="1" si="1"/>
        <v>3.5714285714285712E-2</v>
      </c>
      <c r="H7" s="5">
        <f>7.49+5.99</f>
        <v>13.48</v>
      </c>
      <c r="I7" s="23">
        <v>7.49</v>
      </c>
      <c r="J7" s="21">
        <v>4.5999999999999999E-3</v>
      </c>
      <c r="K7" s="8">
        <f t="shared" si="2"/>
        <v>7.5244540000000004</v>
      </c>
      <c r="L7" s="26">
        <f t="shared" ca="1" si="3"/>
        <v>1.0714285714285714</v>
      </c>
      <c r="M7" s="22">
        <f t="shared" ca="1" si="4"/>
        <v>8.0619150000000008</v>
      </c>
      <c r="N7" s="41" t="s">
        <v>57</v>
      </c>
      <c r="P7" s="67"/>
    </row>
    <row r="8" spans="1:17" x14ac:dyDescent="0.25">
      <c r="A8" s="17" t="s">
        <v>82</v>
      </c>
      <c r="B8" s="4">
        <f>42+30</f>
        <v>72</v>
      </c>
      <c r="C8" s="4">
        <v>27</v>
      </c>
      <c r="D8" s="18">
        <v>45663</v>
      </c>
      <c r="E8" s="18">
        <v>45663</v>
      </c>
      <c r="F8" s="19">
        <f t="shared" ca="1" si="0"/>
        <v>26</v>
      </c>
      <c r="G8" s="20">
        <f t="shared" ca="1" si="1"/>
        <v>1.7307692307692308</v>
      </c>
      <c r="H8" s="5">
        <f>7.78+17.59+18.9</f>
        <v>44.269999999999996</v>
      </c>
      <c r="I8" s="23">
        <v>0.64</v>
      </c>
      <c r="J8" s="21">
        <v>4.5999999999999999E-3</v>
      </c>
      <c r="K8" s="8">
        <f t="shared" si="2"/>
        <v>0.64294399999999996</v>
      </c>
      <c r="L8" s="26">
        <f t="shared" ca="1" si="3"/>
        <v>51.92307692307692</v>
      </c>
      <c r="M8" s="22">
        <f t="shared" ca="1" si="4"/>
        <v>33.383630769230763</v>
      </c>
      <c r="N8" s="41" t="s">
        <v>57</v>
      </c>
      <c r="P8" s="44">
        <f>SUM(Tabela1[Valor gasto])</f>
        <v>733.92</v>
      </c>
    </row>
    <row r="9" spans="1:17" x14ac:dyDescent="0.25">
      <c r="A9" s="17" t="s">
        <v>73</v>
      </c>
      <c r="B9" s="4">
        <v>2</v>
      </c>
      <c r="C9" s="4">
        <v>0</v>
      </c>
      <c r="D9" s="18">
        <v>45664</v>
      </c>
      <c r="E9" s="18">
        <v>45664</v>
      </c>
      <c r="F9" s="19">
        <f t="shared" ca="1" si="0"/>
        <v>25</v>
      </c>
      <c r="G9" s="20">
        <f t="shared" ca="1" si="1"/>
        <v>0.08</v>
      </c>
      <c r="H9" s="5">
        <f>10.98+11.98</f>
        <v>22.96</v>
      </c>
      <c r="I9" s="23">
        <v>10.98</v>
      </c>
      <c r="J9" s="21">
        <v>4.5999999999999999E-3</v>
      </c>
      <c r="K9" s="8">
        <f t="shared" si="2"/>
        <v>11.030508000000001</v>
      </c>
      <c r="L9" s="26">
        <f t="shared" ca="1" si="3"/>
        <v>2.4</v>
      </c>
      <c r="M9" s="22">
        <f t="shared" ca="1" si="4"/>
        <v>26.473219200000003</v>
      </c>
      <c r="N9" s="41" t="s">
        <v>57</v>
      </c>
    </row>
    <row r="10" spans="1:17" x14ac:dyDescent="0.25">
      <c r="A10" s="17" t="s">
        <v>76</v>
      </c>
      <c r="B10" s="4">
        <v>1</v>
      </c>
      <c r="C10" s="4">
        <v>0</v>
      </c>
      <c r="D10" s="18">
        <v>45664</v>
      </c>
      <c r="E10" s="18">
        <v>45664</v>
      </c>
      <c r="F10" s="19">
        <f t="shared" ca="1" si="0"/>
        <v>25</v>
      </c>
      <c r="G10" s="20">
        <f t="shared" ca="1" si="1"/>
        <v>0.04</v>
      </c>
      <c r="H10" s="5">
        <v>40.78</v>
      </c>
      <c r="I10" s="23">
        <v>39.9</v>
      </c>
      <c r="J10" s="21">
        <v>4.5999999999999999E-3</v>
      </c>
      <c r="K10" s="8">
        <f t="shared" si="2"/>
        <v>40.083539999999999</v>
      </c>
      <c r="L10" s="26">
        <f t="shared" ca="1" si="3"/>
        <v>1.2</v>
      </c>
      <c r="M10" s="22">
        <f t="shared" ca="1" si="4"/>
        <v>48.100248000000001</v>
      </c>
      <c r="N10" s="41" t="s">
        <v>57</v>
      </c>
      <c r="P10" s="68" t="s">
        <v>104</v>
      </c>
      <c r="Q10" s="68"/>
    </row>
    <row r="11" spans="1:17" x14ac:dyDescent="0.25">
      <c r="A11" s="17" t="s">
        <v>81</v>
      </c>
      <c r="B11" s="4">
        <v>1</v>
      </c>
      <c r="C11" s="4">
        <v>0</v>
      </c>
      <c r="D11" s="18">
        <v>45673</v>
      </c>
      <c r="E11" s="18">
        <v>45674</v>
      </c>
      <c r="F11" s="19">
        <f t="shared" ca="1" si="0"/>
        <v>15</v>
      </c>
      <c r="G11" s="20">
        <f t="shared" ca="1" si="1"/>
        <v>6.6666666666666666E-2</v>
      </c>
      <c r="H11" s="5">
        <v>34.979999999999997</v>
      </c>
      <c r="I11" s="23">
        <v>29.9</v>
      </c>
      <c r="J11" s="21">
        <v>4.5999999999999999E-3</v>
      </c>
      <c r="K11" s="8">
        <f t="shared" si="2"/>
        <v>30.03754</v>
      </c>
      <c r="L11" s="26">
        <f t="shared" ca="1" si="3"/>
        <v>2</v>
      </c>
      <c r="M11" s="22">
        <f t="shared" ca="1" si="4"/>
        <v>60.07508</v>
      </c>
      <c r="N11" s="41" t="s">
        <v>57</v>
      </c>
      <c r="P11" s="69" t="s">
        <v>144</v>
      </c>
      <c r="Q11" s="69"/>
    </row>
    <row r="12" spans="1:17" x14ac:dyDescent="0.25">
      <c r="A12" s="17" t="s">
        <v>83</v>
      </c>
      <c r="B12" s="4">
        <v>2</v>
      </c>
      <c r="C12" s="4">
        <v>0.5</v>
      </c>
      <c r="D12" s="18">
        <v>45673</v>
      </c>
      <c r="E12" s="18">
        <v>45680</v>
      </c>
      <c r="F12" s="19">
        <f t="shared" ca="1" si="0"/>
        <v>9</v>
      </c>
      <c r="G12" s="20">
        <f t="shared" ca="1" si="1"/>
        <v>0.16666666666666666</v>
      </c>
      <c r="H12" s="5">
        <v>13.13</v>
      </c>
      <c r="I12" s="23">
        <v>6.48</v>
      </c>
      <c r="J12" s="21">
        <v>4.5999999999999999E-3</v>
      </c>
      <c r="K12" s="8">
        <f t="shared" si="2"/>
        <v>6.5098080000000005</v>
      </c>
      <c r="L12" s="26">
        <f t="shared" ca="1" si="3"/>
        <v>5</v>
      </c>
      <c r="M12" s="22">
        <f t="shared" ca="1" si="4"/>
        <v>32.549040000000005</v>
      </c>
      <c r="N12" s="41" t="s">
        <v>57</v>
      </c>
    </row>
    <row r="13" spans="1:17" x14ac:dyDescent="0.25">
      <c r="A13" s="17" t="s">
        <v>85</v>
      </c>
      <c r="B13" s="4">
        <v>4</v>
      </c>
      <c r="C13" s="4">
        <v>0</v>
      </c>
      <c r="D13" s="18">
        <v>45673</v>
      </c>
      <c r="E13" s="18">
        <v>45676</v>
      </c>
      <c r="F13" s="19">
        <f t="shared" ca="1" si="0"/>
        <v>13</v>
      </c>
      <c r="G13" s="20">
        <f t="shared" ca="1" si="1"/>
        <v>0.30769230769230771</v>
      </c>
      <c r="H13" s="5">
        <v>8.98</v>
      </c>
      <c r="I13" s="23">
        <f>Tabela1[[#This Row],[Valor gasto]]/Tabela1[[#This Row],[QTD/UN]]</f>
        <v>2.2450000000000001</v>
      </c>
      <c r="J13" s="21">
        <v>4.5999999999999999E-3</v>
      </c>
      <c r="K13" s="8">
        <f t="shared" si="2"/>
        <v>2.2553270000000003</v>
      </c>
      <c r="L13" s="26">
        <f t="shared" ca="1" si="3"/>
        <v>9.2307692307692299</v>
      </c>
      <c r="M13" s="22">
        <f t="shared" ca="1" si="4"/>
        <v>20.818403076923079</v>
      </c>
      <c r="N13" s="41" t="s">
        <v>57</v>
      </c>
    </row>
    <row r="14" spans="1:17" x14ac:dyDescent="0.25">
      <c r="A14" s="17" t="s">
        <v>86</v>
      </c>
      <c r="B14" s="4">
        <v>1</v>
      </c>
      <c r="C14" s="4">
        <v>0</v>
      </c>
      <c r="D14" s="18" t="s">
        <v>87</v>
      </c>
      <c r="E14" s="18">
        <v>45674</v>
      </c>
      <c r="F14" s="19">
        <f t="shared" ca="1" si="0"/>
        <v>15</v>
      </c>
      <c r="G14" s="20">
        <f t="shared" ca="1" si="1"/>
        <v>6.6666666666666666E-2</v>
      </c>
      <c r="H14" s="5">
        <v>10.98</v>
      </c>
      <c r="I14" s="23">
        <v>10.98</v>
      </c>
      <c r="J14" s="21">
        <v>4.5999999999999999E-3</v>
      </c>
      <c r="K14" s="8">
        <f t="shared" si="2"/>
        <v>11.030508000000001</v>
      </c>
      <c r="L14" s="26">
        <f t="shared" ca="1" si="3"/>
        <v>2</v>
      </c>
      <c r="M14" s="22">
        <f t="shared" ca="1" si="4"/>
        <v>22.061016000000002</v>
      </c>
      <c r="N14" s="41" t="s">
        <v>57</v>
      </c>
    </row>
    <row r="15" spans="1:17" x14ac:dyDescent="0.25">
      <c r="A15" s="17" t="s">
        <v>89</v>
      </c>
      <c r="B15" s="4">
        <v>2</v>
      </c>
      <c r="C15" s="4">
        <v>0</v>
      </c>
      <c r="D15" s="18">
        <v>45673</v>
      </c>
      <c r="E15" s="18">
        <v>45674</v>
      </c>
      <c r="F15" s="19">
        <f t="shared" ca="1" si="0"/>
        <v>15</v>
      </c>
      <c r="G15" s="20">
        <f t="shared" ca="1" si="1"/>
        <v>0.13333333333333333</v>
      </c>
      <c r="H15" s="5">
        <f>2*1.98</f>
        <v>3.96</v>
      </c>
      <c r="I15" s="23">
        <v>1.98</v>
      </c>
      <c r="J15" s="21">
        <v>4.5999999999999999E-3</v>
      </c>
      <c r="K15" s="8">
        <f t="shared" si="2"/>
        <v>1.9891079999999999</v>
      </c>
      <c r="L15" s="26">
        <f t="shared" ca="1" si="3"/>
        <v>4</v>
      </c>
      <c r="M15" s="22">
        <f t="shared" ca="1" si="4"/>
        <v>7.9564319999999995</v>
      </c>
      <c r="N15" s="41" t="s">
        <v>57</v>
      </c>
    </row>
    <row r="16" spans="1:17" x14ac:dyDescent="0.25">
      <c r="A16" s="17" t="s">
        <v>93</v>
      </c>
      <c r="B16" s="4">
        <v>1</v>
      </c>
      <c r="C16" s="4">
        <v>0</v>
      </c>
      <c r="D16" s="18">
        <v>45673</v>
      </c>
      <c r="E16" s="18">
        <v>45674</v>
      </c>
      <c r="F16" s="19">
        <f t="shared" ca="1" si="0"/>
        <v>15</v>
      </c>
      <c r="G16" s="20">
        <f t="shared" ca="1" si="1"/>
        <v>6.6666666666666666E-2</v>
      </c>
      <c r="H16" s="5">
        <v>5.99</v>
      </c>
      <c r="I16" s="23">
        <v>5.99</v>
      </c>
      <c r="J16" s="21">
        <v>4.5999999999999999E-3</v>
      </c>
      <c r="K16" s="8">
        <f t="shared" si="2"/>
        <v>6.0175540000000005</v>
      </c>
      <c r="L16" s="26">
        <f t="shared" ca="1" si="3"/>
        <v>2</v>
      </c>
      <c r="M16" s="22">
        <f t="shared" ca="1" si="4"/>
        <v>12.035108000000001</v>
      </c>
      <c r="N16" s="41" t="s">
        <v>57</v>
      </c>
    </row>
    <row r="17" spans="1:14" x14ac:dyDescent="0.25">
      <c r="A17" s="17" t="s">
        <v>94</v>
      </c>
      <c r="B17" s="4">
        <v>3</v>
      </c>
      <c r="C17" s="4">
        <v>0</v>
      </c>
      <c r="D17" s="18">
        <v>45673</v>
      </c>
      <c r="E17" s="18">
        <v>45674</v>
      </c>
      <c r="F17" s="19">
        <f t="shared" ca="1" si="0"/>
        <v>15</v>
      </c>
      <c r="G17" s="20">
        <f t="shared" ca="1" si="1"/>
        <v>0.2</v>
      </c>
      <c r="H17" s="5">
        <f>Tabela1[[#This Row],[Preço unidade/qtd]]*Tabela1[[#This Row],[QTD/UN]]</f>
        <v>2.9699999999999998</v>
      </c>
      <c r="I17" s="23">
        <v>0.99</v>
      </c>
      <c r="J17" s="21">
        <v>4.5999999999999999E-3</v>
      </c>
      <c r="K17" s="8">
        <f t="shared" si="2"/>
        <v>0.99455399999999994</v>
      </c>
      <c r="L17" s="26">
        <f t="shared" ca="1" si="3"/>
        <v>6</v>
      </c>
      <c r="M17" s="22">
        <f t="shared" ca="1" si="4"/>
        <v>5.9673239999999996</v>
      </c>
      <c r="N17" s="41" t="s">
        <v>57</v>
      </c>
    </row>
    <row r="18" spans="1:14" x14ac:dyDescent="0.25">
      <c r="A18" s="17" t="s">
        <v>95</v>
      </c>
      <c r="B18" s="4">
        <v>2</v>
      </c>
      <c r="C18" s="4">
        <v>0</v>
      </c>
      <c r="D18" s="18">
        <v>45673</v>
      </c>
      <c r="E18" s="18">
        <v>45673</v>
      </c>
      <c r="F18" s="19">
        <f t="shared" ca="1" si="0"/>
        <v>16</v>
      </c>
      <c r="G18" s="20">
        <f t="shared" ca="1" si="1"/>
        <v>0.125</v>
      </c>
      <c r="H18" s="5">
        <f>16.98*2</f>
        <v>33.96</v>
      </c>
      <c r="I18" s="23">
        <v>16.98</v>
      </c>
      <c r="J18" s="21">
        <v>4.5999999999999999E-3</v>
      </c>
      <c r="K18" s="8">
        <f t="shared" si="2"/>
        <v>17.058108000000001</v>
      </c>
      <c r="L18" s="26">
        <f t="shared" ca="1" si="3"/>
        <v>3.75</v>
      </c>
      <c r="M18" s="22">
        <f t="shared" ca="1" si="4"/>
        <v>63.967905000000002</v>
      </c>
      <c r="N18" s="41" t="s">
        <v>57</v>
      </c>
    </row>
    <row r="19" spans="1:14" x14ac:dyDescent="0.25">
      <c r="A19" s="17" t="s">
        <v>65</v>
      </c>
      <c r="B19" s="4">
        <v>6</v>
      </c>
      <c r="C19" s="4">
        <v>0</v>
      </c>
      <c r="D19" s="18">
        <v>45652</v>
      </c>
      <c r="E19" s="18">
        <v>45652</v>
      </c>
      <c r="F19" s="19">
        <f t="shared" ca="1" si="0"/>
        <v>37</v>
      </c>
      <c r="G19" s="20">
        <f t="shared" ca="1" si="1"/>
        <v>0.16216216216216217</v>
      </c>
      <c r="H19" s="5">
        <v>1.64</v>
      </c>
      <c r="I19" s="23">
        <f>1.64/6</f>
        <v>0.27333333333333332</v>
      </c>
      <c r="J19" s="21">
        <v>4.5999999999999999E-3</v>
      </c>
      <c r="K19" s="8">
        <f t="shared" si="2"/>
        <v>0.27459066666666665</v>
      </c>
      <c r="L19" s="26">
        <f t="shared" ca="1" si="3"/>
        <v>4.8648648648648649</v>
      </c>
      <c r="M19" s="43">
        <f t="shared" ca="1" si="4"/>
        <v>1.3358464864864865</v>
      </c>
      <c r="N19" s="41" t="s">
        <v>66</v>
      </c>
    </row>
    <row r="20" spans="1:14" x14ac:dyDescent="0.25">
      <c r="A20" s="17" t="s">
        <v>67</v>
      </c>
      <c r="B20" s="4">
        <v>7</v>
      </c>
      <c r="C20" s="4">
        <v>1</v>
      </c>
      <c r="D20" s="18">
        <v>45652</v>
      </c>
      <c r="E20" s="18">
        <v>45652</v>
      </c>
      <c r="F20" s="19">
        <f t="shared" ca="1" si="0"/>
        <v>37</v>
      </c>
      <c r="G20" s="20">
        <f t="shared" ca="1" si="1"/>
        <v>0.16216216216216217</v>
      </c>
      <c r="H20" s="5">
        <f>0.84+2.36</f>
        <v>3.1999999999999997</v>
      </c>
      <c r="I20" s="23">
        <f>Tabela1[[#This Row],[Valor gasto]]/3</f>
        <v>1.0666666666666667</v>
      </c>
      <c r="J20" s="21">
        <v>4.5999999999999999E-3</v>
      </c>
      <c r="K20" s="8">
        <f t="shared" si="2"/>
        <v>1.0715733333333333</v>
      </c>
      <c r="L20" s="26">
        <f t="shared" ca="1" si="3"/>
        <v>4.8648648648648649</v>
      </c>
      <c r="M20" s="43">
        <f t="shared" ca="1" si="4"/>
        <v>5.2130594594594593</v>
      </c>
      <c r="N20" s="41" t="s">
        <v>66</v>
      </c>
    </row>
    <row r="21" spans="1:14" x14ac:dyDescent="0.25">
      <c r="A21" s="17" t="s">
        <v>68</v>
      </c>
      <c r="B21" s="4">
        <v>12</v>
      </c>
      <c r="C21" s="4">
        <v>0</v>
      </c>
      <c r="D21" s="18">
        <v>45652</v>
      </c>
      <c r="E21" s="18">
        <v>45652</v>
      </c>
      <c r="F21" s="19">
        <f t="shared" ca="1" si="0"/>
        <v>37</v>
      </c>
      <c r="G21" s="20">
        <f t="shared" ca="1" si="1"/>
        <v>0.32432432432432434</v>
      </c>
      <c r="H21" s="5">
        <v>10.6</v>
      </c>
      <c r="I21" s="23">
        <f>Tabela1[[#This Row],[Valor gasto]]/12</f>
        <v>0.8833333333333333</v>
      </c>
      <c r="J21" s="21">
        <v>4.5999999999999999E-3</v>
      </c>
      <c r="K21" s="8">
        <f t="shared" si="2"/>
        <v>0.88739666666666661</v>
      </c>
      <c r="L21" s="26">
        <f t="shared" ca="1" si="3"/>
        <v>9.7297297297297298</v>
      </c>
      <c r="M21" s="43">
        <f t="shared" ca="1" si="4"/>
        <v>8.6341297297297288</v>
      </c>
      <c r="N21" s="41" t="s">
        <v>66</v>
      </c>
    </row>
    <row r="22" spans="1:14" x14ac:dyDescent="0.25">
      <c r="A22" s="17" t="s">
        <v>74</v>
      </c>
      <c r="B22" s="4">
        <v>3</v>
      </c>
      <c r="C22" s="4">
        <v>0</v>
      </c>
      <c r="D22" s="18">
        <v>45664</v>
      </c>
      <c r="E22" s="18">
        <v>45664</v>
      </c>
      <c r="F22" s="19">
        <f t="shared" ca="1" si="0"/>
        <v>25</v>
      </c>
      <c r="G22" s="20">
        <f t="shared" ca="1" si="1"/>
        <v>0.12</v>
      </c>
      <c r="H22" s="5">
        <f>2.99+2.86+2.99</f>
        <v>8.84</v>
      </c>
      <c r="I22" s="23">
        <v>2.99</v>
      </c>
      <c r="J22" s="21">
        <v>4.5999999999999999E-3</v>
      </c>
      <c r="K22" s="8">
        <f t="shared" si="2"/>
        <v>3.0037540000000003</v>
      </c>
      <c r="L22" s="26">
        <f t="shared" ca="1" si="3"/>
        <v>3.5999999999999996</v>
      </c>
      <c r="M22" s="43">
        <f t="shared" ca="1" si="4"/>
        <v>10.813514399999999</v>
      </c>
      <c r="N22" s="41" t="s">
        <v>66</v>
      </c>
    </row>
    <row r="23" spans="1:14" x14ac:dyDescent="0.25">
      <c r="A23" s="17" t="s">
        <v>75</v>
      </c>
      <c r="B23" s="4">
        <v>1</v>
      </c>
      <c r="C23" s="4">
        <v>0</v>
      </c>
      <c r="D23" s="18">
        <v>45664</v>
      </c>
      <c r="E23" s="18">
        <v>45664</v>
      </c>
      <c r="F23" s="19">
        <f t="shared" ca="1" si="0"/>
        <v>25</v>
      </c>
      <c r="G23" s="20">
        <f t="shared" ca="1" si="1"/>
        <v>0.04</v>
      </c>
      <c r="H23" s="5">
        <v>2.99</v>
      </c>
      <c r="I23" s="23">
        <v>2.99</v>
      </c>
      <c r="J23" s="21">
        <v>4.5999999999999999E-3</v>
      </c>
      <c r="K23" s="8">
        <f t="shared" si="2"/>
        <v>3.0037540000000003</v>
      </c>
      <c r="L23" s="26">
        <f t="shared" ca="1" si="3"/>
        <v>1.2</v>
      </c>
      <c r="M23" s="43">
        <f t="shared" ca="1" si="4"/>
        <v>3.6045048</v>
      </c>
      <c r="N23" s="41" t="s">
        <v>66</v>
      </c>
    </row>
    <row r="24" spans="1:14" x14ac:dyDescent="0.25">
      <c r="A24" s="17" t="s">
        <v>88</v>
      </c>
      <c r="B24" s="4">
        <v>9</v>
      </c>
      <c r="C24" s="4">
        <v>0</v>
      </c>
      <c r="D24" s="18">
        <v>45673</v>
      </c>
      <c r="E24" s="18">
        <v>45676</v>
      </c>
      <c r="F24" s="19">
        <f t="shared" ca="1" si="0"/>
        <v>13</v>
      </c>
      <c r="G24" s="20">
        <f t="shared" ca="1" si="1"/>
        <v>0.69230769230769229</v>
      </c>
      <c r="H24" s="5">
        <v>3.49</v>
      </c>
      <c r="I24" s="23">
        <v>2.86</v>
      </c>
      <c r="J24" s="21">
        <v>4.5999999999999999E-3</v>
      </c>
      <c r="K24" s="8">
        <f t="shared" si="2"/>
        <v>2.8731559999999998</v>
      </c>
      <c r="L24" s="26">
        <f t="shared" ca="1" si="3"/>
        <v>20.769230769230766</v>
      </c>
      <c r="M24" s="43">
        <f t="shared" ca="1" si="4"/>
        <v>59.673239999999986</v>
      </c>
      <c r="N24" s="41" t="s">
        <v>66</v>
      </c>
    </row>
    <row r="25" spans="1:14" x14ac:dyDescent="0.25">
      <c r="A25" s="17" t="s">
        <v>90</v>
      </c>
      <c r="B25" s="4">
        <v>4</v>
      </c>
      <c r="C25" s="4">
        <v>0</v>
      </c>
      <c r="D25" s="18">
        <v>45673</v>
      </c>
      <c r="E25" s="18">
        <v>45675</v>
      </c>
      <c r="F25" s="19">
        <f t="shared" ca="1" si="0"/>
        <v>14</v>
      </c>
      <c r="G25" s="20">
        <f t="shared" ca="1" si="1"/>
        <v>0.2857142857142857</v>
      </c>
      <c r="H25" s="5">
        <f>1.02+1.36</f>
        <v>2.38</v>
      </c>
      <c r="I25" s="23">
        <f>Tabela1[[#This Row],[Valor gasto]]/Tabela1[[#This Row],[QTD/UN]]</f>
        <v>0.59499999999999997</v>
      </c>
      <c r="J25" s="21">
        <v>4.5999999999999999E-3</v>
      </c>
      <c r="K25" s="8">
        <f t="shared" si="2"/>
        <v>0.59773699999999996</v>
      </c>
      <c r="L25" s="26">
        <f t="shared" ca="1" si="3"/>
        <v>8.5714285714285712</v>
      </c>
      <c r="M25" s="43">
        <f t="shared" ca="1" si="4"/>
        <v>5.1234599999999997</v>
      </c>
      <c r="N25" s="41" t="s">
        <v>66</v>
      </c>
    </row>
    <row r="26" spans="1:14" x14ac:dyDescent="0.25">
      <c r="A26" s="17" t="s">
        <v>59</v>
      </c>
      <c r="B26" s="4">
        <v>5</v>
      </c>
      <c r="C26" s="4">
        <v>0</v>
      </c>
      <c r="D26" s="18">
        <v>45661</v>
      </c>
      <c r="E26" s="18">
        <v>45662</v>
      </c>
      <c r="F26" s="19">
        <f t="shared" ca="1" si="0"/>
        <v>27</v>
      </c>
      <c r="G26" s="20">
        <f t="shared" ca="1" si="1"/>
        <v>0.18518518518518517</v>
      </c>
      <c r="H26" s="5">
        <v>6.5</v>
      </c>
      <c r="I26" s="23">
        <v>1.3</v>
      </c>
      <c r="J26" s="21">
        <v>4.5999999999999999E-3</v>
      </c>
      <c r="K26" s="8">
        <f t="shared" si="2"/>
        <v>1.3059800000000001</v>
      </c>
      <c r="L26" s="26">
        <f t="shared" ca="1" si="3"/>
        <v>5.5555555555555554</v>
      </c>
      <c r="M26" s="43">
        <f t="shared" ca="1" si="4"/>
        <v>7.2554444444444446</v>
      </c>
      <c r="N26" s="41" t="s">
        <v>60</v>
      </c>
    </row>
    <row r="27" spans="1:14" x14ac:dyDescent="0.25">
      <c r="A27" s="17" t="s">
        <v>91</v>
      </c>
      <c r="B27" s="4">
        <v>5</v>
      </c>
      <c r="C27" s="4">
        <v>1</v>
      </c>
      <c r="D27" s="18">
        <v>45673</v>
      </c>
      <c r="E27" s="18">
        <v>45676</v>
      </c>
      <c r="F27" s="19">
        <f t="shared" ca="1" si="0"/>
        <v>13</v>
      </c>
      <c r="G27" s="20">
        <f t="shared" ca="1" si="1"/>
        <v>0.30769230769230771</v>
      </c>
      <c r="H27" s="5">
        <f>Tabela1[[#This Row],[Preço unidade/qtd]]*Tabela1[[#This Row],[QTD/UN]]</f>
        <v>11.950000000000001</v>
      </c>
      <c r="I27" s="23">
        <v>2.39</v>
      </c>
      <c r="J27" s="21">
        <v>4.5999999999999999E-3</v>
      </c>
      <c r="K27" s="8">
        <f t="shared" si="2"/>
        <v>2.4009940000000003</v>
      </c>
      <c r="L27" s="26">
        <f t="shared" ca="1" si="3"/>
        <v>9.2307692307692299</v>
      </c>
      <c r="M27" s="43">
        <f t="shared" ca="1" si="4"/>
        <v>22.163021538461539</v>
      </c>
      <c r="N27" s="41" t="s">
        <v>92</v>
      </c>
    </row>
    <row r="28" spans="1:14" x14ac:dyDescent="0.25">
      <c r="A28" s="17" t="s">
        <v>102</v>
      </c>
      <c r="B28" s="4">
        <v>1</v>
      </c>
      <c r="C28" s="4">
        <v>0</v>
      </c>
      <c r="D28" s="18">
        <v>45676</v>
      </c>
      <c r="E28" s="18">
        <v>45676</v>
      </c>
      <c r="F28" s="19">
        <f t="shared" ref="F28:F45" ca="1" si="5">IFERROR(IF(TODAY()-E28=0,1,TODAY()-E28),"-")</f>
        <v>13</v>
      </c>
      <c r="G28" s="20">
        <f t="shared" ref="G28:G45" ca="1" si="6">IFERROR((B28-C28)/F28,"-")</f>
        <v>7.6923076923076927E-2</v>
      </c>
      <c r="H28" s="5">
        <v>13</v>
      </c>
      <c r="I28" s="23">
        <v>13</v>
      </c>
      <c r="J28" s="21">
        <v>4.5999999999999999E-3</v>
      </c>
      <c r="K28" s="8">
        <f t="shared" ref="K28:K45" si="7">I28+(J28*I28)</f>
        <v>13.059799999999999</v>
      </c>
      <c r="L28" s="26">
        <f t="shared" ref="L28:L45" ca="1" si="8">IFERROR((30/F28)*(B28 - C28),"-")</f>
        <v>2.3076923076923075</v>
      </c>
      <c r="M28" s="43">
        <f t="shared" ref="M28:M45" ca="1" si="9">IFERROR(L28*K28,"-")</f>
        <v>30.137999999999995</v>
      </c>
      <c r="N28" s="41" t="s">
        <v>60</v>
      </c>
    </row>
    <row r="29" spans="1:14" ht="12.75" customHeight="1" x14ac:dyDescent="0.25">
      <c r="A29" s="17" t="s">
        <v>105</v>
      </c>
      <c r="B29" s="4">
        <v>1</v>
      </c>
      <c r="C29" s="4">
        <v>0</v>
      </c>
      <c r="D29" s="18">
        <v>45677</v>
      </c>
      <c r="E29" s="18">
        <v>45681</v>
      </c>
      <c r="F29" s="19">
        <f t="shared" ca="1" si="5"/>
        <v>8</v>
      </c>
      <c r="G29" s="20">
        <f t="shared" ca="1" si="6"/>
        <v>0.125</v>
      </c>
      <c r="H29" s="5">
        <v>27.6</v>
      </c>
      <c r="I29" s="23">
        <v>27.6</v>
      </c>
      <c r="J29" s="21">
        <v>4.5999999999999999E-3</v>
      </c>
      <c r="K29" s="8">
        <f t="shared" si="7"/>
        <v>27.726960000000002</v>
      </c>
      <c r="L29" s="26">
        <f t="shared" ca="1" si="8"/>
        <v>3.75</v>
      </c>
      <c r="M29" s="43">
        <f t="shared" ca="1" si="9"/>
        <v>103.9761</v>
      </c>
      <c r="N29" s="41" t="s">
        <v>57</v>
      </c>
    </row>
    <row r="30" spans="1:14" x14ac:dyDescent="0.25">
      <c r="A30" s="17" t="s">
        <v>106</v>
      </c>
      <c r="B30" s="4">
        <v>1</v>
      </c>
      <c r="C30" s="4">
        <v>0</v>
      </c>
      <c r="D30" s="18">
        <v>45677</v>
      </c>
      <c r="E30" s="18">
        <v>45677</v>
      </c>
      <c r="F30" s="19">
        <f t="shared" ca="1" si="5"/>
        <v>12</v>
      </c>
      <c r="G30" s="20">
        <f t="shared" ca="1" si="6"/>
        <v>8.3333333333333329E-2</v>
      </c>
      <c r="H30" s="5">
        <v>10.98</v>
      </c>
      <c r="I30" s="23">
        <v>10.98</v>
      </c>
      <c r="J30" s="21">
        <v>4.5999999999999999E-3</v>
      </c>
      <c r="K30" s="8">
        <f t="shared" si="7"/>
        <v>11.030508000000001</v>
      </c>
      <c r="L30" s="26">
        <f t="shared" ca="1" si="8"/>
        <v>2.5</v>
      </c>
      <c r="M30" s="43">
        <f t="shared" ca="1" si="9"/>
        <v>27.576270000000001</v>
      </c>
      <c r="N30" s="41" t="s">
        <v>66</v>
      </c>
    </row>
    <row r="31" spans="1:14" x14ac:dyDescent="0.25">
      <c r="A31" s="17" t="s">
        <v>107</v>
      </c>
      <c r="B31" s="4">
        <v>1</v>
      </c>
      <c r="C31" s="4">
        <v>0</v>
      </c>
      <c r="D31" s="18">
        <v>45677</v>
      </c>
      <c r="E31" s="18">
        <v>45677</v>
      </c>
      <c r="F31" s="19">
        <f t="shared" ca="1" si="5"/>
        <v>12</v>
      </c>
      <c r="G31" s="20">
        <f t="shared" ca="1" si="6"/>
        <v>8.3333333333333329E-2</v>
      </c>
      <c r="H31" s="5">
        <v>5.9</v>
      </c>
      <c r="I31" s="23">
        <v>5.9</v>
      </c>
      <c r="J31" s="21">
        <v>4.5999999999999999E-3</v>
      </c>
      <c r="K31" s="8">
        <f t="shared" si="7"/>
        <v>5.9271400000000005</v>
      </c>
      <c r="L31" s="26">
        <f t="shared" ca="1" si="8"/>
        <v>2.5</v>
      </c>
      <c r="M31" s="43">
        <f t="shared" ca="1" si="9"/>
        <v>14.817850000000002</v>
      </c>
      <c r="N31" s="41" t="s">
        <v>35</v>
      </c>
    </row>
    <row r="32" spans="1:14" x14ac:dyDescent="0.25">
      <c r="A32" s="17" t="s">
        <v>108</v>
      </c>
      <c r="B32" s="4">
        <v>3</v>
      </c>
      <c r="C32" s="58">
        <v>0</v>
      </c>
      <c r="D32" s="18">
        <v>45677</v>
      </c>
      <c r="E32" s="18">
        <v>45678</v>
      </c>
      <c r="F32" s="19">
        <f t="shared" ca="1" si="5"/>
        <v>11</v>
      </c>
      <c r="G32" s="20">
        <f t="shared" ca="1" si="6"/>
        <v>0.27272727272727271</v>
      </c>
      <c r="H32" s="5">
        <f>2*3.48+4.29</f>
        <v>11.25</v>
      </c>
      <c r="I32" s="23">
        <v>3.48</v>
      </c>
      <c r="J32" s="21">
        <v>4.5999999999999999E-3</v>
      </c>
      <c r="K32" s="8">
        <f t="shared" si="7"/>
        <v>3.4960079999999998</v>
      </c>
      <c r="L32" s="26">
        <f t="shared" ca="1" si="8"/>
        <v>8.1818181818181817</v>
      </c>
      <c r="M32" s="43">
        <f t="shared" ca="1" si="9"/>
        <v>28.603701818181815</v>
      </c>
      <c r="N32" s="41" t="s">
        <v>57</v>
      </c>
    </row>
    <row r="33" spans="1:14" x14ac:dyDescent="0.25">
      <c r="A33" s="17" t="s">
        <v>109</v>
      </c>
      <c r="B33" s="4">
        <v>1</v>
      </c>
      <c r="C33" s="4">
        <v>0</v>
      </c>
      <c r="D33" s="18">
        <v>45677</v>
      </c>
      <c r="E33" s="18">
        <v>45678</v>
      </c>
      <c r="F33" s="19">
        <f t="shared" ca="1" si="5"/>
        <v>11</v>
      </c>
      <c r="G33" s="20">
        <f t="shared" ca="1" si="6"/>
        <v>9.0909090909090912E-2</v>
      </c>
      <c r="H33" s="5">
        <v>25.9</v>
      </c>
      <c r="I33" s="23">
        <v>25.9</v>
      </c>
      <c r="J33" s="21">
        <v>4.5999999999999999E-3</v>
      </c>
      <c r="K33" s="8">
        <f t="shared" si="7"/>
        <v>26.01914</v>
      </c>
      <c r="L33" s="26">
        <f t="shared" ca="1" si="8"/>
        <v>2.7272727272727271</v>
      </c>
      <c r="M33" s="43">
        <f t="shared" ca="1" si="9"/>
        <v>70.961290909090906</v>
      </c>
      <c r="N33" s="41" t="s">
        <v>57</v>
      </c>
    </row>
    <row r="34" spans="1:14" x14ac:dyDescent="0.25">
      <c r="A34" s="17" t="s">
        <v>110</v>
      </c>
      <c r="B34" s="4">
        <v>2</v>
      </c>
      <c r="C34" s="4">
        <v>1</v>
      </c>
      <c r="D34" s="18">
        <v>45677</v>
      </c>
      <c r="E34" s="18">
        <v>45678</v>
      </c>
      <c r="F34" s="19">
        <f t="shared" ca="1" si="5"/>
        <v>11</v>
      </c>
      <c r="G34" s="20">
        <f t="shared" ca="1" si="6"/>
        <v>9.0909090909090912E-2</v>
      </c>
      <c r="H34" s="5">
        <f>2*4.9</f>
        <v>9.8000000000000007</v>
      </c>
      <c r="I34" s="23">
        <v>4.9000000000000004</v>
      </c>
      <c r="J34" s="21">
        <v>4.5999999999999999E-3</v>
      </c>
      <c r="K34" s="8">
        <f t="shared" si="7"/>
        <v>4.9225400000000006</v>
      </c>
      <c r="L34" s="26">
        <f t="shared" ca="1" si="8"/>
        <v>2.7272727272727271</v>
      </c>
      <c r="M34" s="43">
        <f t="shared" ca="1" si="9"/>
        <v>13.425109090909091</v>
      </c>
      <c r="N34" s="41" t="s">
        <v>57</v>
      </c>
    </row>
    <row r="35" spans="1:14" x14ac:dyDescent="0.25">
      <c r="A35" s="17" t="s">
        <v>111</v>
      </c>
      <c r="B35" s="4">
        <v>1</v>
      </c>
      <c r="C35" s="4">
        <v>0</v>
      </c>
      <c r="D35" s="18">
        <v>45677</v>
      </c>
      <c r="E35" s="18">
        <v>45677</v>
      </c>
      <c r="F35" s="19">
        <f t="shared" ca="1" si="5"/>
        <v>12</v>
      </c>
      <c r="G35" s="20">
        <f t="shared" ca="1" si="6"/>
        <v>8.3333333333333329E-2</v>
      </c>
      <c r="H35" s="5">
        <v>3.98</v>
      </c>
      <c r="I35" s="23">
        <v>3.98</v>
      </c>
      <c r="J35" s="21">
        <v>4.5999999999999999E-3</v>
      </c>
      <c r="K35" s="8">
        <f t="shared" si="7"/>
        <v>3.9983080000000002</v>
      </c>
      <c r="L35" s="26">
        <f t="shared" ca="1" si="8"/>
        <v>2.5</v>
      </c>
      <c r="M35" s="43">
        <f t="shared" ca="1" si="9"/>
        <v>9.9957700000000003</v>
      </c>
      <c r="N35" s="41" t="s">
        <v>57</v>
      </c>
    </row>
    <row r="36" spans="1:14" x14ac:dyDescent="0.25">
      <c r="A36" s="17" t="s">
        <v>112</v>
      </c>
      <c r="B36" s="4">
        <v>1</v>
      </c>
      <c r="C36" s="4">
        <v>0</v>
      </c>
      <c r="D36" s="18">
        <v>45677</v>
      </c>
      <c r="E36" s="18">
        <v>45678</v>
      </c>
      <c r="F36" s="19">
        <f t="shared" ca="1" si="5"/>
        <v>11</v>
      </c>
      <c r="G36" s="20">
        <f t="shared" ca="1" si="6"/>
        <v>9.0909090909090912E-2</v>
      </c>
      <c r="H36" s="5">
        <v>5.78</v>
      </c>
      <c r="I36" s="23">
        <v>5.78</v>
      </c>
      <c r="J36" s="21">
        <v>4.5999999999999999E-3</v>
      </c>
      <c r="K36" s="8">
        <f t="shared" si="7"/>
        <v>5.8065880000000005</v>
      </c>
      <c r="L36" s="26">
        <f t="shared" ca="1" si="8"/>
        <v>2.7272727272727271</v>
      </c>
      <c r="M36" s="43">
        <f t="shared" ca="1" si="9"/>
        <v>15.836149090909091</v>
      </c>
      <c r="N36" s="41" t="s">
        <v>57</v>
      </c>
    </row>
    <row r="37" spans="1:14" x14ac:dyDescent="0.25">
      <c r="A37" s="17" t="s">
        <v>113</v>
      </c>
      <c r="B37" s="4">
        <v>1</v>
      </c>
      <c r="C37" s="4">
        <v>0</v>
      </c>
      <c r="D37" s="18">
        <v>45677</v>
      </c>
      <c r="E37" s="18">
        <v>45677</v>
      </c>
      <c r="F37" s="19">
        <f t="shared" ca="1" si="5"/>
        <v>12</v>
      </c>
      <c r="G37" s="20">
        <f t="shared" ca="1" si="6"/>
        <v>8.3333333333333329E-2</v>
      </c>
      <c r="H37" s="5">
        <v>14.98</v>
      </c>
      <c r="I37" s="23">
        <v>14.98</v>
      </c>
      <c r="J37" s="21">
        <v>4.5999999999999999E-3</v>
      </c>
      <c r="K37" s="8">
        <f t="shared" si="7"/>
        <v>15.048908000000001</v>
      </c>
      <c r="L37" s="26">
        <f t="shared" ca="1" si="8"/>
        <v>2.5</v>
      </c>
      <c r="M37" s="43">
        <f t="shared" ca="1" si="9"/>
        <v>37.62227</v>
      </c>
      <c r="N37" s="41" t="s">
        <v>92</v>
      </c>
    </row>
    <row r="38" spans="1:14" x14ac:dyDescent="0.25">
      <c r="A38" s="17" t="s">
        <v>114</v>
      </c>
      <c r="B38" s="4">
        <v>2</v>
      </c>
      <c r="C38" s="4">
        <v>0</v>
      </c>
      <c r="D38" s="18">
        <v>45677</v>
      </c>
      <c r="E38" s="18">
        <v>45677</v>
      </c>
      <c r="F38" s="19">
        <f t="shared" ca="1" si="5"/>
        <v>12</v>
      </c>
      <c r="G38" s="20">
        <f t="shared" ca="1" si="6"/>
        <v>0.16666666666666666</v>
      </c>
      <c r="H38" s="5">
        <f>3.98+7.99</f>
        <v>11.97</v>
      </c>
      <c r="I38" s="23">
        <f>Tabela1[[#This Row],[Valor gasto]]/Tabela1[[#This Row],[QTD/UN]]</f>
        <v>5.9850000000000003</v>
      </c>
      <c r="J38" s="21">
        <v>4.5999999999999999E-3</v>
      </c>
      <c r="K38" s="8">
        <f t="shared" si="7"/>
        <v>6.0125310000000001</v>
      </c>
      <c r="L38" s="26">
        <f t="shared" ca="1" si="8"/>
        <v>5</v>
      </c>
      <c r="M38" s="43">
        <f t="shared" ca="1" si="9"/>
        <v>30.062654999999999</v>
      </c>
      <c r="N38" s="41" t="s">
        <v>16</v>
      </c>
    </row>
    <row r="39" spans="1:14" x14ac:dyDescent="0.25">
      <c r="A39" s="17" t="s">
        <v>115</v>
      </c>
      <c r="B39" s="4">
        <v>1</v>
      </c>
      <c r="C39" s="4">
        <v>0</v>
      </c>
      <c r="D39" s="18">
        <v>45677</v>
      </c>
      <c r="E39" s="18">
        <v>45677</v>
      </c>
      <c r="F39" s="19">
        <f t="shared" ca="1" si="5"/>
        <v>12</v>
      </c>
      <c r="G39" s="20">
        <f t="shared" ca="1" si="6"/>
        <v>8.3333333333333329E-2</v>
      </c>
      <c r="H39" s="5">
        <v>17.899999999999999</v>
      </c>
      <c r="I39" s="23">
        <v>17.899999999999999</v>
      </c>
      <c r="J39" s="21">
        <v>4.5999999999999999E-3</v>
      </c>
      <c r="K39" s="8">
        <f t="shared" si="7"/>
        <v>17.982339999999997</v>
      </c>
      <c r="L39" s="26">
        <f t="shared" ca="1" si="8"/>
        <v>2.5</v>
      </c>
      <c r="M39" s="43">
        <f t="shared" ca="1" si="9"/>
        <v>44.955849999999991</v>
      </c>
      <c r="N39" s="41" t="s">
        <v>92</v>
      </c>
    </row>
    <row r="40" spans="1:14" x14ac:dyDescent="0.25">
      <c r="A40" s="17" t="s">
        <v>116</v>
      </c>
      <c r="B40" s="4">
        <v>1</v>
      </c>
      <c r="C40" s="4">
        <v>0</v>
      </c>
      <c r="D40" s="18">
        <v>45677</v>
      </c>
      <c r="E40" s="18">
        <v>45677</v>
      </c>
      <c r="F40" s="19">
        <f t="shared" ca="1" si="5"/>
        <v>12</v>
      </c>
      <c r="G40" s="20">
        <f t="shared" ca="1" si="6"/>
        <v>8.3333333333333329E-2</v>
      </c>
      <c r="H40" s="5">
        <v>14.9</v>
      </c>
      <c r="I40" s="23">
        <v>14.9</v>
      </c>
      <c r="J40" s="21">
        <v>4.5999999999999999E-3</v>
      </c>
      <c r="K40" s="8">
        <f t="shared" si="7"/>
        <v>14.968540000000001</v>
      </c>
      <c r="L40" s="26">
        <f t="shared" ca="1" si="8"/>
        <v>2.5</v>
      </c>
      <c r="M40" s="43">
        <f t="shared" ca="1" si="9"/>
        <v>37.421350000000004</v>
      </c>
      <c r="N40" s="41" t="s">
        <v>92</v>
      </c>
    </row>
    <row r="41" spans="1:14" x14ac:dyDescent="0.25">
      <c r="A41" s="17" t="s">
        <v>117</v>
      </c>
      <c r="B41" s="4">
        <v>1</v>
      </c>
      <c r="C41" s="4">
        <v>0</v>
      </c>
      <c r="D41" s="18">
        <v>45677</v>
      </c>
      <c r="E41" s="18">
        <v>45677</v>
      </c>
      <c r="F41" s="19">
        <f t="shared" ca="1" si="5"/>
        <v>12</v>
      </c>
      <c r="G41" s="20">
        <f t="shared" ca="1" si="6"/>
        <v>8.3333333333333329E-2</v>
      </c>
      <c r="H41" s="5">
        <v>2.95</v>
      </c>
      <c r="I41" s="23">
        <v>2.95</v>
      </c>
      <c r="J41" s="21">
        <v>4.5999999999999999E-3</v>
      </c>
      <c r="K41" s="8">
        <f t="shared" si="7"/>
        <v>2.9635700000000003</v>
      </c>
      <c r="L41" s="26">
        <f t="shared" ca="1" si="8"/>
        <v>2.5</v>
      </c>
      <c r="M41" s="43">
        <f t="shared" ca="1" si="9"/>
        <v>7.4089250000000009</v>
      </c>
      <c r="N41" s="41" t="s">
        <v>92</v>
      </c>
    </row>
    <row r="42" spans="1:14" x14ac:dyDescent="0.25">
      <c r="A42" s="17" t="s">
        <v>118</v>
      </c>
      <c r="B42" s="4">
        <v>1</v>
      </c>
      <c r="C42" s="4">
        <v>0</v>
      </c>
      <c r="D42" s="18">
        <v>45677</v>
      </c>
      <c r="E42" s="18">
        <v>45677</v>
      </c>
      <c r="F42" s="19">
        <f t="shared" ca="1" si="5"/>
        <v>12</v>
      </c>
      <c r="G42" s="20">
        <f t="shared" ca="1" si="6"/>
        <v>8.3333333333333329E-2</v>
      </c>
      <c r="H42" s="5">
        <v>4.7</v>
      </c>
      <c r="I42" s="23">
        <v>4.7</v>
      </c>
      <c r="J42" s="21">
        <v>4.5999999999999999E-3</v>
      </c>
      <c r="K42" s="8">
        <f t="shared" si="7"/>
        <v>4.7216200000000006</v>
      </c>
      <c r="L42" s="26">
        <f t="shared" ca="1" si="8"/>
        <v>2.5</v>
      </c>
      <c r="M42" s="43">
        <f t="shared" ca="1" si="9"/>
        <v>11.804050000000002</v>
      </c>
      <c r="N42" s="41" t="s">
        <v>60</v>
      </c>
    </row>
    <row r="43" spans="1:14" x14ac:dyDescent="0.25">
      <c r="A43" s="17" t="s">
        <v>119</v>
      </c>
      <c r="B43" s="4">
        <v>1</v>
      </c>
      <c r="C43" s="4">
        <v>0</v>
      </c>
      <c r="D43" s="18">
        <v>45677</v>
      </c>
      <c r="E43" s="18">
        <v>45677</v>
      </c>
      <c r="F43" s="19">
        <f t="shared" ca="1" si="5"/>
        <v>12</v>
      </c>
      <c r="G43" s="20">
        <f t="shared" ca="1" si="6"/>
        <v>8.3333333333333329E-2</v>
      </c>
      <c r="H43" s="5">
        <v>27.9</v>
      </c>
      <c r="I43" s="23">
        <v>27.9</v>
      </c>
      <c r="J43" s="21">
        <v>4.5999999999999999E-3</v>
      </c>
      <c r="K43" s="8">
        <f t="shared" si="7"/>
        <v>28.02834</v>
      </c>
      <c r="L43" s="26">
        <f t="shared" ca="1" si="8"/>
        <v>2.5</v>
      </c>
      <c r="M43" s="43">
        <f t="shared" ca="1" si="9"/>
        <v>70.070850000000007</v>
      </c>
      <c r="N43" s="41" t="s">
        <v>92</v>
      </c>
    </row>
    <row r="44" spans="1:14" x14ac:dyDescent="0.25">
      <c r="A44" s="17" t="s">
        <v>120</v>
      </c>
      <c r="B44" s="4">
        <v>1</v>
      </c>
      <c r="C44" s="4">
        <v>0</v>
      </c>
      <c r="D44" s="18">
        <v>45677</v>
      </c>
      <c r="E44" s="18">
        <v>45680</v>
      </c>
      <c r="F44" s="19">
        <f t="shared" ca="1" si="5"/>
        <v>9</v>
      </c>
      <c r="G44" s="20">
        <f t="shared" ca="1" si="6"/>
        <v>0.1111111111111111</v>
      </c>
      <c r="H44" s="5">
        <v>13.9</v>
      </c>
      <c r="I44" s="23">
        <v>13.9</v>
      </c>
      <c r="J44" s="21">
        <v>4.5999999999999999E-3</v>
      </c>
      <c r="K44" s="8">
        <f t="shared" si="7"/>
        <v>13.963940000000001</v>
      </c>
      <c r="L44" s="26">
        <f t="shared" ca="1" si="8"/>
        <v>3.3333333333333335</v>
      </c>
      <c r="M44" s="43">
        <f t="shared" ca="1" si="9"/>
        <v>46.546466666666674</v>
      </c>
      <c r="N44" s="41" t="s">
        <v>92</v>
      </c>
    </row>
    <row r="45" spans="1:14" x14ac:dyDescent="0.25">
      <c r="A45" s="17" t="s">
        <v>121</v>
      </c>
      <c r="B45" s="4">
        <v>1</v>
      </c>
      <c r="C45" s="4">
        <v>0</v>
      </c>
      <c r="D45" s="18">
        <v>45677</v>
      </c>
      <c r="E45" s="18">
        <v>45677</v>
      </c>
      <c r="F45" s="19">
        <f t="shared" ca="1" si="5"/>
        <v>12</v>
      </c>
      <c r="G45" s="20">
        <f t="shared" ca="1" si="6"/>
        <v>8.3333333333333329E-2</v>
      </c>
      <c r="H45" s="5">
        <v>10.9</v>
      </c>
      <c r="I45" s="23">
        <v>10.9</v>
      </c>
      <c r="J45" s="21">
        <v>4.5999999999999999E-3</v>
      </c>
      <c r="K45" s="8">
        <f t="shared" si="7"/>
        <v>10.950140000000001</v>
      </c>
      <c r="L45" s="26">
        <f t="shared" ca="1" si="8"/>
        <v>2.5</v>
      </c>
      <c r="M45" s="43">
        <f t="shared" ca="1" si="9"/>
        <v>27.375350000000005</v>
      </c>
      <c r="N45" s="41" t="s">
        <v>60</v>
      </c>
    </row>
    <row r="46" spans="1:14" x14ac:dyDescent="0.25">
      <c r="A46" s="17" t="s">
        <v>126</v>
      </c>
      <c r="B46" s="4">
        <f>Tabela1[[#This Row],[Valor gasto]]*1/Tabela1[[#This Row],[Preço unidade/qtd]]</f>
        <v>0.38388625592417064</v>
      </c>
      <c r="C46" s="4">
        <v>0</v>
      </c>
      <c r="D46" s="18">
        <v>45682</v>
      </c>
      <c r="E46" s="18">
        <v>45682</v>
      </c>
      <c r="F46" s="19">
        <f t="shared" ref="F46:F56" ca="1" si="10">IFERROR(IF(TODAY()-E46=0,1,TODAY()-E46),"-")</f>
        <v>7</v>
      </c>
      <c r="G46" s="20">
        <f t="shared" ref="G46:G56" ca="1" si="11">IFERROR((B46-C46)/F46,"-")</f>
        <v>5.484089370345295E-2</v>
      </c>
      <c r="H46" s="5">
        <v>7.29</v>
      </c>
      <c r="I46" s="23">
        <v>18.989999999999998</v>
      </c>
      <c r="J46" s="21">
        <v>4.5999999999999999E-3</v>
      </c>
      <c r="K46" s="8">
        <f t="shared" ref="K46:K56" si="12">I46+(J46*I46)</f>
        <v>19.077354</v>
      </c>
      <c r="L46" s="26">
        <f t="shared" ref="L46:L56" ca="1" si="13">IFERROR((30/F46)*(B46 - C46),"-")</f>
        <v>1.6452268111035884</v>
      </c>
      <c r="M46" s="43">
        <f t="shared" ref="M46:M56" ca="1" si="14">IFERROR(L46*K46,"-")</f>
        <v>31.386574285714286</v>
      </c>
      <c r="N46" s="41" t="s">
        <v>57</v>
      </c>
    </row>
    <row r="47" spans="1:14" x14ac:dyDescent="0.25">
      <c r="A47" s="17" t="s">
        <v>127</v>
      </c>
      <c r="B47" s="4">
        <f>Tabela1[[#This Row],[Valor gasto]]*1/Tabela1[[#This Row],[Preço unidade/qtd]]</f>
        <v>8.4949832775919734E-2</v>
      </c>
      <c r="C47" s="4">
        <v>0</v>
      </c>
      <c r="D47" s="18">
        <v>45682</v>
      </c>
      <c r="E47" s="18">
        <v>45682</v>
      </c>
      <c r="F47" s="19">
        <f t="shared" ca="1" si="10"/>
        <v>7</v>
      </c>
      <c r="G47" s="20">
        <f t="shared" ca="1" si="11"/>
        <v>1.2135690396559961E-2</v>
      </c>
      <c r="H47" s="5">
        <v>2.54</v>
      </c>
      <c r="I47" s="23">
        <v>29.9</v>
      </c>
      <c r="J47" s="21">
        <v>4.5999999999999999E-3</v>
      </c>
      <c r="K47" s="8">
        <f t="shared" si="12"/>
        <v>30.03754</v>
      </c>
      <c r="L47" s="26">
        <f t="shared" ca="1" si="13"/>
        <v>0.36407071189679885</v>
      </c>
      <c r="M47" s="43">
        <f t="shared" ca="1" si="14"/>
        <v>10.935788571428571</v>
      </c>
      <c r="N47" s="41" t="s">
        <v>57</v>
      </c>
    </row>
    <row r="48" spans="1:14" x14ac:dyDescent="0.25">
      <c r="A48" s="17" t="s">
        <v>128</v>
      </c>
      <c r="B48" s="4">
        <v>4</v>
      </c>
      <c r="C48" s="4">
        <v>0</v>
      </c>
      <c r="D48" s="18">
        <v>45682</v>
      </c>
      <c r="E48" s="18">
        <v>45682</v>
      </c>
      <c r="F48" s="19">
        <f t="shared" ca="1" si="10"/>
        <v>7</v>
      </c>
      <c r="G48" s="20">
        <f t="shared" ca="1" si="11"/>
        <v>0.5714285714285714</v>
      </c>
      <c r="H48" s="5">
        <v>5.12</v>
      </c>
      <c r="I48" s="23">
        <f>Tabela1[[#This Row],[Valor gasto]]/Tabela1[[#This Row],[QTD/UN]]</f>
        <v>1.28</v>
      </c>
      <c r="J48" s="21">
        <v>4.5999999999999999E-3</v>
      </c>
      <c r="K48" s="8">
        <f t="shared" si="12"/>
        <v>1.2858879999999999</v>
      </c>
      <c r="L48" s="26">
        <f t="shared" ca="1" si="13"/>
        <v>17.142857142857142</v>
      </c>
      <c r="M48" s="43">
        <f t="shared" ca="1" si="14"/>
        <v>22.043794285714284</v>
      </c>
      <c r="N48" s="41" t="s">
        <v>57</v>
      </c>
    </row>
    <row r="49" spans="1:14" x14ac:dyDescent="0.25">
      <c r="A49" s="17" t="s">
        <v>129</v>
      </c>
      <c r="B49" s="4">
        <v>1</v>
      </c>
      <c r="C49" s="4">
        <v>0</v>
      </c>
      <c r="D49" s="18">
        <v>45682</v>
      </c>
      <c r="E49" s="18">
        <v>45682</v>
      </c>
      <c r="F49" s="19">
        <f t="shared" ca="1" si="10"/>
        <v>7</v>
      </c>
      <c r="G49" s="20">
        <f t="shared" ca="1" si="11"/>
        <v>0.14285714285714285</v>
      </c>
      <c r="H49" s="5">
        <v>2.59</v>
      </c>
      <c r="I49" s="23">
        <v>2.59</v>
      </c>
      <c r="J49" s="21">
        <v>4.5999999999999999E-3</v>
      </c>
      <c r="K49" s="8">
        <f t="shared" si="12"/>
        <v>2.6019139999999998</v>
      </c>
      <c r="L49" s="26">
        <f t="shared" ca="1" si="13"/>
        <v>4.2857142857142856</v>
      </c>
      <c r="M49" s="43">
        <f t="shared" ca="1" si="14"/>
        <v>11.151059999999999</v>
      </c>
      <c r="N49" s="41" t="s">
        <v>92</v>
      </c>
    </row>
    <row r="50" spans="1:14" x14ac:dyDescent="0.25">
      <c r="A50" s="17" t="s">
        <v>130</v>
      </c>
      <c r="B50" s="4">
        <v>1</v>
      </c>
      <c r="C50" s="4">
        <v>0</v>
      </c>
      <c r="D50" s="18">
        <v>45682</v>
      </c>
      <c r="E50" s="18">
        <v>45682</v>
      </c>
      <c r="F50" s="19">
        <f t="shared" ca="1" si="10"/>
        <v>7</v>
      </c>
      <c r="G50" s="20">
        <f t="shared" ca="1" si="11"/>
        <v>0.14285714285714285</v>
      </c>
      <c r="H50" s="5">
        <v>45.9</v>
      </c>
      <c r="I50" s="23">
        <v>45.9</v>
      </c>
      <c r="J50" s="21">
        <v>4.5999999999999999E-3</v>
      </c>
      <c r="K50" s="8">
        <f t="shared" si="12"/>
        <v>46.111139999999999</v>
      </c>
      <c r="L50" s="26">
        <f t="shared" ca="1" si="13"/>
        <v>4.2857142857142856</v>
      </c>
      <c r="M50" s="43">
        <f t="shared" ca="1" si="14"/>
        <v>197.61917142857141</v>
      </c>
      <c r="N50" s="41" t="s">
        <v>92</v>
      </c>
    </row>
    <row r="51" spans="1:14" x14ac:dyDescent="0.25">
      <c r="A51" s="17" t="s">
        <v>137</v>
      </c>
      <c r="B51" s="4">
        <v>1</v>
      </c>
      <c r="C51" s="4">
        <v>1</v>
      </c>
      <c r="D51" s="18">
        <v>45687</v>
      </c>
      <c r="E51" s="18">
        <v>45687</v>
      </c>
      <c r="F51" s="19">
        <f t="shared" ca="1" si="10"/>
        <v>2</v>
      </c>
      <c r="G51" s="20">
        <f t="shared" ca="1" si="11"/>
        <v>0</v>
      </c>
      <c r="H51" s="5">
        <v>15.99</v>
      </c>
      <c r="I51" s="23">
        <v>16.18</v>
      </c>
      <c r="J51" s="21">
        <v>4.5999999999999999E-3</v>
      </c>
      <c r="K51" s="8">
        <f t="shared" si="12"/>
        <v>16.254428000000001</v>
      </c>
      <c r="L51" s="26">
        <f t="shared" ca="1" si="13"/>
        <v>0</v>
      </c>
      <c r="M51" s="43">
        <f t="shared" ca="1" si="14"/>
        <v>0</v>
      </c>
      <c r="N51" s="41" t="s">
        <v>57</v>
      </c>
    </row>
    <row r="52" spans="1:14" x14ac:dyDescent="0.25">
      <c r="A52" s="17" t="s">
        <v>138</v>
      </c>
      <c r="B52" s="4">
        <v>1</v>
      </c>
      <c r="C52" s="4">
        <v>0</v>
      </c>
      <c r="D52" s="18">
        <v>45687</v>
      </c>
      <c r="E52" s="18">
        <v>45687</v>
      </c>
      <c r="F52" s="19">
        <f t="shared" ca="1" si="10"/>
        <v>2</v>
      </c>
      <c r="G52" s="20">
        <f t="shared" ca="1" si="11"/>
        <v>0.5</v>
      </c>
      <c r="H52" s="5">
        <v>12.48</v>
      </c>
      <c r="I52" s="23">
        <v>15.58</v>
      </c>
      <c r="J52" s="21">
        <v>4.5999999999999999E-3</v>
      </c>
      <c r="K52" s="8">
        <f t="shared" si="12"/>
        <v>15.651668000000001</v>
      </c>
      <c r="L52" s="26">
        <f t="shared" ca="1" si="13"/>
        <v>15</v>
      </c>
      <c r="M52" s="43">
        <f t="shared" ca="1" si="14"/>
        <v>234.77502000000001</v>
      </c>
      <c r="N52" s="41" t="s">
        <v>57</v>
      </c>
    </row>
    <row r="53" spans="1:14" x14ac:dyDescent="0.25">
      <c r="A53" s="17" t="s">
        <v>139</v>
      </c>
      <c r="B53" s="4">
        <v>2</v>
      </c>
      <c r="C53" s="4">
        <v>1</v>
      </c>
      <c r="D53" s="18">
        <v>45687</v>
      </c>
      <c r="E53" s="18">
        <v>45687</v>
      </c>
      <c r="F53" s="19">
        <f t="shared" ca="1" si="10"/>
        <v>2</v>
      </c>
      <c r="G53" s="20">
        <f t="shared" ca="1" si="11"/>
        <v>0.5</v>
      </c>
      <c r="H53" s="5">
        <f>2*Tabela1[[#This Row],[Preço unidade/qtd]]</f>
        <v>5.58</v>
      </c>
      <c r="I53" s="23">
        <v>2.79</v>
      </c>
      <c r="J53" s="21">
        <v>1.1000000000000001E-3</v>
      </c>
      <c r="K53" s="8">
        <f t="shared" si="12"/>
        <v>2.793069</v>
      </c>
      <c r="L53" s="26">
        <f t="shared" ca="1" si="13"/>
        <v>15</v>
      </c>
      <c r="M53" s="43">
        <f t="shared" ca="1" si="14"/>
        <v>41.896034999999998</v>
      </c>
      <c r="N53" s="41" t="s">
        <v>57</v>
      </c>
    </row>
    <row r="54" spans="1:14" x14ac:dyDescent="0.25">
      <c r="A54" s="17" t="s">
        <v>140</v>
      </c>
      <c r="B54" s="4">
        <v>1</v>
      </c>
      <c r="C54" s="4">
        <v>0</v>
      </c>
      <c r="D54" s="18">
        <v>45687</v>
      </c>
      <c r="E54" s="18">
        <v>45687</v>
      </c>
      <c r="F54" s="19">
        <f t="shared" ca="1" si="10"/>
        <v>2</v>
      </c>
      <c r="G54" s="20">
        <f t="shared" ca="1" si="11"/>
        <v>0.5</v>
      </c>
      <c r="H54" s="5">
        <v>11.9</v>
      </c>
      <c r="I54" s="23">
        <v>11.9</v>
      </c>
      <c r="J54" s="21">
        <v>1.1000000000000001E-3</v>
      </c>
      <c r="K54" s="8">
        <f t="shared" si="12"/>
        <v>11.91309</v>
      </c>
      <c r="L54" s="26">
        <f t="shared" ca="1" si="13"/>
        <v>15</v>
      </c>
      <c r="M54" s="43">
        <f t="shared" ca="1" si="14"/>
        <v>178.69635</v>
      </c>
      <c r="N54" s="41" t="s">
        <v>57</v>
      </c>
    </row>
    <row r="55" spans="1:14" x14ac:dyDescent="0.25">
      <c r="A55" s="17" t="s">
        <v>141</v>
      </c>
      <c r="B55" s="4">
        <v>1</v>
      </c>
      <c r="C55" s="4">
        <v>0</v>
      </c>
      <c r="D55" s="18">
        <v>45687</v>
      </c>
      <c r="E55" s="18">
        <v>45687</v>
      </c>
      <c r="F55" s="19">
        <f t="shared" ca="1" si="10"/>
        <v>2</v>
      </c>
      <c r="G55" s="20">
        <f t="shared" ca="1" si="11"/>
        <v>0.5</v>
      </c>
      <c r="H55" s="5">
        <v>1.88</v>
      </c>
      <c r="I55" s="23">
        <v>1.88</v>
      </c>
      <c r="J55" s="21">
        <v>1.1000000000000001E-3</v>
      </c>
      <c r="K55" s="8">
        <f t="shared" si="12"/>
        <v>1.8820679999999999</v>
      </c>
      <c r="L55" s="26">
        <f t="shared" ca="1" si="13"/>
        <v>15</v>
      </c>
      <c r="M55" s="43">
        <f t="shared" ca="1" si="14"/>
        <v>28.231019999999997</v>
      </c>
      <c r="N55" s="41" t="s">
        <v>143</v>
      </c>
    </row>
    <row r="56" spans="1:14" x14ac:dyDescent="0.25">
      <c r="A56" s="17" t="s">
        <v>142</v>
      </c>
      <c r="B56" s="4">
        <v>1</v>
      </c>
      <c r="C56" s="4">
        <v>0</v>
      </c>
      <c r="D56" s="18">
        <v>45687</v>
      </c>
      <c r="E56" s="18">
        <v>45687</v>
      </c>
      <c r="F56" s="19">
        <f t="shared" ca="1" si="10"/>
        <v>2</v>
      </c>
      <c r="G56" s="20">
        <f t="shared" ca="1" si="11"/>
        <v>0.5</v>
      </c>
      <c r="H56" s="5">
        <v>1.99</v>
      </c>
      <c r="I56" s="23">
        <v>1.99</v>
      </c>
      <c r="J56" s="21">
        <v>1.1000000000000001E-3</v>
      </c>
      <c r="K56" s="8">
        <f t="shared" si="12"/>
        <v>1.992189</v>
      </c>
      <c r="L56" s="26">
        <f t="shared" ca="1" si="13"/>
        <v>15</v>
      </c>
      <c r="M56" s="43">
        <f t="shared" ca="1" si="14"/>
        <v>29.882835</v>
      </c>
      <c r="N56" s="41" t="s">
        <v>143</v>
      </c>
    </row>
    <row r="57" spans="1:14" x14ac:dyDescent="0.25">
      <c r="D57"/>
      <c r="E57"/>
      <c r="F57"/>
      <c r="G57"/>
      <c r="H57"/>
      <c r="I57"/>
      <c r="J57"/>
      <c r="K57"/>
      <c r="L57"/>
    </row>
    <row r="58" spans="1:14" x14ac:dyDescent="0.25">
      <c r="D58"/>
      <c r="E58"/>
      <c r="F58"/>
      <c r="G58"/>
      <c r="H58"/>
      <c r="I58"/>
      <c r="J58"/>
      <c r="K58"/>
      <c r="L58"/>
    </row>
    <row r="59" spans="1:14" x14ac:dyDescent="0.25">
      <c r="D59"/>
      <c r="E59"/>
      <c r="F59"/>
      <c r="G59"/>
      <c r="H59"/>
      <c r="I59"/>
      <c r="J59"/>
      <c r="K59"/>
      <c r="L59"/>
    </row>
    <row r="60" spans="1:14" x14ac:dyDescent="0.25">
      <c r="D60"/>
      <c r="E60"/>
      <c r="F60"/>
      <c r="G60"/>
      <c r="H60"/>
      <c r="I60"/>
      <c r="J60"/>
      <c r="K60"/>
      <c r="L60"/>
    </row>
    <row r="61" spans="1:14" x14ac:dyDescent="0.25">
      <c r="D61"/>
      <c r="E61"/>
      <c r="F61"/>
      <c r="G61"/>
      <c r="H61"/>
      <c r="I61"/>
      <c r="J61"/>
      <c r="K61"/>
      <c r="L61"/>
    </row>
    <row r="62" spans="1:14" x14ac:dyDescent="0.25">
      <c r="D62"/>
      <c r="E62"/>
      <c r="F62"/>
      <c r="G62"/>
      <c r="H62"/>
      <c r="I62"/>
      <c r="J62"/>
      <c r="K62"/>
      <c r="L62"/>
    </row>
    <row r="63" spans="1:14" x14ac:dyDescent="0.25">
      <c r="D63"/>
      <c r="E63"/>
      <c r="F63"/>
      <c r="G63"/>
      <c r="H63"/>
      <c r="I63"/>
      <c r="J63"/>
      <c r="K63"/>
      <c r="L63"/>
    </row>
    <row r="64" spans="1:14" x14ac:dyDescent="0.25">
      <c r="D64"/>
      <c r="E64"/>
      <c r="F64"/>
      <c r="G64"/>
      <c r="H64"/>
      <c r="I64"/>
      <c r="J64"/>
      <c r="K64"/>
      <c r="L64"/>
    </row>
    <row r="65" spans="4:12" x14ac:dyDescent="0.25">
      <c r="D65"/>
      <c r="E65"/>
      <c r="F65"/>
      <c r="G65"/>
      <c r="H65"/>
      <c r="I65"/>
      <c r="J65"/>
      <c r="K65"/>
      <c r="L65"/>
    </row>
    <row r="66" spans="4:12" x14ac:dyDescent="0.25">
      <c r="D66"/>
      <c r="E66"/>
      <c r="F66"/>
      <c r="G66"/>
      <c r="H66"/>
      <c r="I66"/>
      <c r="J66"/>
      <c r="K66"/>
      <c r="L66"/>
    </row>
    <row r="67" spans="4:12" x14ac:dyDescent="0.25">
      <c r="D67"/>
      <c r="E67"/>
      <c r="F67"/>
      <c r="G67"/>
      <c r="H67"/>
      <c r="I67"/>
      <c r="J67"/>
      <c r="K67"/>
      <c r="L67"/>
    </row>
    <row r="68" spans="4:12" x14ac:dyDescent="0.25">
      <c r="D68"/>
      <c r="E68"/>
      <c r="F68"/>
      <c r="G68"/>
      <c r="H68"/>
      <c r="I68"/>
      <c r="J68"/>
      <c r="K68"/>
      <c r="L68"/>
    </row>
    <row r="69" spans="4:12" x14ac:dyDescent="0.25">
      <c r="D69"/>
      <c r="E69"/>
      <c r="F69"/>
      <c r="G69"/>
      <c r="H69"/>
      <c r="I69"/>
      <c r="J69"/>
      <c r="K69"/>
      <c r="L69"/>
    </row>
    <row r="70" spans="4:12" x14ac:dyDescent="0.25">
      <c r="D70"/>
      <c r="E70"/>
      <c r="F70"/>
      <c r="G70"/>
      <c r="H70"/>
      <c r="I70"/>
      <c r="J70"/>
      <c r="K70"/>
      <c r="L70"/>
    </row>
    <row r="71" spans="4:12" x14ac:dyDescent="0.25">
      <c r="D71"/>
      <c r="E71"/>
      <c r="F71"/>
      <c r="G71"/>
      <c r="H71"/>
      <c r="I71"/>
      <c r="J71"/>
      <c r="K71"/>
      <c r="L71"/>
    </row>
    <row r="72" spans="4:12" x14ac:dyDescent="0.25">
      <c r="D72"/>
      <c r="E72"/>
      <c r="F72"/>
      <c r="G72"/>
      <c r="H72"/>
      <c r="I72"/>
      <c r="J72"/>
      <c r="K72"/>
      <c r="L72"/>
    </row>
    <row r="73" spans="4:12" x14ac:dyDescent="0.25">
      <c r="D73"/>
      <c r="E73"/>
      <c r="F73"/>
      <c r="G73"/>
      <c r="H73"/>
      <c r="I73"/>
      <c r="J73"/>
      <c r="K73"/>
      <c r="L73"/>
    </row>
    <row r="74" spans="4:12" x14ac:dyDescent="0.25">
      <c r="D74"/>
      <c r="E74"/>
      <c r="F74"/>
      <c r="G74"/>
      <c r="H74"/>
      <c r="I74"/>
      <c r="J74"/>
      <c r="K74"/>
      <c r="L74"/>
    </row>
    <row r="75" spans="4:12" x14ac:dyDescent="0.25">
      <c r="D75"/>
      <c r="E75"/>
      <c r="F75"/>
      <c r="G75"/>
      <c r="H75"/>
      <c r="I75"/>
      <c r="J75"/>
      <c r="K75"/>
      <c r="L75"/>
    </row>
    <row r="76" spans="4:12" x14ac:dyDescent="0.25">
      <c r="D76"/>
      <c r="E76"/>
      <c r="F76"/>
      <c r="G76"/>
      <c r="H76"/>
      <c r="I76"/>
      <c r="J76"/>
      <c r="K76"/>
      <c r="L76"/>
    </row>
    <row r="77" spans="4:12" x14ac:dyDescent="0.25">
      <c r="D77"/>
      <c r="E77"/>
      <c r="F77"/>
      <c r="G77"/>
      <c r="H77"/>
      <c r="I77"/>
      <c r="J77"/>
      <c r="K77"/>
      <c r="L77"/>
    </row>
    <row r="78" spans="4:12" x14ac:dyDescent="0.25">
      <c r="D78"/>
      <c r="E78"/>
      <c r="F78"/>
      <c r="G78"/>
      <c r="H78"/>
      <c r="I78"/>
      <c r="J78"/>
      <c r="K78"/>
      <c r="L78"/>
    </row>
    <row r="79" spans="4:12" x14ac:dyDescent="0.25">
      <c r="D79"/>
      <c r="E79"/>
      <c r="F79"/>
      <c r="G79"/>
      <c r="H79"/>
      <c r="I79"/>
      <c r="J79"/>
      <c r="K79"/>
      <c r="L79"/>
    </row>
    <row r="80" spans="4:12" x14ac:dyDescent="0.25">
      <c r="D80"/>
      <c r="E80"/>
      <c r="F80"/>
      <c r="G80"/>
      <c r="H80"/>
      <c r="I80"/>
      <c r="J80"/>
      <c r="K80"/>
      <c r="L80"/>
    </row>
    <row r="81" spans="4:12" x14ac:dyDescent="0.25">
      <c r="D81"/>
      <c r="E81"/>
      <c r="F81"/>
      <c r="G81"/>
      <c r="H81"/>
      <c r="I81"/>
      <c r="J81"/>
      <c r="K81"/>
      <c r="L81"/>
    </row>
    <row r="82" spans="4:12" x14ac:dyDescent="0.25">
      <c r="D82"/>
      <c r="E82"/>
      <c r="F82"/>
      <c r="G82"/>
      <c r="H82"/>
      <c r="I82"/>
      <c r="J82"/>
      <c r="K82"/>
      <c r="L82"/>
    </row>
    <row r="83" spans="4:12" x14ac:dyDescent="0.25">
      <c r="D83"/>
      <c r="E83"/>
      <c r="F83"/>
      <c r="G83"/>
      <c r="H83"/>
      <c r="I83"/>
      <c r="J83"/>
      <c r="K83"/>
      <c r="L83"/>
    </row>
    <row r="84" spans="4:12" x14ac:dyDescent="0.25">
      <c r="D84"/>
      <c r="E84"/>
      <c r="F84"/>
      <c r="G84"/>
      <c r="H84"/>
      <c r="I84"/>
      <c r="J84"/>
      <c r="K84"/>
      <c r="L84"/>
    </row>
    <row r="85" spans="4:12" x14ac:dyDescent="0.25">
      <c r="D85"/>
      <c r="E85"/>
      <c r="F85"/>
      <c r="G85"/>
      <c r="H85"/>
      <c r="I85"/>
      <c r="J85"/>
      <c r="K85"/>
      <c r="L85"/>
    </row>
    <row r="86" spans="4:12" x14ac:dyDescent="0.25">
      <c r="D86"/>
      <c r="E86"/>
      <c r="F86"/>
      <c r="G86"/>
      <c r="H86"/>
      <c r="I86"/>
      <c r="J86"/>
      <c r="K86"/>
      <c r="L86"/>
    </row>
    <row r="87" spans="4:12" x14ac:dyDescent="0.25">
      <c r="D87"/>
      <c r="E87"/>
      <c r="F87"/>
      <c r="G87"/>
      <c r="H87"/>
      <c r="I87"/>
      <c r="J87"/>
      <c r="K87"/>
      <c r="L87"/>
    </row>
    <row r="88" spans="4:12" x14ac:dyDescent="0.25">
      <c r="D88"/>
      <c r="E88"/>
      <c r="F88"/>
      <c r="G88"/>
      <c r="H88"/>
      <c r="I88"/>
      <c r="J88"/>
      <c r="K88"/>
      <c r="L88"/>
    </row>
    <row r="89" spans="4:12" x14ac:dyDescent="0.25">
      <c r="D89"/>
      <c r="E89"/>
      <c r="F89"/>
      <c r="G89"/>
      <c r="H89"/>
      <c r="I89"/>
      <c r="J89"/>
      <c r="K89"/>
      <c r="L89"/>
    </row>
    <row r="90" spans="4:12" x14ac:dyDescent="0.25">
      <c r="D90"/>
      <c r="E90"/>
      <c r="F90"/>
      <c r="G90"/>
      <c r="H90"/>
      <c r="I90"/>
      <c r="J90"/>
      <c r="K90"/>
      <c r="L90"/>
    </row>
    <row r="91" spans="4:12" x14ac:dyDescent="0.25">
      <c r="D91"/>
      <c r="E91"/>
      <c r="F91"/>
      <c r="G91"/>
      <c r="H91"/>
      <c r="I91"/>
      <c r="J91"/>
      <c r="K91"/>
      <c r="L91"/>
    </row>
    <row r="92" spans="4:12" x14ac:dyDescent="0.25">
      <c r="D92"/>
      <c r="E92"/>
      <c r="F92"/>
      <c r="G92"/>
      <c r="H92"/>
      <c r="I92"/>
      <c r="J92"/>
      <c r="K92"/>
      <c r="L92"/>
    </row>
    <row r="93" spans="4:12" x14ac:dyDescent="0.25">
      <c r="D93"/>
      <c r="E93"/>
      <c r="F93"/>
      <c r="G93"/>
      <c r="H93"/>
      <c r="I93"/>
      <c r="J93"/>
      <c r="K93"/>
      <c r="L93"/>
    </row>
    <row r="94" spans="4:12" x14ac:dyDescent="0.25">
      <c r="D94"/>
      <c r="E94"/>
      <c r="F94"/>
      <c r="G94"/>
      <c r="H94"/>
      <c r="I94"/>
      <c r="J94"/>
      <c r="K94"/>
      <c r="L94"/>
    </row>
    <row r="95" spans="4:12" x14ac:dyDescent="0.25">
      <c r="D95"/>
      <c r="E95"/>
      <c r="F95"/>
      <c r="G95"/>
      <c r="H95"/>
      <c r="I95"/>
      <c r="J95"/>
      <c r="K95"/>
      <c r="L95"/>
    </row>
    <row r="96" spans="4:12" x14ac:dyDescent="0.25">
      <c r="D96"/>
      <c r="E96"/>
      <c r="F96"/>
      <c r="G96"/>
      <c r="H96"/>
      <c r="I96"/>
      <c r="J96"/>
      <c r="K96"/>
      <c r="L96"/>
    </row>
    <row r="97" spans="4:12" x14ac:dyDescent="0.25">
      <c r="D97"/>
      <c r="E97"/>
      <c r="F97"/>
      <c r="G97"/>
      <c r="H97"/>
      <c r="I97"/>
      <c r="J97"/>
      <c r="K97"/>
      <c r="L97"/>
    </row>
  </sheetData>
  <mergeCells count="4">
    <mergeCell ref="A1:N2"/>
    <mergeCell ref="P6:P7"/>
    <mergeCell ref="P10:Q10"/>
    <mergeCell ref="P11:Q11"/>
  </mergeCells>
  <dataValidations count="1">
    <dataValidation type="list" allowBlank="1" showInputMessage="1" showErrorMessage="1" sqref="N4:N27" xr:uid="{03CA6F74-DBDF-4FA8-A1E1-69822082B543}">
      <formula1>"Alimentação,Limpeza,Higiene Pessoal,Saúde,Hortfruit,-"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04170-1DCA-4498-ADB0-B0439DD48633}">
  <dimension ref="A1:G56"/>
  <sheetViews>
    <sheetView workbookViewId="0">
      <selection activeCell="G9" sqref="G9"/>
    </sheetView>
  </sheetViews>
  <sheetFormatPr defaultRowHeight="15" x14ac:dyDescent="0.25"/>
  <cols>
    <col min="1" max="1" width="25.5703125" bestFit="1" customWidth="1"/>
    <col min="2" max="2" width="9.7109375" style="1" customWidth="1"/>
    <col min="3" max="3" width="11.140625" bestFit="1" customWidth="1"/>
    <col min="4" max="4" width="12.140625" bestFit="1" customWidth="1"/>
    <col min="5" max="5" width="9.28515625" customWidth="1"/>
    <col min="7" max="7" width="12.140625" bestFit="1" customWidth="1"/>
  </cols>
  <sheetData>
    <row r="1" spans="1:7" x14ac:dyDescent="0.25">
      <c r="A1" s="70" t="s">
        <v>62</v>
      </c>
      <c r="B1" s="70"/>
      <c r="C1" s="70"/>
      <c r="D1" s="70"/>
      <c r="E1" s="70"/>
    </row>
    <row r="2" spans="1:7" x14ac:dyDescent="0.25">
      <c r="A2" s="70"/>
      <c r="B2" s="70"/>
      <c r="C2" s="70"/>
      <c r="D2" s="70"/>
      <c r="E2" s="70"/>
    </row>
    <row r="3" spans="1:7" x14ac:dyDescent="0.25">
      <c r="A3" s="28" t="s">
        <v>4</v>
      </c>
      <c r="B3" s="29" t="s">
        <v>63</v>
      </c>
      <c r="C3" s="7" t="s">
        <v>64</v>
      </c>
      <c r="D3" s="30" t="s">
        <v>5</v>
      </c>
      <c r="G3" s="32" t="s">
        <v>58</v>
      </c>
    </row>
    <row r="4" spans="1:7" x14ac:dyDescent="0.25">
      <c r="A4" s="27" t="str">
        <f>Tabela1[[#This Row],[Descrição/Marca do produto]]</f>
        <v>Biscoito</v>
      </c>
      <c r="B4" s="3">
        <f>Tabela1[[#This Row],[Preço unidade/qtd]]</f>
        <v>3.25</v>
      </c>
      <c r="C4" s="33">
        <f ca="1">Tabela1[[#This Row],[Quantidade nescessária p/ o mês]]</f>
        <v>1.875</v>
      </c>
      <c r="D4" s="34">
        <f ca="1">IFERROR(Tabela5[[#This Row],[QTD]]*Tabela5[[#This Row],[Preço]],0)</f>
        <v>6.09375</v>
      </c>
      <c r="E4" s="13"/>
      <c r="F4" s="13"/>
      <c r="G4" s="31">
        <f ca="1">SUM(Tabela5[Valor total])</f>
        <v>1981.1295197017698</v>
      </c>
    </row>
    <row r="5" spans="1:7" x14ac:dyDescent="0.25">
      <c r="A5" s="27" t="str">
        <f>Tabela1[[#This Row],[Descrição/Marca do produto]]</f>
        <v>Óleo Vitaliv 900ml</v>
      </c>
      <c r="B5" s="3">
        <f>Tabela1[[#This Row],[Preço unidade/qtd]]</f>
        <v>7.89</v>
      </c>
      <c r="C5" s="33">
        <f ca="1">Tabela1[[#This Row],[Quantidade nescessária p/ o mês]]</f>
        <v>1.1111111111111112</v>
      </c>
      <c r="D5" s="34">
        <f ca="1">IFERROR(Tabela5[[#This Row],[QTD]]*Tabela5[[#This Row],[Preço]],0)</f>
        <v>8.7666666666666675</v>
      </c>
      <c r="E5" s="13"/>
      <c r="F5" s="13"/>
    </row>
    <row r="6" spans="1:7" x14ac:dyDescent="0.25">
      <c r="A6" s="27" t="str">
        <f>Tabela1[[#This Row],[Descrição/Marca do produto]]</f>
        <v>Pão</v>
      </c>
      <c r="B6" s="3">
        <f>Tabela1[[#This Row],[Preço unidade/qtd]]</f>
        <v>0.8</v>
      </c>
      <c r="C6" s="33">
        <f ca="1">Tabela1[[#This Row],[Quantidade nescessária p/ o mês]]</f>
        <v>116.78571428571428</v>
      </c>
      <c r="D6" s="34">
        <f ca="1">IFERROR(Tabela5[[#This Row],[QTD]]*Tabela5[[#This Row],[Preço]],0)</f>
        <v>93.428571428571431</v>
      </c>
      <c r="E6" s="13"/>
      <c r="F6" s="13"/>
    </row>
    <row r="7" spans="1:7" x14ac:dyDescent="0.25">
      <c r="A7" s="27" t="str">
        <f>Tabela1[[#This Row],[Descrição/Marca do produto]]</f>
        <v>Farofa yoki</v>
      </c>
      <c r="B7" s="3">
        <f>Tabela1[[#This Row],[Preço unidade/qtd]]</f>
        <v>7.49</v>
      </c>
      <c r="C7" s="33">
        <f ca="1">Tabela1[[#This Row],[Quantidade nescessária p/ o mês]]</f>
        <v>1.0714285714285714</v>
      </c>
      <c r="D7" s="34">
        <f ca="1">IFERROR(Tabela5[[#This Row],[QTD]]*Tabela5[[#This Row],[Preço]],0)</f>
        <v>8.0250000000000004</v>
      </c>
    </row>
    <row r="8" spans="1:7" x14ac:dyDescent="0.25">
      <c r="A8" s="27" t="str">
        <f>Tabela1[[#This Row],[Descrição/Marca do produto]]</f>
        <v>Ovo</v>
      </c>
      <c r="B8" s="3">
        <f>Tabela1[[#This Row],[Preço unidade/qtd]]</f>
        <v>0.64</v>
      </c>
      <c r="C8" s="33">
        <f ca="1">Tabela1[[#This Row],[Quantidade nescessária p/ o mês]]</f>
        <v>51.92307692307692</v>
      </c>
      <c r="D8" s="34">
        <f ca="1">IFERROR(Tabela5[[#This Row],[QTD]]*Tabela5[[#This Row],[Preço]],0)</f>
        <v>33.230769230769226</v>
      </c>
    </row>
    <row r="9" spans="1:7" x14ac:dyDescent="0.25">
      <c r="A9" s="17" t="str">
        <f>Tabela1[[#This Row],[Descrição/Marca do produto]]</f>
        <v>Margarina 500ml</v>
      </c>
      <c r="B9" s="5">
        <f>Tabela1[[#This Row],[Preço unidade/qtd]]</f>
        <v>10.98</v>
      </c>
      <c r="C9" s="26">
        <f ca="1">Tabela1[[#This Row],[Quantidade nescessária p/ o mês]]</f>
        <v>2.4</v>
      </c>
      <c r="D9" s="35">
        <f ca="1">IFERROR(Tabela5[[#This Row],[QTD]]*Tabela5[[#This Row],[Preço]],0)</f>
        <v>26.352</v>
      </c>
    </row>
    <row r="10" spans="1:7" x14ac:dyDescent="0.25">
      <c r="A10" s="17" t="str">
        <f>Tabela1[[#This Row],[Descrição/Marca do produto]]</f>
        <v>Musculo moído</v>
      </c>
      <c r="B10" s="5">
        <f>Tabela1[[#This Row],[Preço unidade/qtd]]</f>
        <v>39.9</v>
      </c>
      <c r="C10" s="26">
        <f ca="1">Tabela1[[#This Row],[Quantidade nescessária p/ o mês]]</f>
        <v>1.2</v>
      </c>
      <c r="D10" s="35">
        <f ca="1">IFERROR(Tabela5[[#This Row],[QTD]]*Tabela5[[#This Row],[Preço]],0)</f>
        <v>47.879999999999995</v>
      </c>
    </row>
    <row r="11" spans="1:7" x14ac:dyDescent="0.25">
      <c r="A11" s="17" t="str">
        <f>Tabela1[[#This Row],[Descrição/Marca do produto]]</f>
        <v>Acém moído</v>
      </c>
      <c r="B11" s="5">
        <f>Tabela1[[#This Row],[Preço unidade/qtd]]</f>
        <v>29.9</v>
      </c>
      <c r="C11" s="26">
        <f ca="1">Tabela1[[#This Row],[Quantidade nescessária p/ o mês]]</f>
        <v>2</v>
      </c>
      <c r="D11" s="35">
        <f ca="1">IFERROR(Tabela5[[#This Row],[QTD]]*Tabela5[[#This Row],[Preço]],0)</f>
        <v>59.8</v>
      </c>
    </row>
    <row r="12" spans="1:7" x14ac:dyDescent="0.25">
      <c r="A12" s="27" t="str">
        <f>Tabela1[[#This Row],[Descrição/Marca do produto]]</f>
        <v>Salsicha</v>
      </c>
      <c r="B12" s="3">
        <f>Tabela1[[#This Row],[Preço unidade/qtd]]</f>
        <v>6.48</v>
      </c>
      <c r="C12" s="33">
        <f ca="1">Tabela1[[#This Row],[Quantidade nescessária p/ o mês]]</f>
        <v>5</v>
      </c>
      <c r="D12" s="34">
        <f ca="1">IFERROR(Tabela5[[#This Row],[QTD]]*Tabela5[[#This Row],[Preço]],0)</f>
        <v>32.400000000000006</v>
      </c>
    </row>
    <row r="13" spans="1:7" x14ac:dyDescent="0.25">
      <c r="A13" s="27" t="str">
        <f>Tabela1[[#This Row],[Descrição/Marca do produto]]</f>
        <v>Bolacha cream Cracker</v>
      </c>
      <c r="B13" s="3">
        <f>Tabela1[[#This Row],[Preço unidade/qtd]]</f>
        <v>2.2450000000000001</v>
      </c>
      <c r="C13" s="33">
        <f ca="1">Tabela1[[#This Row],[Quantidade nescessária p/ o mês]]</f>
        <v>9.2307692307692299</v>
      </c>
      <c r="D13" s="34">
        <f ca="1">IFERROR(Tabela5[[#This Row],[QTD]]*Tabela5[[#This Row],[Preço]],0)</f>
        <v>20.723076923076921</v>
      </c>
    </row>
    <row r="14" spans="1:7" x14ac:dyDescent="0.25">
      <c r="A14" s="17" t="str">
        <f>Tabela1[[#This Row],[Descrição/Marca do produto]]</f>
        <v>Achocolatado 3 corações</v>
      </c>
      <c r="B14" s="5">
        <f>Tabela1[[#This Row],[Preço unidade/qtd]]</f>
        <v>10.98</v>
      </c>
      <c r="C14" s="26">
        <f ca="1">Tabela1[[#This Row],[Quantidade nescessária p/ o mês]]</f>
        <v>2</v>
      </c>
      <c r="D14" s="35">
        <f ca="1">IFERROR(Tabela5[[#This Row],[QTD]]*Tabela5[[#This Row],[Preço]],0)</f>
        <v>21.96</v>
      </c>
    </row>
    <row r="15" spans="1:7" x14ac:dyDescent="0.25">
      <c r="A15" s="17" t="str">
        <f>Tabela1[[#This Row],[Descrição/Marca do produto]]</f>
        <v>Bolacha Maisena</v>
      </c>
      <c r="B15" s="5">
        <f>Tabela1[[#This Row],[Preço unidade/qtd]]</f>
        <v>1.98</v>
      </c>
      <c r="C15" s="26">
        <f ca="1">Tabela1[[#This Row],[Quantidade nescessária p/ o mês]]</f>
        <v>4</v>
      </c>
      <c r="D15" s="35">
        <f ca="1">IFERROR(Tabela5[[#This Row],[QTD]]*Tabela5[[#This Row],[Preço]],0)</f>
        <v>7.92</v>
      </c>
    </row>
    <row r="16" spans="1:7" x14ac:dyDescent="0.25">
      <c r="A16" s="17" t="str">
        <f>Tabela1[[#This Row],[Descrição/Marca do produto]]</f>
        <v>Pão de forma</v>
      </c>
      <c r="B16" s="5">
        <f>Tabela1[[#This Row],[Preço unidade/qtd]]</f>
        <v>5.99</v>
      </c>
      <c r="C16" s="26">
        <f ca="1">Tabela1[[#This Row],[Quantidade nescessária p/ o mês]]</f>
        <v>2</v>
      </c>
      <c r="D16" s="35">
        <f ca="1">IFERROR(Tabela5[[#This Row],[QTD]]*Tabela5[[#This Row],[Preço]],0)</f>
        <v>11.98</v>
      </c>
    </row>
    <row r="17" spans="1:4" x14ac:dyDescent="0.25">
      <c r="A17" s="27" t="str">
        <f>Tabela1[[#This Row],[Descrição/Marca do produto]]</f>
        <v>Suco de pacote</v>
      </c>
      <c r="B17" s="3">
        <f>Tabela1[[#This Row],[Preço unidade/qtd]]</f>
        <v>0.99</v>
      </c>
      <c r="C17" s="33">
        <f ca="1">Tabela1[[#This Row],[Quantidade nescessária p/ o mês]]</f>
        <v>6</v>
      </c>
      <c r="D17" s="34">
        <f ca="1">IFERROR(Tabela5[[#This Row],[QTD]]*Tabela5[[#This Row],[Preço]],0)</f>
        <v>5.9399999999999995</v>
      </c>
    </row>
    <row r="18" spans="1:4" x14ac:dyDescent="0.25">
      <c r="A18" s="27" t="str">
        <f>Tabela1[[#This Row],[Descrição/Marca do produto]]</f>
        <v>Leite em pó</v>
      </c>
      <c r="B18" s="3">
        <f>Tabela1[[#This Row],[Preço unidade/qtd]]</f>
        <v>16.98</v>
      </c>
      <c r="C18" s="33">
        <f ca="1">Tabela1[[#This Row],[Quantidade nescessária p/ o mês]]</f>
        <v>3.75</v>
      </c>
      <c r="D18" s="34">
        <f ca="1">IFERROR(Tabela5[[#This Row],[QTD]]*Tabela5[[#This Row],[Preço]],0)</f>
        <v>63.675000000000004</v>
      </c>
    </row>
    <row r="19" spans="1:4" x14ac:dyDescent="0.25">
      <c r="A19" s="27" t="str">
        <f>Tabela1[[#This Row],[Descrição/Marca do produto]]</f>
        <v>Alho Granel</v>
      </c>
      <c r="B19" s="3">
        <f>Tabela1[[#This Row],[Preço unidade/qtd]]</f>
        <v>0.27333333333333332</v>
      </c>
      <c r="C19" s="33">
        <f ca="1">Tabela1[[#This Row],[Quantidade nescessária p/ o mês]]</f>
        <v>4.8648648648648649</v>
      </c>
      <c r="D19" s="34">
        <f ca="1">IFERROR(Tabela5[[#This Row],[QTD]]*Tabela5[[#This Row],[Preço]],0)</f>
        <v>1.3297297297297297</v>
      </c>
    </row>
    <row r="20" spans="1:4" x14ac:dyDescent="0.25">
      <c r="A20" s="27" t="str">
        <f>Tabela1[[#This Row],[Descrição/Marca do produto]]</f>
        <v>Cebola</v>
      </c>
      <c r="B20" s="3">
        <f>Tabela1[[#This Row],[Preço unidade/qtd]]</f>
        <v>1.0666666666666667</v>
      </c>
      <c r="C20" s="33">
        <f ca="1">Tabela1[[#This Row],[Quantidade nescessária p/ o mês]]</f>
        <v>4.8648648648648649</v>
      </c>
      <c r="D20" s="34">
        <f ca="1">IFERROR(Tabela5[[#This Row],[QTD]]*Tabela5[[#This Row],[Preço]],0)</f>
        <v>5.1891891891891895</v>
      </c>
    </row>
    <row r="21" spans="1:4" x14ac:dyDescent="0.25">
      <c r="A21" s="17" t="str">
        <f>Tabela1[[#This Row],[Descrição/Marca do produto]]</f>
        <v>Banana Prata</v>
      </c>
      <c r="B21" s="5">
        <f>Tabela1[[#This Row],[Preço unidade/qtd]]</f>
        <v>0.8833333333333333</v>
      </c>
      <c r="C21" s="26">
        <f ca="1">Tabela1[[#This Row],[Quantidade nescessária p/ o mês]]</f>
        <v>9.7297297297297298</v>
      </c>
      <c r="D21" s="35">
        <f ca="1">IFERROR(Tabela5[[#This Row],[QTD]]*Tabela5[[#This Row],[Preço]],0)</f>
        <v>8.5945945945945947</v>
      </c>
    </row>
    <row r="22" spans="1:4" x14ac:dyDescent="0.25">
      <c r="A22" s="27" t="str">
        <f>Tabela1[[#This Row],[Descrição/Marca do produto]]</f>
        <v>Coentro</v>
      </c>
      <c r="B22" s="3">
        <f>Tabela1[[#This Row],[Preço unidade/qtd]]</f>
        <v>2.99</v>
      </c>
      <c r="C22" s="33">
        <f ca="1">Tabela1[[#This Row],[Quantidade nescessária p/ o mês]]</f>
        <v>3.5999999999999996</v>
      </c>
      <c r="D22" s="34">
        <f ca="1">IFERROR(Tabela5[[#This Row],[QTD]]*Tabela5[[#This Row],[Preço]],0)</f>
        <v>10.763999999999999</v>
      </c>
    </row>
    <row r="23" spans="1:4" x14ac:dyDescent="0.25">
      <c r="A23" s="27" t="str">
        <f>Tabela1[[#This Row],[Descrição/Marca do produto]]</f>
        <v>Cebolinha</v>
      </c>
      <c r="B23" s="3">
        <f>Tabela1[[#This Row],[Preço unidade/qtd]]</f>
        <v>2.99</v>
      </c>
      <c r="C23" s="33">
        <f ca="1">Tabela1[[#This Row],[Quantidade nescessária p/ o mês]]</f>
        <v>1.2</v>
      </c>
      <c r="D23" s="34">
        <f ca="1">IFERROR(Tabela5[[#This Row],[QTD]]*Tabela5[[#This Row],[Preço]],0)</f>
        <v>3.5880000000000001</v>
      </c>
    </row>
    <row r="24" spans="1:4" x14ac:dyDescent="0.25">
      <c r="A24" s="27" t="str">
        <f>Tabela1[[#This Row],[Descrição/Marca do produto]]</f>
        <v>Batata</v>
      </c>
      <c r="B24" s="3">
        <f>Tabela1[[#This Row],[Preço unidade/qtd]]</f>
        <v>2.86</v>
      </c>
      <c r="C24" s="33">
        <f ca="1">Tabela1[[#This Row],[Quantidade nescessária p/ o mês]]</f>
        <v>20.769230769230766</v>
      </c>
      <c r="D24" s="34">
        <f ca="1">IFERROR(Tabela5[[#This Row],[QTD]]*Tabela5[[#This Row],[Preço]],0)</f>
        <v>59.399999999999991</v>
      </c>
    </row>
    <row r="25" spans="1:4" x14ac:dyDescent="0.25">
      <c r="A25" s="17" t="str">
        <f>Tabela1[[#This Row],[Descrição/Marca do produto]]</f>
        <v>Pimentão</v>
      </c>
      <c r="B25" s="5">
        <f>Tabela1[[#This Row],[Preço unidade/qtd]]</f>
        <v>0.59499999999999997</v>
      </c>
      <c r="C25" s="26">
        <f ca="1">Tabela1[[#This Row],[Quantidade nescessária p/ o mês]]</f>
        <v>8.5714285714285712</v>
      </c>
      <c r="D25" s="35">
        <f ca="1">IFERROR(Tabela5[[#This Row],[QTD]]*Tabela5[[#This Row],[Preço]],0)</f>
        <v>5.0999999999999996</v>
      </c>
    </row>
    <row r="26" spans="1:4" x14ac:dyDescent="0.25">
      <c r="A26" s="27" t="str">
        <f>Tabela1[[#This Row],[Descrição/Marca do produto]]</f>
        <v>Sabão grosso</v>
      </c>
      <c r="B26" s="3">
        <f>Tabela1[[#This Row],[Preço unidade/qtd]]</f>
        <v>1.3</v>
      </c>
      <c r="C26" s="33">
        <f ca="1">Tabela1[[#This Row],[Quantidade nescessária p/ o mês]]</f>
        <v>5.5555555555555554</v>
      </c>
      <c r="D26" s="34">
        <f ca="1">IFERROR(Tabela5[[#This Row],[QTD]]*Tabela5[[#This Row],[Preço]],0)</f>
        <v>7.2222222222222223</v>
      </c>
    </row>
    <row r="27" spans="1:4" x14ac:dyDescent="0.25">
      <c r="A27" s="17" t="str">
        <f>Tabela1[[#This Row],[Descrição/Marca do produto]]</f>
        <v>Sabonete</v>
      </c>
      <c r="B27" s="5">
        <f>Tabela1[[#This Row],[Preço unidade/qtd]]</f>
        <v>2.39</v>
      </c>
      <c r="C27" s="26">
        <f ca="1">Tabela1[[#This Row],[Quantidade nescessária p/ o mês]]</f>
        <v>9.2307692307692299</v>
      </c>
      <c r="D27" s="35">
        <f ca="1">IFERROR(Tabela5[[#This Row],[QTD]]*Tabela5[[#This Row],[Preço]],0)</f>
        <v>22.061538461538461</v>
      </c>
    </row>
    <row r="28" spans="1:4" x14ac:dyDescent="0.25">
      <c r="A28" s="27" t="str">
        <f>Tabela1[[#This Row],[Descrição/Marca do produto]]</f>
        <v>Sabão em pó</v>
      </c>
      <c r="B28" s="3">
        <f>Tabela1[[#This Row],[Preço unidade/qtd]]</f>
        <v>13</v>
      </c>
      <c r="C28" s="33">
        <f ca="1">Tabela1[[#This Row],[Quantidade nescessária p/ o mês]]</f>
        <v>2.3076923076923075</v>
      </c>
      <c r="D28" s="34">
        <f ca="1">IFERROR(Tabela5[[#This Row],[QTD]]*Tabela5[[#This Row],[Preço]],0)</f>
        <v>29.999999999999996</v>
      </c>
    </row>
    <row r="29" spans="1:4" x14ac:dyDescent="0.25">
      <c r="A29" s="27" t="str">
        <f>Tabela1[[#This Row],[Descrição/Marca do produto]]</f>
        <v>Café pilão 500g</v>
      </c>
      <c r="B29" s="3">
        <f>Tabela1[[#This Row],[Preço unidade/qtd]]</f>
        <v>27.6</v>
      </c>
      <c r="C29" s="33">
        <f ca="1">Tabela1[[#This Row],[Quantidade nescessária p/ o mês]]</f>
        <v>3.75</v>
      </c>
      <c r="D29" s="34">
        <f ca="1">IFERROR(Tabela5[[#This Row],[QTD]]*Tabela5[[#This Row],[Preço]],0)</f>
        <v>103.5</v>
      </c>
    </row>
    <row r="30" spans="1:4" x14ac:dyDescent="0.25">
      <c r="A30" s="27" t="str">
        <f>Tabela1[[#This Row],[Descrição/Marca do produto]]</f>
        <v>Morango</v>
      </c>
      <c r="B30" s="3">
        <f>Tabela1[[#This Row],[Preço unidade/qtd]]</f>
        <v>10.98</v>
      </c>
      <c r="C30" s="33">
        <f ca="1">Tabela1[[#This Row],[Quantidade nescessária p/ o mês]]</f>
        <v>2.5</v>
      </c>
      <c r="D30" s="34">
        <f ca="1">IFERROR(Tabela5[[#This Row],[QTD]]*Tabela5[[#This Row],[Preço]],0)</f>
        <v>27.450000000000003</v>
      </c>
    </row>
    <row r="31" spans="1:4" x14ac:dyDescent="0.25">
      <c r="A31" s="27" t="str">
        <f>Tabela1[[#This Row],[Descrição/Marca do produto]]</f>
        <v>Filtro Café</v>
      </c>
      <c r="B31" s="3">
        <f>Tabela1[[#This Row],[Preço unidade/qtd]]</f>
        <v>5.9</v>
      </c>
      <c r="C31" s="33">
        <f ca="1">Tabela1[[#This Row],[Quantidade nescessária p/ o mês]]</f>
        <v>2.5</v>
      </c>
      <c r="D31" s="34">
        <f ca="1">IFERROR(Tabela5[[#This Row],[QTD]]*Tabela5[[#This Row],[Preço]],0)</f>
        <v>14.75</v>
      </c>
    </row>
    <row r="32" spans="1:4" x14ac:dyDescent="0.25">
      <c r="A32" s="27" t="str">
        <f>Tabela1[[#This Row],[Descrição/Marca do produto]]</f>
        <v>Macarrão</v>
      </c>
      <c r="B32" s="3">
        <f>Tabela1[[#This Row],[Preço unidade/qtd]]</f>
        <v>3.48</v>
      </c>
      <c r="C32" s="33">
        <f ca="1">Tabela1[[#This Row],[Quantidade nescessária p/ o mês]]</f>
        <v>8.1818181818181817</v>
      </c>
      <c r="D32" s="34">
        <f ca="1">IFERROR(Tabela5[[#This Row],[QTD]]*Tabela5[[#This Row],[Preço]],0)</f>
        <v>28.472727272727273</v>
      </c>
    </row>
    <row r="33" spans="1:4" x14ac:dyDescent="0.25">
      <c r="A33" s="27" t="str">
        <f>Tabela1[[#This Row],[Descrição/Marca do produto]]</f>
        <v>Arroz 5kg</v>
      </c>
      <c r="B33" s="3">
        <f>Tabela1[[#This Row],[Preço unidade/qtd]]</f>
        <v>25.9</v>
      </c>
      <c r="C33" s="33">
        <f ca="1">Tabela1[[#This Row],[Quantidade nescessária p/ o mês]]</f>
        <v>2.7272727272727271</v>
      </c>
      <c r="D33" s="34">
        <f ca="1">IFERROR(Tabela5[[#This Row],[QTD]]*Tabela5[[#This Row],[Preço]],0)</f>
        <v>70.636363636363626</v>
      </c>
    </row>
    <row r="34" spans="1:4" x14ac:dyDescent="0.25">
      <c r="A34" s="27" t="str">
        <f>Tabela1[[#This Row],[Descrição/Marca do produto]]</f>
        <v>Feijão Carioca</v>
      </c>
      <c r="B34" s="3">
        <f>Tabela1[[#This Row],[Preço unidade/qtd]]</f>
        <v>4.9000000000000004</v>
      </c>
      <c r="C34" s="33">
        <f ca="1">Tabela1[[#This Row],[Quantidade nescessária p/ o mês]]</f>
        <v>2.7272727272727271</v>
      </c>
      <c r="D34" s="34">
        <f ca="1">IFERROR(Tabela5[[#This Row],[QTD]]*Tabela5[[#This Row],[Preço]],0)</f>
        <v>13.363636363636363</v>
      </c>
    </row>
    <row r="35" spans="1:4" x14ac:dyDescent="0.25">
      <c r="A35" s="27" t="str">
        <f>Tabela1[[#This Row],[Descrição/Marca do produto]]</f>
        <v>Leite em líquido</v>
      </c>
      <c r="B35" s="3">
        <f>Tabela1[[#This Row],[Preço unidade/qtd]]</f>
        <v>3.98</v>
      </c>
      <c r="C35" s="33">
        <f ca="1">Tabela1[[#This Row],[Quantidade nescessária p/ o mês]]</f>
        <v>2.5</v>
      </c>
      <c r="D35" s="34">
        <f ca="1">IFERROR(Tabela5[[#This Row],[QTD]]*Tabela5[[#This Row],[Preço]],0)</f>
        <v>9.9499999999999993</v>
      </c>
    </row>
    <row r="36" spans="1:4" x14ac:dyDescent="0.25">
      <c r="A36" s="27" t="str">
        <f>Tabela1[[#This Row],[Descrição/Marca do produto]]</f>
        <v>Biscoito 550g</v>
      </c>
      <c r="B36" s="3">
        <f>Tabela1[[#This Row],[Preço unidade/qtd]]</f>
        <v>5.78</v>
      </c>
      <c r="C36" s="33">
        <f ca="1">Tabela1[[#This Row],[Quantidade nescessária p/ o mês]]</f>
        <v>2.7272727272727271</v>
      </c>
      <c r="D36" s="34">
        <f ca="1">IFERROR(Tabela5[[#This Row],[QTD]]*Tabela5[[#This Row],[Preço]],0)</f>
        <v>15.763636363636364</v>
      </c>
    </row>
    <row r="37" spans="1:4" x14ac:dyDescent="0.25">
      <c r="A37" s="27" t="str">
        <f>Tabela1[[#This Row],[Descrição/Marca do produto]]</f>
        <v>Kit Shampoo seda</v>
      </c>
      <c r="B37" s="3">
        <f>Tabela1[[#This Row],[Preço unidade/qtd]]</f>
        <v>14.98</v>
      </c>
      <c r="C37" s="33">
        <f ca="1">Tabela1[[#This Row],[Quantidade nescessária p/ o mês]]</f>
        <v>2.5</v>
      </c>
      <c r="D37" s="34">
        <f ca="1">IFERROR(Tabela5[[#This Row],[QTD]]*Tabela5[[#This Row],[Preço]],0)</f>
        <v>37.450000000000003</v>
      </c>
    </row>
    <row r="38" spans="1:4" x14ac:dyDescent="0.25">
      <c r="A38" s="27" t="str">
        <f>Tabela1[[#This Row],[Descrição/Marca do produto]]</f>
        <v>Bala</v>
      </c>
      <c r="B38" s="3">
        <f>Tabela1[[#This Row],[Preço unidade/qtd]]</f>
        <v>5.9850000000000003</v>
      </c>
      <c r="C38" s="33">
        <f ca="1">Tabela1[[#This Row],[Quantidade nescessária p/ o mês]]</f>
        <v>5</v>
      </c>
      <c r="D38" s="34">
        <f ca="1">IFERROR(Tabela5[[#This Row],[QTD]]*Tabela5[[#This Row],[Preço]],0)</f>
        <v>29.925000000000001</v>
      </c>
    </row>
    <row r="39" spans="1:4" x14ac:dyDescent="0.25">
      <c r="A39" s="17" t="str">
        <f>Tabela1[[#This Row],[Descrição/Marca do produto]]</f>
        <v>Absorvente mili c/32</v>
      </c>
      <c r="B39" s="5">
        <f>Tabela1[[#This Row],[Preço unidade/qtd]]</f>
        <v>17.899999999999999</v>
      </c>
      <c r="C39" s="26">
        <f ca="1">Tabela1[[#This Row],[Quantidade nescessária p/ o mês]]</f>
        <v>2.5</v>
      </c>
      <c r="D39" s="35">
        <f ca="1">IFERROR(Tabela5[[#This Row],[QTD]]*Tabela5[[#This Row],[Preço]],0)</f>
        <v>44.75</v>
      </c>
    </row>
    <row r="40" spans="1:4" x14ac:dyDescent="0.25">
      <c r="A40" s="27" t="str">
        <f>Tabela1[[#This Row],[Descrição/Marca do produto]]</f>
        <v>Desodorante dove</v>
      </c>
      <c r="B40" s="3">
        <f>Tabela1[[#This Row],[Preço unidade/qtd]]</f>
        <v>14.9</v>
      </c>
      <c r="C40" s="33">
        <f ca="1">Tabela1[[#This Row],[Quantidade nescessária p/ o mês]]</f>
        <v>2.5</v>
      </c>
      <c r="D40" s="34">
        <f ca="1">IFERROR(Tabela5[[#This Row],[QTD]]*Tabela5[[#This Row],[Preço]],0)</f>
        <v>37.25</v>
      </c>
    </row>
    <row r="41" spans="1:4" x14ac:dyDescent="0.25">
      <c r="A41" s="27" t="str">
        <f>Tabela1[[#This Row],[Descrição/Marca do produto]]</f>
        <v>Creme dental oral B</v>
      </c>
      <c r="B41" s="3">
        <f>Tabela1[[#This Row],[Preço unidade/qtd]]</f>
        <v>2.95</v>
      </c>
      <c r="C41" s="33">
        <f ca="1">Tabela1[[#This Row],[Quantidade nescessária p/ o mês]]</f>
        <v>2.5</v>
      </c>
      <c r="D41" s="34">
        <f ca="1">IFERROR(Tabela5[[#This Row],[QTD]]*Tabela5[[#This Row],[Preço]],0)</f>
        <v>7.375</v>
      </c>
    </row>
    <row r="42" spans="1:4" x14ac:dyDescent="0.25">
      <c r="A42" s="27" t="str">
        <f>Tabela1[[#This Row],[Descrição/Marca do produto]]</f>
        <v>Agua Sanitária</v>
      </c>
      <c r="B42" s="3">
        <f>Tabela1[[#This Row],[Preço unidade/qtd]]</f>
        <v>4.7</v>
      </c>
      <c r="C42" s="33">
        <f ca="1">Tabela1[[#This Row],[Quantidade nescessária p/ o mês]]</f>
        <v>2.5</v>
      </c>
      <c r="D42" s="34">
        <f ca="1">IFERROR(Tabela5[[#This Row],[QTD]]*Tabela5[[#This Row],[Preço]],0)</f>
        <v>11.75</v>
      </c>
    </row>
    <row r="43" spans="1:4" x14ac:dyDescent="0.25">
      <c r="A43" s="27" t="str">
        <f>Tabela1[[#This Row],[Descrição/Marca do produto]]</f>
        <v>Escova de dente</v>
      </c>
      <c r="B43" s="3">
        <f>Tabela1[[#This Row],[Preço unidade/qtd]]</f>
        <v>27.9</v>
      </c>
      <c r="C43" s="33">
        <f ca="1">Tabela1[[#This Row],[Quantidade nescessária p/ o mês]]</f>
        <v>2.5</v>
      </c>
      <c r="D43" s="34">
        <f ca="1">IFERROR(Tabela5[[#This Row],[QTD]]*Tabela5[[#This Row],[Preço]],0)</f>
        <v>69.75</v>
      </c>
    </row>
    <row r="44" spans="1:4" x14ac:dyDescent="0.25">
      <c r="A44" s="27" t="str">
        <f>Tabela1[[#This Row],[Descrição/Marca do produto]]</f>
        <v>Sabão em líquido infantil</v>
      </c>
      <c r="B44" s="3">
        <f>Tabela1[[#This Row],[Preço unidade/qtd]]</f>
        <v>13.9</v>
      </c>
      <c r="C44" s="33">
        <f ca="1">Tabela1[[#This Row],[Quantidade nescessária p/ o mês]]</f>
        <v>3.3333333333333335</v>
      </c>
      <c r="D44" s="34">
        <f ca="1">IFERROR(Tabela5[[#This Row],[QTD]]*Tabela5[[#This Row],[Preço]],0)</f>
        <v>46.333333333333336</v>
      </c>
    </row>
    <row r="45" spans="1:4" x14ac:dyDescent="0.25">
      <c r="A45" s="17" t="str">
        <f>Tabela1[[#This Row],[Descrição/Marca do produto]]</f>
        <v>Desinfetante Dular</v>
      </c>
      <c r="B45" s="5">
        <f>Tabela1[[#This Row],[Preço unidade/qtd]]</f>
        <v>10.9</v>
      </c>
      <c r="C45" s="26">
        <f ca="1">Tabela1[[#This Row],[Quantidade nescessária p/ o mês]]</f>
        <v>2.5</v>
      </c>
      <c r="D45" s="35">
        <f ca="1">IFERROR(Tabela5[[#This Row],[QTD]]*Tabela5[[#This Row],[Preço]],0)</f>
        <v>27.25</v>
      </c>
    </row>
    <row r="46" spans="1:4" x14ac:dyDescent="0.25">
      <c r="A46" s="27" t="str">
        <f>Tabela1[[#This Row],[Descrição/Marca do produto]]</f>
        <v>Bolo abc</v>
      </c>
      <c r="B46" s="3">
        <f>Tabela1[[#This Row],[Preço unidade/qtd]]</f>
        <v>18.989999999999998</v>
      </c>
      <c r="C46" s="33">
        <f ca="1">Tabela1[[#This Row],[Quantidade nescessária p/ o mês]]</f>
        <v>1.6452268111035884</v>
      </c>
      <c r="D46" s="34">
        <f ca="1">IFERROR(Tabela5[[#This Row],[QTD]]*Tabela5[[#This Row],[Preço]],0)</f>
        <v>31.24285714285714</v>
      </c>
    </row>
    <row r="47" spans="1:4" x14ac:dyDescent="0.25">
      <c r="A47" s="27" t="str">
        <f>Tabela1[[#This Row],[Descrição/Marca do produto]]</f>
        <v>Sonho</v>
      </c>
      <c r="B47" s="3">
        <f>Tabela1[[#This Row],[Preço unidade/qtd]]</f>
        <v>29.9</v>
      </c>
      <c r="C47" s="33">
        <f ca="1">Tabela1[[#This Row],[Quantidade nescessária p/ o mês]]</f>
        <v>0.36407071189679885</v>
      </c>
      <c r="D47" s="34">
        <f ca="1">IFERROR(Tabela5[[#This Row],[QTD]]*Tabela5[[#This Row],[Preço]],0)</f>
        <v>10.885714285714284</v>
      </c>
    </row>
    <row r="48" spans="1:4" x14ac:dyDescent="0.25">
      <c r="A48" s="27" t="str">
        <f>Tabela1[[#This Row],[Descrição/Marca do produto]]</f>
        <v>Maçã</v>
      </c>
      <c r="B48" s="3">
        <f>Tabela1[[#This Row],[Preço unidade/qtd]]</f>
        <v>1.28</v>
      </c>
      <c r="C48" s="33">
        <f ca="1">Tabela1[[#This Row],[Quantidade nescessária p/ o mês]]</f>
        <v>17.142857142857142</v>
      </c>
      <c r="D48" s="34">
        <f ca="1">IFERROR(Tabela5[[#This Row],[QTD]]*Tabela5[[#This Row],[Preço]],0)</f>
        <v>21.942857142857143</v>
      </c>
    </row>
    <row r="49" spans="1:4" x14ac:dyDescent="0.25">
      <c r="A49" s="17" t="str">
        <f>Tabela1[[#This Row],[Descrição/Marca do produto]]</f>
        <v>Cotonete</v>
      </c>
      <c r="B49" s="5">
        <f>Tabela1[[#This Row],[Preço unidade/qtd]]</f>
        <v>2.59</v>
      </c>
      <c r="C49" s="26">
        <f ca="1">Tabela1[[#This Row],[Quantidade nescessária p/ o mês]]</f>
        <v>4.2857142857142856</v>
      </c>
      <c r="D49" s="35">
        <f ca="1">IFERROR(Tabela5[[#This Row],[QTD]]*Tabela5[[#This Row],[Preço]],0)</f>
        <v>11.1</v>
      </c>
    </row>
    <row r="50" spans="1:4" x14ac:dyDescent="0.25">
      <c r="A50" s="27" t="str">
        <f>Tabela1[[#This Row],[Descrição/Marca do produto]]</f>
        <v>Fralda</v>
      </c>
      <c r="B50" s="3">
        <f>Tabela1[[#This Row],[Preço unidade/qtd]]</f>
        <v>45.9</v>
      </c>
      <c r="C50" s="33">
        <f ca="1">Tabela1[[#This Row],[Quantidade nescessária p/ o mês]]</f>
        <v>4.2857142857142856</v>
      </c>
      <c r="D50" s="34">
        <f ca="1">IFERROR(Tabela5[[#This Row],[QTD]]*Tabela5[[#This Row],[Preço]],0)</f>
        <v>196.71428571428569</v>
      </c>
    </row>
    <row r="51" spans="1:4" x14ac:dyDescent="0.25">
      <c r="A51" s="27" t="str">
        <f>Tabela1[[#This Row],[Descrição/Marca do produto]]</f>
        <v>Linguiça de frango avivar</v>
      </c>
      <c r="B51" s="3">
        <f>Tabela1[[#This Row],[Preço unidade/qtd]]</f>
        <v>16.18</v>
      </c>
      <c r="C51" s="33">
        <f ca="1">Tabela1[[#This Row],[Quantidade nescessária p/ o mês]]</f>
        <v>0</v>
      </c>
      <c r="D51" s="34">
        <f ca="1">IFERROR(Tabela5[[#This Row],[QTD]]*Tabela5[[#This Row],[Preço]],0)</f>
        <v>0</v>
      </c>
    </row>
    <row r="52" spans="1:4" x14ac:dyDescent="0.25">
      <c r="A52" s="27" t="str">
        <f>Tabela1[[#This Row],[Descrição/Marca do produto]]</f>
        <v>Coxa e sobrecoxa de frango</v>
      </c>
      <c r="B52" s="3">
        <f>Tabela1[[#This Row],[Preço unidade/qtd]]</f>
        <v>15.58</v>
      </c>
      <c r="C52" s="33">
        <f ca="1">Tabela1[[#This Row],[Quantidade nescessária p/ o mês]]</f>
        <v>15</v>
      </c>
      <c r="D52" s="34">
        <f ca="1">IFERROR(Tabela5[[#This Row],[QTD]]*Tabela5[[#This Row],[Preço]],0)</f>
        <v>233.7</v>
      </c>
    </row>
    <row r="53" spans="1:4" x14ac:dyDescent="0.25">
      <c r="A53" s="27" t="str">
        <f>Tabela1[[#This Row],[Descrição/Marca do produto]]</f>
        <v>Miojo</v>
      </c>
      <c r="B53" s="3">
        <f>Tabela1[[#This Row],[Preço unidade/qtd]]</f>
        <v>2.79</v>
      </c>
      <c r="C53" s="33">
        <f ca="1">Tabela1[[#This Row],[Quantidade nescessária p/ o mês]]</f>
        <v>15</v>
      </c>
      <c r="D53" s="34">
        <f ca="1">IFERROR(Tabela5[[#This Row],[QTD]]*Tabela5[[#This Row],[Preço]],0)</f>
        <v>41.85</v>
      </c>
    </row>
    <row r="54" spans="1:4" x14ac:dyDescent="0.25">
      <c r="A54" s="17" t="str">
        <f>Tabela1[[#This Row],[Descrição/Marca do produto]]</f>
        <v>Creme para cabelo</v>
      </c>
      <c r="B54" s="5">
        <f>Tabela1[[#This Row],[Preço unidade/qtd]]</f>
        <v>11.9</v>
      </c>
      <c r="C54" s="26">
        <f ca="1">Tabela1[[#This Row],[Quantidade nescessária p/ o mês]]</f>
        <v>15</v>
      </c>
      <c r="D54" s="35">
        <f ca="1">IFERROR(Tabela5[[#This Row],[QTD]]*Tabela5[[#This Row],[Preço]],0)</f>
        <v>178.5</v>
      </c>
    </row>
    <row r="55" spans="1:4" x14ac:dyDescent="0.25">
      <c r="A55" s="27" t="str">
        <f>Tabela1[[#This Row],[Descrição/Marca do produto]]</f>
        <v>Halls</v>
      </c>
      <c r="B55" s="3">
        <f>Tabela1[[#This Row],[Preço unidade/qtd]]</f>
        <v>1.88</v>
      </c>
      <c r="C55" s="33">
        <f ca="1">Tabela1[[#This Row],[Quantidade nescessária p/ o mês]]</f>
        <v>15</v>
      </c>
      <c r="D55" s="34">
        <f ca="1">IFERROR(Tabela5[[#This Row],[QTD]]*Tabela5[[#This Row],[Preço]],0)</f>
        <v>28.2</v>
      </c>
    </row>
    <row r="56" spans="1:4" x14ac:dyDescent="0.25">
      <c r="A56" s="17" t="str">
        <f>Tabela1[[#This Row],[Descrição/Marca do produto]]</f>
        <v>Baton Garoto</v>
      </c>
      <c r="B56" s="5">
        <f>Tabela1[[#This Row],[Preço unidade/qtd]]</f>
        <v>1.99</v>
      </c>
      <c r="C56" s="26">
        <f ca="1">Tabela1[[#This Row],[Quantidade nescessária p/ o mês]]</f>
        <v>15</v>
      </c>
      <c r="D56" s="35">
        <f ca="1">IFERROR(Tabela5[[#This Row],[QTD]]*Tabela5[[#This Row],[Preço]],0)</f>
        <v>29.85</v>
      </c>
    </row>
  </sheetData>
  <mergeCells count="1">
    <mergeCell ref="A1:E2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32F084F-D4F3-4F24-A310-EE2071E065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CONTAS</vt:lpstr>
      <vt:lpstr>Levantamento de gastos do mês</vt:lpstr>
      <vt:lpstr>Lista de compras do mês</vt:lpstr>
      <vt:lpstr>'Levantamento de gastos do mês'!Area_de_extracao</vt:lpstr>
      <vt:lpstr>'Levantamento de gastos do mês'!Criterios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rodrigues</dc:creator>
  <cp:lastModifiedBy>Armando rodrigues</cp:lastModifiedBy>
  <cp:lastPrinted>2025-01-22T02:11:28Z</cp:lastPrinted>
  <dcterms:created xsi:type="dcterms:W3CDTF">2025-01-04T02:16:37Z</dcterms:created>
  <dcterms:modified xsi:type="dcterms:W3CDTF">2025-02-01T22:36:43Z</dcterms:modified>
</cp:coreProperties>
</file>