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68431DEF48B862B/Banco Gênio/"/>
    </mc:Choice>
  </mc:AlternateContent>
  <xr:revisionPtr revIDLastSave="886" documentId="8_{95C22E98-A0ED-4406-BE39-0895A6A0D707}" xr6:coauthVersionLast="47" xr6:coauthVersionMax="47" xr10:uidLastSave="{4043C614-204B-4587-8A60-D54F78B27BD1}"/>
  <bookViews>
    <workbookView xWindow="-120" yWindow="-120" windowWidth="21840" windowHeight="13020" xr2:uid="{FD4637E9-BD7F-4D4F-BAA8-763A943EC97F}"/>
  </bookViews>
  <sheets>
    <sheet name="Clientes" sheetId="1" r:id="rId1"/>
    <sheet name="Base Clientes" sheetId="5" r:id="rId2"/>
    <sheet name="Encargos" sheetId="2" r:id="rId3"/>
    <sheet name="Financeir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I28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6" i="1"/>
  <c r="B27" i="1"/>
  <c r="E28" i="1"/>
  <c r="F28" i="1" a="1"/>
  <c r="F28" i="1"/>
  <c r="J28" i="1"/>
  <c r="C27" i="1"/>
  <c r="E27" i="1"/>
  <c r="F27" i="1" a="1"/>
  <c r="F27" i="1" s="1"/>
  <c r="J27" i="1"/>
  <c r="C26" i="1"/>
  <c r="E26" i="1"/>
  <c r="F26" i="1" a="1"/>
  <c r="F26" i="1"/>
  <c r="J26" i="1"/>
  <c r="M26" i="1" a="1"/>
  <c r="M26" i="1" s="1"/>
  <c r="I25" i="1"/>
  <c r="E24" i="1"/>
  <c r="M24" i="1" s="1" a="1"/>
  <c r="M24" i="1" s="1"/>
  <c r="F24" i="1" a="1"/>
  <c r="F24" i="1" s="1"/>
  <c r="J24" i="1"/>
  <c r="C23" i="1"/>
  <c r="E23" i="1"/>
  <c r="F23" i="1" a="1"/>
  <c r="F23" i="1" s="1"/>
  <c r="J23" i="1"/>
  <c r="J6" i="1"/>
  <c r="J7" i="1"/>
  <c r="J8" i="1"/>
  <c r="J9" i="1"/>
  <c r="J10" i="1"/>
  <c r="J11" i="1"/>
  <c r="J12" i="1"/>
  <c r="J13" i="1"/>
  <c r="J14" i="1"/>
  <c r="J15" i="1"/>
  <c r="J16" i="1"/>
  <c r="J18" i="1"/>
  <c r="J19" i="1"/>
  <c r="E22" i="1"/>
  <c r="M22" i="1" s="1" a="1"/>
  <c r="M22" i="1" s="1"/>
  <c r="F22" i="1" a="1"/>
  <c r="F22" i="1" s="1"/>
  <c r="J22" i="1"/>
  <c r="E21" i="1"/>
  <c r="M21" i="1" s="1" a="1"/>
  <c r="M21" i="1" s="1"/>
  <c r="F21" i="1" a="1"/>
  <c r="F21" i="1" s="1"/>
  <c r="J21" i="1"/>
  <c r="M27" i="1" l="1" a="1"/>
  <c r="M27" i="1" s="1"/>
  <c r="Q27" i="1" s="1"/>
  <c r="C28" i="1" s="1"/>
  <c r="Q26" i="1"/>
  <c r="N26" i="1"/>
  <c r="P26" i="1" s="1"/>
  <c r="M23" i="1" a="1"/>
  <c r="M23" i="1" s="1"/>
  <c r="Q23" i="1" s="1"/>
  <c r="M25" i="1" a="1"/>
  <c r="M25" i="1" s="1"/>
  <c r="Q24" i="1"/>
  <c r="N24" i="1"/>
  <c r="P24" i="1" s="1"/>
  <c r="N21" i="1"/>
  <c r="P21" i="1" s="1"/>
  <c r="E20" i="1"/>
  <c r="M20" i="1" s="1" a="1"/>
  <c r="M20" i="1" s="1"/>
  <c r="F20" i="1" a="1"/>
  <c r="F20" i="1" s="1"/>
  <c r="J20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6" i="1"/>
  <c r="F19" i="1" a="1"/>
  <c r="F19" i="1" s="1"/>
  <c r="M28" i="1" l="1" a="1"/>
  <c r="M28" i="1" s="1"/>
  <c r="N28" i="1"/>
  <c r="P28" i="1" s="1"/>
  <c r="Q28" i="1"/>
  <c r="Q32" i="1" s="1"/>
  <c r="N27" i="1"/>
  <c r="P27" i="1" s="1"/>
  <c r="N23" i="1"/>
  <c r="P23" i="1" s="1"/>
  <c r="N25" i="1"/>
  <c r="P25" i="1" s="1"/>
  <c r="Q25" i="1"/>
  <c r="M19" i="1" a="1"/>
  <c r="M19" i="1" s="1"/>
  <c r="Q19" i="1" s="1"/>
  <c r="Q21" i="1"/>
  <c r="N20" i="1"/>
  <c r="P20" i="1" s="1"/>
  <c r="Q20" i="1"/>
  <c r="F18" i="1" a="1"/>
  <c r="F18" i="1" s="1"/>
  <c r="M18" i="1" s="1" a="1"/>
  <c r="M18" i="1" s="1"/>
  <c r="F17" i="1" a="1"/>
  <c r="F17" i="1" s="1"/>
  <c r="M17" i="1" s="1" a="1"/>
  <c r="M17" i="1" s="1"/>
  <c r="F16" i="1" a="1"/>
  <c r="F16" i="1" s="1"/>
  <c r="M16" i="1" s="1" a="1"/>
  <c r="M16" i="1" s="1"/>
  <c r="F15" i="1" a="1"/>
  <c r="F15" i="1" s="1"/>
  <c r="M15" i="1" s="1" a="1"/>
  <c r="M15" i="1" s="1"/>
  <c r="F14" i="1" a="1"/>
  <c r="F14" i="1" s="1"/>
  <c r="M14" i="1" s="1" a="1"/>
  <c r="M14" i="1" s="1"/>
  <c r="N18" i="1" l="1"/>
  <c r="P18" i="1" s="1"/>
  <c r="N19" i="1"/>
  <c r="P19" i="1" s="1"/>
  <c r="Q15" i="1"/>
  <c r="N14" i="1"/>
  <c r="P14" i="1" s="1"/>
  <c r="N16" i="1"/>
  <c r="P16" i="1" s="1"/>
  <c r="Q16" i="1"/>
  <c r="F13" i="1" a="1"/>
  <c r="F13" i="1" s="1"/>
  <c r="M13" i="1" s="1" a="1"/>
  <c r="M13" i="1" s="1"/>
  <c r="F12" i="1" a="1"/>
  <c r="F12" i="1" s="1"/>
  <c r="M12" i="1" s="1" a="1"/>
  <c r="M12" i="1" s="1"/>
  <c r="F11" i="1" a="1"/>
  <c r="F11" i="1" s="1"/>
  <c r="M11" i="1" s="1" a="1"/>
  <c r="M11" i="1" s="1"/>
  <c r="F10" i="1" a="1"/>
  <c r="F10" i="1" s="1"/>
  <c r="M10" i="1" s="1" a="1"/>
  <c r="M10" i="1" s="1"/>
  <c r="F9" i="1" a="1"/>
  <c r="F9" i="1" s="1"/>
  <c r="M9" i="1" s="1" a="1"/>
  <c r="M9" i="1" s="1"/>
  <c r="F8" i="1" a="1"/>
  <c r="F8" i="1"/>
  <c r="M8" i="1" s="1" a="1"/>
  <c r="M8" i="1" s="1"/>
  <c r="F7" i="1" a="1"/>
  <c r="F7" i="1" s="1"/>
  <c r="M7" i="1" s="1" a="1"/>
  <c r="M7" i="1" s="1"/>
  <c r="B6" i="1"/>
  <c r="F6" i="1" a="1"/>
  <c r="F6" i="1" s="1"/>
  <c r="M6" i="1" s="1" a="1"/>
  <c r="M6" i="1" s="1"/>
  <c r="N22" i="1" l="1"/>
  <c r="P22" i="1" s="1"/>
  <c r="Q22" i="1"/>
  <c r="Q14" i="1"/>
  <c r="Q18" i="1"/>
  <c r="N9" i="1"/>
  <c r="P9" i="1" s="1"/>
  <c r="Q11" i="1"/>
  <c r="N12" i="1"/>
  <c r="P12" i="1" s="1"/>
  <c r="Q10" i="1"/>
  <c r="N8" i="1"/>
  <c r="P8" i="1" s="1"/>
  <c r="N15" i="1"/>
  <c r="P15" i="1" s="1"/>
  <c r="Q13" i="1"/>
  <c r="Q9" i="1"/>
  <c r="N10" i="1"/>
  <c r="P10" i="1" s="1"/>
  <c r="N7" i="1"/>
  <c r="P7" i="1" s="1"/>
  <c r="Q7" i="1"/>
  <c r="Q17" i="1"/>
  <c r="N17" i="1"/>
  <c r="P17" i="1" s="1"/>
  <c r="A4" i="4" l="1"/>
  <c r="R25" i="1"/>
  <c r="R26" i="1" s="1"/>
  <c r="Q8" i="1"/>
  <c r="Q12" i="1"/>
  <c r="N13" i="1"/>
  <c r="P13" i="1" s="1"/>
  <c r="N11" i="1"/>
  <c r="P11" i="1" s="1"/>
  <c r="N6" i="1"/>
  <c r="P6" i="1" s="1"/>
  <c r="Q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<sst xmlns="http://schemas.openxmlformats.org/spreadsheetml/2006/main" count="77" uniqueCount="52">
  <si>
    <t>Clientes de empréstimos</t>
  </si>
  <si>
    <t>Nome</t>
  </si>
  <si>
    <t>Valor</t>
  </si>
  <si>
    <t>Data</t>
  </si>
  <si>
    <t>Juros</t>
  </si>
  <si>
    <t>Multa por atraso</t>
  </si>
  <si>
    <t>Vencimento</t>
  </si>
  <si>
    <t>Parcelas</t>
  </si>
  <si>
    <t>Valor parcela</t>
  </si>
  <si>
    <t>Total</t>
  </si>
  <si>
    <t>Armando rodrigues progenio neto</t>
  </si>
  <si>
    <t>CPF</t>
  </si>
  <si>
    <t>Email</t>
  </si>
  <si>
    <t>Contato 1</t>
  </si>
  <si>
    <t>Contato 2</t>
  </si>
  <si>
    <t>06361784207</t>
  </si>
  <si>
    <t>-</t>
  </si>
  <si>
    <t>rodriguesarmando225@gmail.com</t>
  </si>
  <si>
    <t>Encargos</t>
  </si>
  <si>
    <t>I.P.C.A</t>
  </si>
  <si>
    <t>I.O.F Fixo</t>
  </si>
  <si>
    <t>I.O.F Diário</t>
  </si>
  <si>
    <t>Dias para quitação</t>
  </si>
  <si>
    <t>Multa por atraso a.d</t>
  </si>
  <si>
    <t>ID_Cliente</t>
  </si>
  <si>
    <t>Dias de atraso</t>
  </si>
  <si>
    <t>(91)98846-8119</t>
  </si>
  <si>
    <t>Saldo a receber</t>
  </si>
  <si>
    <t>Parcelas faltantes</t>
  </si>
  <si>
    <t>Valor Faltante</t>
  </si>
  <si>
    <t>Status</t>
  </si>
  <si>
    <t>Pago</t>
  </si>
  <si>
    <t>Dia pagamento</t>
  </si>
  <si>
    <t>id_endereço</t>
  </si>
  <si>
    <t>Endereços</t>
  </si>
  <si>
    <t>Id_endereço</t>
  </si>
  <si>
    <t>Rua</t>
  </si>
  <si>
    <t>Cep</t>
  </si>
  <si>
    <t>Estado</t>
  </si>
  <si>
    <t>Cidade</t>
  </si>
  <si>
    <t>Bairro</t>
  </si>
  <si>
    <t>Casa</t>
  </si>
  <si>
    <t>MG</t>
  </si>
  <si>
    <t>Divinópolis</t>
  </si>
  <si>
    <t>Jardim das acácias</t>
  </si>
  <si>
    <t>Jacatiá</t>
  </si>
  <si>
    <t xml:space="preserve"> </t>
  </si>
  <si>
    <t>Taxa administrativa</t>
  </si>
  <si>
    <t>Juros totais</t>
  </si>
  <si>
    <t>À pagar</t>
  </si>
  <si>
    <t>Waldriano progenio monteiro</t>
  </si>
  <si>
    <t>Renegociado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</si>
</sst>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10" fontId="0" fillId="0" borderId="7" xfId="0" applyNumberFormat="1" applyBorder="1"/>
    <xf numFmtId="9" fontId="0" fillId="0" borderId="2" xfId="0" applyNumberFormat="1" applyBorder="1"/>
    <xf numFmtId="10" fontId="0" fillId="0" borderId="2" xfId="0" applyNumberFormat="1" applyBorder="1"/>
    <xf numFmtId="10" fontId="0" fillId="0" borderId="8" xfId="0" applyNumberFormat="1" applyBorder="1"/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44" fontId="0" fillId="0" borderId="8" xfId="2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1" xfId="0" applyNumberFormat="1" applyBorder="1"/>
    <xf numFmtId="44" fontId="0" fillId="0" borderId="3" xfId="0" applyNumberFormat="1" applyBorder="1"/>
    <xf numFmtId="0" fontId="5" fillId="4" borderId="1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49" fontId="0" fillId="5" borderId="10" xfId="1" applyNumberFormat="1" applyFont="1" applyFill="1" applyBorder="1" applyAlignment="1">
      <alignment horizontal="center" vertical="center"/>
    </xf>
    <xf numFmtId="0" fontId="3" fillId="5" borderId="10" xfId="3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44" fontId="0" fillId="0" borderId="2" xfId="2" applyFont="1" applyBorder="1"/>
    <xf numFmtId="0" fontId="0" fillId="0" borderId="8" xfId="0" applyBorder="1"/>
    <xf numFmtId="0" fontId="0" fillId="0" borderId="7" xfId="0" applyBorder="1"/>
    <xf numFmtId="0" fontId="0" fillId="0" borderId="2" xfId="0" applyBorder="1"/>
    <xf numFmtId="44" fontId="0" fillId="0" borderId="0" xfId="0" applyNumberForma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4">
    <cellStyle name="Hiperlink" xfId="3" builtinId="8"/>
    <cellStyle name="Moeda" xfId="2" builtinId="4"/>
    <cellStyle name="Normal" xfId="0" builtinId="0"/>
    <cellStyle name="Vírgula" xfId="1" builtinId="3"/>
  </cellStyles>
  <dxfs count="55">
    <dxf>
      <numFmt numFmtId="34" formatCode="_-&quot;R$&quot;\ * #,##0.00_-;\-&quot;R$&quot;\ * #,##0.00_-;_-&quot;R$&quot;\ * &quot;-&quot;??_-;_-@_-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8193A0-31D2-4EF7-A357-C68A2968FE60}" name="Tabela2" displayName="Tabela2" ref="A5:Q28" totalsRowShown="0" headerRowDxfId="54" headerRowBorderDxfId="53" tableBorderDxfId="52" totalsRowBorderDxfId="51">
  <autoFilter ref="A5:Q28" xr:uid="{E98193A0-31D2-4EF7-A357-C68A2968FE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FC8F8815-F47E-48D3-8B36-64020120503C}" name="ID_Cliente" dataDxfId="50"/>
    <tableColumn id="2" xr3:uid="{FC30B25A-6BFB-40B1-A3C1-3699AAFEC1B5}" name="Nome" dataDxfId="49"/>
    <tableColumn id="7" xr3:uid="{4C133085-ADE0-4225-A03E-74D4CE9AC239}" name="Valor" dataDxfId="48" dataCellStyle="Moeda"/>
    <tableColumn id="8" xr3:uid="{18C522D3-56D5-4744-9816-63F2702B50CF}" name="Data" dataDxfId="47"/>
    <tableColumn id="9" xr3:uid="{0F69F82A-5A78-4437-9273-2152EAE1F7BA}" name="Juros" dataDxfId="46">
      <calculatedColumnFormula>SUM(Encargos!$A$5/12,Encargos!$C$5,Encargos!$E$5)</calculatedColumnFormula>
    </tableColumn>
    <tableColumn id="10" xr3:uid="{0E89D851-D41C-4197-BCA9-B08DBDDD6BED}" name="Multa por atraso a.d" dataDxfId="45">
      <calculatedColumnFormula array="1">Tabela1[Multa por atraso]</calculatedColumnFormula>
    </tableColumn>
    <tableColumn id="11" xr3:uid="{3148D1ED-139A-400C-85ED-E4AD68A784B8}" name="Vencimento" dataDxfId="44"/>
    <tableColumn id="20" xr3:uid="{5DEDD577-4D01-440A-B12E-B034CD43ADFC}" name="Dia pagamento" dataDxfId="43"/>
    <tableColumn id="12" xr3:uid="{3A8BF325-FA14-4542-B03F-CD3A25412A0F}" name="Dias para quitação" dataDxfId="42" dataCellStyle="Vírgula"/>
    <tableColumn id="13" xr3:uid="{0B0B966F-E917-4C3A-9795-0DCEC8B5F7B2}" name="Dias de atraso" dataDxfId="41" dataCellStyle="Vírgula">
      <calculatedColumnFormula>IF(TODAY()-G6&lt;0,"No prazo",IF(Tabela2[[#This Row],[Status]]="Pago",Tabela2[[#This Row],[Dia pagamento]]-Tabela2[[#This Row],[Vencimento]],TODAY()-G6))</calculatedColumnFormula>
    </tableColumn>
    <tableColumn id="14" xr3:uid="{6AE56EC0-383D-4C87-B3A7-D1A5B9462E51}" name="Parcelas" dataDxfId="40"/>
    <tableColumn id="18" xr3:uid="{85D8EE46-5385-4C1D-90AC-FC372E17D4A4}" name="Parcelas faltantes" dataDxfId="39"/>
    <tableColumn id="15" xr3:uid="{D5750A32-3434-42F7-8A24-7058FD66969E}" name="Valor parcela" dataDxfId="38" dataCellStyle="Moeda">
      <calculatedColumnFormula array="1">(C6+(C6*(E6*Tabela2[[#This Row],[Parcelas]]))+(C6*(Tabela1[I.O.F Diário]*Clientes!I6)))/K6+IF(TODAY()&gt;G6,(C6*(F6*J6)),0)</calculatedColumnFormula>
    </tableColumn>
    <tableColumn id="16" xr3:uid="{CA732EBE-DFF7-4EDD-97E5-40873101EF9D}" name="Total" dataDxfId="37" dataCellStyle="Moeda">
      <calculatedColumnFormula>M6*K6</calculatedColumnFormula>
    </tableColumn>
    <tableColumn id="17" xr3:uid="{F0F9C591-0B38-47B7-B4CF-363A5632468B}" name="Status" dataDxfId="36" dataCellStyle="Moeda"/>
    <tableColumn id="3" xr3:uid="{11534EE9-AE3E-408C-B776-327989F29FD5}" name="Juros totais" dataDxfId="35" dataCellStyle="Moeda">
      <calculatedColumnFormula>Tabela2[[#This Row],[Total]]-Tabela2[[#This Row],[Valor]]</calculatedColumnFormula>
    </tableColumn>
    <tableColumn id="19" xr3:uid="{0796DDF6-864F-4FCB-B8A6-B0210CD3B964}" name="Valor Faltante" dataDxfId="34">
      <calculatedColumnFormula>Tabela2[[#This Row],[Valor parcela]]*Tabela2[[#This Row],[Parcelas faltantes]]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FEE64B-C82D-4ABD-9D7D-C75AC8E3B0F3}" name="Tabela4" displayName="Tabela4" ref="K3:R4" totalsRowShown="0" headerRowDxfId="33" headerRowBorderDxfId="32" tableBorderDxfId="31" totalsRowBorderDxfId="30">
  <autoFilter ref="K3:R4" xr:uid="{B7FEE64B-C82D-4ABD-9D7D-C75AC8E3B0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1CEE707-91C3-4F40-AC74-4000FB0998D0}" name="Id_endereço" dataDxfId="29"/>
    <tableColumn id="2" xr3:uid="{830AE3C6-E8BA-4BA6-A642-1A27B47757DE}" name="ID_Cliente" dataDxfId="28"/>
    <tableColumn id="3" xr3:uid="{037CC3ED-F404-492D-AE6D-EEF75840F545}" name="Cep" dataDxfId="27"/>
    <tableColumn id="4" xr3:uid="{3C4C098F-2099-4714-8893-C33AD5974CD2}" name="Estado" dataDxfId="26"/>
    <tableColumn id="5" xr3:uid="{A8DD0B16-D54F-4328-9938-18798330968C}" name="Cidade" dataDxfId="25"/>
    <tableColumn id="6" xr3:uid="{BEDC4AD2-B43A-48DF-BC30-6E36B5977D99}" name="Bairro" dataDxfId="24"/>
    <tableColumn id="7" xr3:uid="{F753C26D-F4F3-4565-9C50-5C556E83F3E5}" name="Rua" dataDxfId="23"/>
    <tableColumn id="8" xr3:uid="{FA9C86CA-2D49-4388-A30C-CE091518ABC9}" name="Casa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5C0F86-AFF1-433A-9868-AA9D6B5EC925}" name="Tabela5" displayName="Tabela5" ref="A3:G4" totalsRowShown="0" headerRowDxfId="21" tableBorderDxfId="20">
  <autoFilter ref="A3:G4" xr:uid="{705C0F86-AFF1-433A-9868-AA9D6B5EC9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1D0B038-A258-4D32-82EC-DCF5155A9A45}" name="ID_Cliente" dataDxfId="19"/>
    <tableColumn id="2" xr3:uid="{4BC761FB-A50D-4A3E-A04A-13BCE48D81E5}" name="Nome" dataDxfId="18"/>
    <tableColumn id="3" xr3:uid="{1BA9610E-E229-489C-95C8-8E01390D212B}" name="CPF" dataDxfId="17" dataCellStyle="Vírgula"/>
    <tableColumn id="4" xr3:uid="{FC35D252-A388-43F9-8784-3DAB3D570CF5}" name="Contato 1" dataDxfId="16"/>
    <tableColumn id="5" xr3:uid="{3A863746-2DA7-419E-AF96-0A6F5BCF27EE}" name="Contato 2" dataDxfId="15"/>
    <tableColumn id="6" xr3:uid="{274CCA5F-3A4E-40F8-A879-8E1FF92DCFE7}" name="Email" dataDxfId="14" dataCellStyle="Hiperlink"/>
    <tableColumn id="7" xr3:uid="{1C52D630-1CE5-4E70-B899-1991A3D72E30}" name="id_endereç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811BB-506D-42FE-A615-219AB57307B9}" name="Tabela1" displayName="Tabela1" ref="A4:E5" totalsRowShown="0" headerRowDxfId="13" headerRowBorderDxfId="12" tableBorderDxfId="11" totalsRowBorderDxfId="10">
  <autoFilter ref="A4:E5" xr:uid="{EE4811BB-506D-42FE-A615-219AB57307B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3303AB8-5544-41E1-A1F9-E89D83E75351}" name="I.P.C.A" dataDxfId="9"/>
    <tableColumn id="2" xr3:uid="{B6A6E913-9D60-4414-BB38-3673E5F2DBAE}" name="Multa por atraso" dataDxfId="8"/>
    <tableColumn id="3" xr3:uid="{FCD7154A-97C5-4A10-B77F-81D0638431B0}" name="I.O.F Fixo" dataDxfId="7"/>
    <tableColumn id="4" xr3:uid="{5B53F2D1-742D-4074-9885-6B83AD332895}" name="I.O.F Diário" dataDxfId="6"/>
    <tableColumn id="5" xr3:uid="{A9924431-3281-4A6A-9FE6-E056ACE36D4A}" name="Taxa administrativa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F63444-1C35-4651-89E7-7204E105822A}" name="Tabela3" displayName="Tabela3" ref="A3:A4" totalsRowShown="0" headerRowDxfId="4" headerRowBorderDxfId="3" tableBorderDxfId="2" totalsRowBorderDxfId="1">
  <autoFilter ref="A3:A4" xr:uid="{EFF63444-1C35-4651-89E7-7204E105822A}">
    <filterColumn colId="0" hiddenButton="1"/>
  </autoFilter>
  <tableColumns count="1">
    <tableColumn id="1" xr3:uid="{CB40E030-9DDD-4DF5-A703-408EB215D073}" name="Saldo a receber" dataDxfId="0">
      <calculatedColumnFormula>SUMIF(Tabela2[Status],"À Pagar",Tabela2[Valor Faltante])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hyperlink" Target="mailto:rodriguesarmando225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A8D6-C7F6-48A7-8E4A-E54255004314}">
  <dimension ref="A1:R32"/>
  <sheetViews>
    <sheetView tabSelected="1" topLeftCell="B13" workbookViewId="0">
      <selection activeCell="Q28" sqref="Q28"/>
    </sheetView>
  </sheetViews>
  <sheetFormatPr defaultRowHeight="15" x14ac:dyDescent="0.25"/>
  <cols>
    <col min="1" max="1" width="10.5703125" bestFit="1" customWidth="1"/>
    <col min="2" max="2" width="31.28515625" bestFit="1" customWidth="1"/>
    <col min="3" max="3" width="13.28515625" bestFit="1" customWidth="1"/>
    <col min="4" max="4" width="10.42578125" bestFit="1" customWidth="1"/>
    <col min="5" max="5" width="6.140625" bestFit="1" customWidth="1"/>
    <col min="6" max="6" width="11.85546875" customWidth="1"/>
    <col min="7" max="7" width="11.85546875" bestFit="1" customWidth="1"/>
    <col min="8" max="8" width="14.5703125" bestFit="1" customWidth="1"/>
    <col min="9" max="9" width="9.28515625" bestFit="1" customWidth="1"/>
    <col min="10" max="10" width="13.85546875" bestFit="1" customWidth="1"/>
    <col min="11" max="11" width="8.5703125" bestFit="1" customWidth="1"/>
    <col min="12" max="12" width="9" bestFit="1" customWidth="1"/>
    <col min="13" max="13" width="15.85546875" customWidth="1"/>
    <col min="14" max="14" width="13.28515625" bestFit="1" customWidth="1"/>
    <col min="15" max="15" width="14" bestFit="1" customWidth="1"/>
    <col min="16" max="17" width="13.28515625" bestFit="1" customWidth="1"/>
    <col min="18" max="18" width="12.140625" bestFit="1" customWidth="1"/>
    <col min="19" max="20" width="9.5703125" bestFit="1" customWidth="1"/>
  </cols>
  <sheetData>
    <row r="1" spans="1:18" x14ac:dyDescent="0.25"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x14ac:dyDescent="0.25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5" spans="1:18" ht="33" customHeight="1" x14ac:dyDescent="0.25">
      <c r="A5" s="20" t="s">
        <v>24</v>
      </c>
      <c r="B5" s="9" t="s">
        <v>1</v>
      </c>
      <c r="C5" s="9" t="s">
        <v>2</v>
      </c>
      <c r="D5" s="9" t="s">
        <v>3</v>
      </c>
      <c r="E5" s="9" t="s">
        <v>4</v>
      </c>
      <c r="F5" s="10" t="s">
        <v>23</v>
      </c>
      <c r="G5" s="9" t="s">
        <v>6</v>
      </c>
      <c r="H5" s="9" t="s">
        <v>32</v>
      </c>
      <c r="I5" s="10" t="s">
        <v>22</v>
      </c>
      <c r="J5" s="10" t="s">
        <v>25</v>
      </c>
      <c r="K5" s="9" t="s">
        <v>7</v>
      </c>
      <c r="L5" s="10" t="s">
        <v>28</v>
      </c>
      <c r="M5" s="10" t="s">
        <v>8</v>
      </c>
      <c r="N5" s="11" t="s">
        <v>9</v>
      </c>
      <c r="O5" s="11" t="s">
        <v>30</v>
      </c>
      <c r="P5" s="11" t="s">
        <v>48</v>
      </c>
      <c r="Q5" s="10" t="s">
        <v>29</v>
      </c>
    </row>
    <row r="6" spans="1:18" x14ac:dyDescent="0.25">
      <c r="A6" s="21">
        <v>1</v>
      </c>
      <c r="B6" s="12" t="str">
        <f>VLOOKUP(Tabela2[[#This Row],[ID_Cliente]],Tabela5[#All],2,0)</f>
        <v>Armando rodrigues progenio neto</v>
      </c>
      <c r="C6" s="14">
        <v>53.5</v>
      </c>
      <c r="D6" s="15">
        <v>45689</v>
      </c>
      <c r="E6" s="16">
        <f>SUM(Encargos!$A$5/12,Encargos!$C$5,Encargos!$E$5)</f>
        <v>3.2500000000000001E-2</v>
      </c>
      <c r="F6" s="17" cm="1">
        <f t="array" ref="F6">Tabela1[Multa por atraso]</f>
        <v>0.01</v>
      </c>
      <c r="G6" s="15">
        <v>45694</v>
      </c>
      <c r="H6" s="15">
        <v>45696</v>
      </c>
      <c r="I6" s="18">
        <v>5</v>
      </c>
      <c r="J6" s="18">
        <f ca="1">IF(TODAY()-G6&lt;0,"No prazo",IF(Tabela2[[#This Row],[Status]]="Pago",Tabela2[[#This Row],[Dia pagamento]]-Tabela2[[#This Row],[Vencimento]],TODAY()-G6))</f>
        <v>2</v>
      </c>
      <c r="K6" s="13">
        <v>1</v>
      </c>
      <c r="L6" s="13">
        <v>1</v>
      </c>
      <c r="M6" s="14" cm="1">
        <f t="array" aca="1" ref="M6" ca="1">(C6+(C6*(E6*Tabela2[[#This Row],[Parcelas]]))+(C6*(Tabela1[I.O.F Diário]*Clientes!I6)))/K6+IF(TODAY()&gt;G6,(C6*(F6*J6)),0)</f>
        <v>56.330685000000003</v>
      </c>
      <c r="N6" s="19">
        <f t="shared" ref="N6:N11" ca="1" si="0">M6*K6</f>
        <v>56.330685000000003</v>
      </c>
      <c r="O6" s="19" t="s">
        <v>31</v>
      </c>
      <c r="P6" s="19">
        <f ca="1">Tabela2[[#This Row],[Total]]-Tabela2[[#This Row],[Valor]]</f>
        <v>2.8306850000000026</v>
      </c>
      <c r="Q6" s="22">
        <f ca="1">Tabela2[[#This Row],[Valor parcela]]*Tabela2[[#This Row],[Parcelas faltantes]]</f>
        <v>56.330685000000003</v>
      </c>
    </row>
    <row r="7" spans="1:18" x14ac:dyDescent="0.25">
      <c r="A7" s="21">
        <v>1</v>
      </c>
      <c r="B7" s="12" t="str">
        <f>VLOOKUP(Tabela2[[#This Row],[ID_Cliente]],Tabela5[#All],2,0)</f>
        <v>Armando rodrigues progenio neto</v>
      </c>
      <c r="C7" s="14">
        <v>54.78</v>
      </c>
      <c r="D7" s="15">
        <v>45696</v>
      </c>
      <c r="E7" s="16">
        <f>SUM(Encargos!$A$5/12,Encargos!$C$5,Encargos!$E$5)</f>
        <v>3.2500000000000001E-2</v>
      </c>
      <c r="F7" s="17" cm="1">
        <f t="array" ref="F7">Tabela1[Multa por atraso]</f>
        <v>0.01</v>
      </c>
      <c r="G7" s="15">
        <v>45708</v>
      </c>
      <c r="H7" s="15">
        <v>45708</v>
      </c>
      <c r="I7" s="18">
        <v>12</v>
      </c>
      <c r="J7" s="18">
        <f ca="1">IF(TODAY()-G7&lt;0,"No prazo",IF(Tabela2[[#This Row],[Status]]="Pago",Tabela2[[#This Row],[Dia pagamento]]-Tabela2[[#This Row],[Vencimento]],TODAY()-G7))</f>
        <v>0</v>
      </c>
      <c r="K7" s="13">
        <v>1</v>
      </c>
      <c r="L7" s="13">
        <v>1</v>
      </c>
      <c r="M7" s="14" cm="1">
        <f t="array" aca="1" ref="M7" ca="1">(C7+(C7*(E7*Tabela2[[#This Row],[Parcelas]]))+(C7*(Tabela1[I.O.F Diário]*Clientes!I7)))/K7+IF(TODAY()&gt;G7,(C7*(F7*J7)),0)</f>
        <v>56.614253519999998</v>
      </c>
      <c r="N7" s="19">
        <f t="shared" ca="1" si="0"/>
        <v>56.614253519999998</v>
      </c>
      <c r="O7" s="19" t="s">
        <v>31</v>
      </c>
      <c r="P7" s="19">
        <f ca="1">Tabela2[[#This Row],[Total]]-Tabela2[[#This Row],[Valor]]</f>
        <v>1.8342535199999972</v>
      </c>
      <c r="Q7" s="32">
        <f ca="1">Tabela2[[#This Row],[Valor parcela]]*Tabela2[[#This Row],[Parcelas faltantes]]</f>
        <v>56.614253519999998</v>
      </c>
    </row>
    <row r="8" spans="1:18" x14ac:dyDescent="0.25">
      <c r="A8" s="21">
        <v>1</v>
      </c>
      <c r="B8" s="12" t="str">
        <f>VLOOKUP(Tabela2[[#This Row],[ID_Cliente]],Tabela5[#All],2,0)</f>
        <v>Armando rodrigues progenio neto</v>
      </c>
      <c r="C8" s="14">
        <v>87.490000000000009</v>
      </c>
      <c r="D8" s="15">
        <v>45717</v>
      </c>
      <c r="E8" s="16">
        <f>SUM(Encargos!$A$5/12,Encargos!$C$5,Encargos!$E$5)</f>
        <v>3.2500000000000001E-2</v>
      </c>
      <c r="F8" s="17" cm="1">
        <f t="array" ref="F8">Tabela1[Multa por atraso]</f>
        <v>0.01</v>
      </c>
      <c r="G8" s="15">
        <v>45722</v>
      </c>
      <c r="H8" s="15">
        <v>45722</v>
      </c>
      <c r="I8" s="18">
        <v>5</v>
      </c>
      <c r="J8" s="18">
        <f ca="1">IF(TODAY()-G8&lt;0,"No prazo",IF(Tabela2[[#This Row],[Status]]="Pago",Tabela2[[#This Row],[Dia pagamento]]-Tabela2[[#This Row],[Vencimento]],TODAY()-G8))</f>
        <v>0</v>
      </c>
      <c r="K8" s="13">
        <v>1</v>
      </c>
      <c r="L8" s="13">
        <v>1</v>
      </c>
      <c r="M8" s="14" cm="1">
        <f t="array" aca="1" ref="M8" ca="1">(C8+(C8*(E8*Tabela2[[#This Row],[Parcelas]]))+(C8*(Tabela1[I.O.F Diário]*Clientes!I8)))/K8+IF(TODAY()&gt;G8,(C8*(F8*J8)),0)</f>
        <v>90.369295900000012</v>
      </c>
      <c r="N8" s="19">
        <f t="shared" ca="1" si="0"/>
        <v>90.369295900000012</v>
      </c>
      <c r="O8" s="19" t="s">
        <v>31</v>
      </c>
      <c r="P8" s="19">
        <f ca="1">Tabela2[[#This Row],[Total]]-Tabela2[[#This Row],[Valor]]</f>
        <v>2.8792959000000025</v>
      </c>
      <c r="Q8" s="32">
        <f ca="1">Tabela2[[#This Row],[Valor parcela]]*Tabela2[[#This Row],[Parcelas faltantes]]</f>
        <v>90.369295900000012</v>
      </c>
    </row>
    <row r="9" spans="1:18" x14ac:dyDescent="0.25">
      <c r="A9" s="21">
        <v>1</v>
      </c>
      <c r="B9" s="12" t="str">
        <f>VLOOKUP(Tabela2[[#This Row],[ID_Cliente]],Tabela5[#All],2,0)</f>
        <v>Armando rodrigues progenio neto</v>
      </c>
      <c r="C9" s="14">
        <v>9.75</v>
      </c>
      <c r="D9" s="15">
        <v>45724</v>
      </c>
      <c r="E9" s="16">
        <f>SUM(Encargos!$A$5/12,Encargos!$C$5,Encargos!$E$5)</f>
        <v>3.2500000000000001E-2</v>
      </c>
      <c r="F9" s="17" cm="1">
        <f t="array" ref="F9">Tabela1[Multa por atraso]</f>
        <v>0.01</v>
      </c>
      <c r="G9" s="15">
        <v>45736</v>
      </c>
      <c r="H9" s="15">
        <v>45730</v>
      </c>
      <c r="I9" s="18">
        <v>12</v>
      </c>
      <c r="J9" s="18">
        <f ca="1">IF(TODAY()-G9&lt;0,"No prazo",IF(Tabela2[[#This Row],[Status]]="Pago",Tabela2[[#This Row],[Dia pagamento]]-Tabela2[[#This Row],[Vencimento]],TODAY()-G9))</f>
        <v>-6</v>
      </c>
      <c r="K9" s="13">
        <v>1</v>
      </c>
      <c r="L9" s="13">
        <v>1</v>
      </c>
      <c r="M9" s="14" cm="1">
        <f t="array" aca="1" ref="M9" ca="1">(C9+(C9*(E9*Tabela2[[#This Row],[Parcelas]]))+(C9*(Tabela1[I.O.F Diário]*Clientes!I9)))/K9+IF(TODAY()&gt;G9,(C9*(F9*J9)),0)</f>
        <v>9.4914689999999986</v>
      </c>
      <c r="N9" s="19">
        <f t="shared" ca="1" si="0"/>
        <v>9.4914689999999986</v>
      </c>
      <c r="O9" s="19" t="s">
        <v>31</v>
      </c>
      <c r="P9" s="19">
        <f ca="1">Tabela2[[#This Row],[Total]]-Tabela2[[#This Row],[Valor]]</f>
        <v>-0.2585310000000014</v>
      </c>
      <c r="Q9" s="32">
        <f ca="1">Tabela2[[#This Row],[Valor parcela]]*Tabela2[[#This Row],[Parcelas faltantes]]</f>
        <v>9.4914689999999986</v>
      </c>
    </row>
    <row r="10" spans="1:18" x14ac:dyDescent="0.25">
      <c r="A10" s="21">
        <v>1</v>
      </c>
      <c r="B10" s="12" t="str">
        <f>VLOOKUP(Tabela2[[#This Row],[ID_Cliente]],Tabela5[#All],2,0)</f>
        <v>Armando rodrigues progenio neto</v>
      </c>
      <c r="C10" s="14">
        <v>93</v>
      </c>
      <c r="D10" s="15">
        <v>45733</v>
      </c>
      <c r="E10" s="16">
        <f>SUM(Encargos!$A$5/12,Encargos!$C$5,Encargos!$E$5)</f>
        <v>3.2500000000000001E-2</v>
      </c>
      <c r="F10" s="17" cm="1">
        <f t="array" ref="F10">Tabela1[Multa por atraso]</f>
        <v>0.01</v>
      </c>
      <c r="G10" s="15">
        <v>45736</v>
      </c>
      <c r="H10" s="15">
        <v>45736</v>
      </c>
      <c r="I10" s="18">
        <v>3</v>
      </c>
      <c r="J10" s="18">
        <f ca="1">IF(TODAY()-G10&lt;0,"No prazo",IF(Tabela2[[#This Row],[Status]]="Pago",Tabela2[[#This Row],[Dia pagamento]]-Tabela2[[#This Row],[Vencimento]],TODAY()-G10))</f>
        <v>0</v>
      </c>
      <c r="K10" s="13">
        <v>1</v>
      </c>
      <c r="L10" s="13">
        <v>1</v>
      </c>
      <c r="M10" s="14" cm="1">
        <f t="array" aca="1" ref="M10" ca="1">(C10+(C10*(E10*Tabela2[[#This Row],[Parcelas]]))+(C10*(Tabela1[I.O.F Diário]*Clientes!I10)))/K10+IF(TODAY()&gt;G10,(C10*(F10*J10)),0)</f>
        <v>96.045377999999999</v>
      </c>
      <c r="N10" s="19">
        <f t="shared" ca="1" si="0"/>
        <v>96.045377999999999</v>
      </c>
      <c r="O10" s="19" t="s">
        <v>31</v>
      </c>
      <c r="P10" s="19">
        <f ca="1">Tabela2[[#This Row],[Total]]-Tabela2[[#This Row],[Valor]]</f>
        <v>3.0453779999999995</v>
      </c>
      <c r="Q10" s="32">
        <f ca="1">Tabela2[[#This Row],[Valor parcela]]*Tabela2[[#This Row],[Parcelas faltantes]]</f>
        <v>96.045377999999999</v>
      </c>
    </row>
    <row r="11" spans="1:18" x14ac:dyDescent="0.25">
      <c r="A11" s="21">
        <v>1</v>
      </c>
      <c r="B11" s="12" t="str">
        <f>VLOOKUP(Tabela2[[#This Row],[ID_Cliente]],Tabela5[#All],2,0)</f>
        <v>Armando rodrigues progenio neto</v>
      </c>
      <c r="C11" s="14">
        <v>224.02</v>
      </c>
      <c r="D11" s="15">
        <v>45744</v>
      </c>
      <c r="E11" s="16">
        <f>SUM(Encargos!$A$5/12,Encargos!$C$5,Encargos!$E$5)</f>
        <v>3.2500000000000001E-2</v>
      </c>
      <c r="F11" s="17" cm="1">
        <f t="array" ref="F11">Tabela1[Multa por atraso]</f>
        <v>0.01</v>
      </c>
      <c r="G11" s="15">
        <v>45753</v>
      </c>
      <c r="H11" s="15">
        <v>45751</v>
      </c>
      <c r="I11" s="18">
        <v>9</v>
      </c>
      <c r="J11" s="18">
        <f ca="1">IF(TODAY()-G11&lt;0,"No prazo",IF(Tabela2[[#This Row],[Status]]="Pago",Tabela2[[#This Row],[Dia pagamento]]-Tabela2[[#This Row],[Vencimento]],TODAY()-G11))</f>
        <v>-2</v>
      </c>
      <c r="K11" s="13">
        <v>1</v>
      </c>
      <c r="L11" s="13">
        <v>1</v>
      </c>
      <c r="M11" s="14" cm="1">
        <f t="array" aca="1" ref="M11" ca="1">(C11+(C11*(E11*Tabela2[[#This Row],[Parcelas]]))+(C11*(Tabela1[I.O.F Diário]*Clientes!I11)))/K11+IF(TODAY()&gt;G11,(C11*(F11*J11)),0)</f>
        <v>226.98557676000001</v>
      </c>
      <c r="N11" s="19">
        <f t="shared" ca="1" si="0"/>
        <v>226.98557676000001</v>
      </c>
      <c r="O11" s="19" t="s">
        <v>31</v>
      </c>
      <c r="P11" s="19">
        <f ca="1">Tabela2[[#This Row],[Total]]-Tabela2[[#This Row],[Valor]]</f>
        <v>2.9655767600000047</v>
      </c>
      <c r="Q11" s="32">
        <f ca="1">Tabela2[[#This Row],[Valor parcela]]*Tabela2[[#This Row],[Parcelas faltantes]]</f>
        <v>226.98557676000001</v>
      </c>
    </row>
    <row r="12" spans="1:18" x14ac:dyDescent="0.25">
      <c r="A12" s="21">
        <v>1</v>
      </c>
      <c r="B12" s="12" t="str">
        <f>VLOOKUP(Tabela2[[#This Row],[ID_Cliente]],Tabela5[#All],2,0)</f>
        <v>Armando rodrigues progenio neto</v>
      </c>
      <c r="C12" s="14">
        <v>309.27999999999997</v>
      </c>
      <c r="D12" s="15">
        <v>45752</v>
      </c>
      <c r="E12" s="16">
        <f>SUM(Encargos!$A$5/12,Encargos!$C$5,Encargos!$E$5)</f>
        <v>3.2500000000000001E-2</v>
      </c>
      <c r="F12" s="17" cm="1">
        <f t="array" ref="F12">Tabela1[Multa por atraso]</f>
        <v>0.01</v>
      </c>
      <c r="G12" s="15">
        <v>45767</v>
      </c>
      <c r="H12" s="15">
        <v>45765</v>
      </c>
      <c r="I12" s="18">
        <v>15</v>
      </c>
      <c r="J12" s="18">
        <f ca="1">IF(TODAY()-G12&lt;0,"No prazo",IF(Tabela2[[#This Row],[Status]]="Pago",Tabela2[[#This Row],[Dia pagamento]]-Tabela2[[#This Row],[Vencimento]],TODAY()-G12))</f>
        <v>-2</v>
      </c>
      <c r="K12" s="13">
        <v>1</v>
      </c>
      <c r="L12" s="13">
        <v>1</v>
      </c>
      <c r="M12" s="14" cm="1">
        <f t="array" aca="1" ref="M12" ca="1">(C12+(C12*(E12*Tabela2[[#This Row],[Parcelas]]))+(C12*(Tabela1[I.O.F Diário]*Clientes!I12)))/K12+IF(TODAY()&gt;G12,(C12*(F12*J12)),0)</f>
        <v>313.52641439999996</v>
      </c>
      <c r="N12" s="19">
        <f t="shared" ref="N12:N17" ca="1" si="1">M12*K12</f>
        <v>313.52641439999996</v>
      </c>
      <c r="O12" s="19" t="s">
        <v>31</v>
      </c>
      <c r="P12" s="19">
        <f ca="1">Tabela2[[#This Row],[Total]]-Tabela2[[#This Row],[Valor]]</f>
        <v>4.2464143999999919</v>
      </c>
      <c r="Q12" s="32">
        <f ca="1">Tabela2[[#This Row],[Valor parcela]]*Tabela2[[#This Row],[Parcelas faltantes]]</f>
        <v>313.52641439999996</v>
      </c>
    </row>
    <row r="13" spans="1:18" x14ac:dyDescent="0.25">
      <c r="A13" s="21">
        <v>1</v>
      </c>
      <c r="B13" s="12" t="str">
        <f>VLOOKUP(Tabela2[[#This Row],[ID_Cliente]],Tabela5[#All],2,0)</f>
        <v>Armando rodrigues progenio neto</v>
      </c>
      <c r="C13" s="14">
        <v>347.6</v>
      </c>
      <c r="D13" s="15">
        <v>45765</v>
      </c>
      <c r="E13" s="16">
        <f>SUM(Encargos!$A$5/12,Encargos!$C$5,Encargos!$E$5)</f>
        <v>3.2500000000000001E-2</v>
      </c>
      <c r="F13" s="17" cm="1">
        <f t="array" ref="F13">Tabela1[Multa por atraso]</f>
        <v>0.01</v>
      </c>
      <c r="G13" s="15">
        <v>45783</v>
      </c>
      <c r="H13" s="15">
        <v>45776</v>
      </c>
      <c r="I13" s="18">
        <v>18</v>
      </c>
      <c r="J13" s="18">
        <f ca="1">IF(TODAY()-G13&lt;0,"No prazo",IF(Tabela2[[#This Row],[Status]]="Pago",Tabela2[[#This Row],[Dia pagamento]]-Tabela2[[#This Row],[Vencimento]],TODAY()-G13))</f>
        <v>-7</v>
      </c>
      <c r="K13" s="13">
        <v>1</v>
      </c>
      <c r="L13" s="13">
        <v>1</v>
      </c>
      <c r="M13" s="14" cm="1">
        <f t="array" aca="1" ref="M13" ca="1">(C13+(C13*(E13*Tabela2[[#This Row],[Parcelas]]))+(C13*(Tabela1[I.O.F Diário]*Clientes!I13)))/K13+IF(TODAY()&gt;G13,(C13*(F13*J13)),0)</f>
        <v>335.07805760000008</v>
      </c>
      <c r="N13" s="19">
        <f t="shared" ca="1" si="1"/>
        <v>335.07805760000008</v>
      </c>
      <c r="O13" s="19" t="s">
        <v>31</v>
      </c>
      <c r="P13" s="19">
        <f ca="1">Tabela2[[#This Row],[Total]]-Tabela2[[#This Row],[Valor]]</f>
        <v>-12.521942399999944</v>
      </c>
      <c r="Q13" s="32">
        <f ca="1">Tabela2[[#This Row],[Valor parcela]]*Tabela2[[#This Row],[Parcelas faltantes]]</f>
        <v>335.07805760000008</v>
      </c>
    </row>
    <row r="14" spans="1:18" x14ac:dyDescent="0.25">
      <c r="A14" s="21">
        <v>1</v>
      </c>
      <c r="B14" s="12" t="str">
        <f>VLOOKUP(Tabela2[[#This Row],[ID_Cliente]],Tabela5[#All],2,0)</f>
        <v>Armando rodrigues progenio neto</v>
      </c>
      <c r="C14" s="14">
        <v>492.06000000000006</v>
      </c>
      <c r="D14" s="15">
        <v>45776</v>
      </c>
      <c r="E14" s="16">
        <f>SUM(Encargos!$A$5/12,Encargos!$C$5,Encargos!$E$5)</f>
        <v>3.2500000000000001E-2</v>
      </c>
      <c r="F14" s="17" cm="1">
        <f t="array" ref="F14">Tabela1[Multa por atraso]</f>
        <v>0.01</v>
      </c>
      <c r="G14" s="15">
        <v>45814</v>
      </c>
      <c r="H14" s="15">
        <v>45794</v>
      </c>
      <c r="I14" s="18">
        <v>38</v>
      </c>
      <c r="J14" s="18">
        <f ca="1">IF(TODAY()-G14&lt;0,"No prazo",IF(Tabela2[[#This Row],[Status]]="Pago",Tabela2[[#This Row],[Dia pagamento]]-Tabela2[[#This Row],[Vencimento]],TODAY()-G14))</f>
        <v>-20</v>
      </c>
      <c r="K14" s="13">
        <v>2</v>
      </c>
      <c r="L14" s="13">
        <v>1</v>
      </c>
      <c r="M14" s="14" cm="1">
        <f t="array" aca="1" ref="M14" ca="1">(C14+(C14*(E14*Tabela2[[#This Row],[Parcelas]]))+(C14*(Tabela1[I.O.F Diário]*Clientes!I14)))/K14+IF(TODAY()&gt;G14,(C14*(F14*J14)),0)</f>
        <v>164.37657948000003</v>
      </c>
      <c r="N14" s="19">
        <f t="shared" ca="1" si="1"/>
        <v>328.75315896000006</v>
      </c>
      <c r="O14" s="19" t="s">
        <v>31</v>
      </c>
      <c r="P14" s="19">
        <f ca="1">Tabela2[[#This Row],[Total]]-Tabela2[[#This Row],[Valor]]</f>
        <v>-163.30684103999999</v>
      </c>
      <c r="Q14" s="32">
        <f ca="1">Tabela2[[#This Row],[Valor parcela]]*Tabela2[[#This Row],[Parcelas faltantes]]</f>
        <v>164.37657948000003</v>
      </c>
    </row>
    <row r="15" spans="1:18" x14ac:dyDescent="0.25">
      <c r="A15" s="21">
        <v>1</v>
      </c>
      <c r="B15" s="12" t="str">
        <f>VLOOKUP(Tabela2[[#This Row],[ID_Cliente]],Tabela5[#All],2,0)</f>
        <v>Armando rodrigues progenio neto</v>
      </c>
      <c r="C15" s="14">
        <v>485.27000000000004</v>
      </c>
      <c r="D15" s="15">
        <v>45794</v>
      </c>
      <c r="E15" s="16">
        <f>SUM(Encargos!$A$5/12,Encargos!$C$5,Encargos!$E$5)</f>
        <v>3.2500000000000001E-2</v>
      </c>
      <c r="F15" s="17" cm="1">
        <f t="array" ref="F15">Tabela1[Multa por atraso]</f>
        <v>0.01</v>
      </c>
      <c r="G15" s="15">
        <v>45844</v>
      </c>
      <c r="H15" s="15">
        <v>45805</v>
      </c>
      <c r="I15" s="18">
        <v>52</v>
      </c>
      <c r="J15" s="18">
        <f ca="1">IF(TODAY()-G15&lt;0,"No prazo",IF(Tabela2[[#This Row],[Status]]="Pago",Tabela2[[#This Row],[Dia pagamento]]-Tabela2[[#This Row],[Vencimento]],TODAY()-G15))</f>
        <v>-39</v>
      </c>
      <c r="K15" s="13">
        <v>2</v>
      </c>
      <c r="L15" s="13">
        <v>1</v>
      </c>
      <c r="M15" s="14" cm="1">
        <f t="array" aca="1" ref="M15" ca="1">(C15+(C15*(E15*Tabela2[[#This Row],[Parcelas]]))+(C15*(Tabela1[I.O.F Diário]*Clientes!I15)))/K15+IF(TODAY()&gt;G15,(C15*(F15*J15)),0)</f>
        <v>70.18557063999998</v>
      </c>
      <c r="N15" s="19">
        <f t="shared" ca="1" si="1"/>
        <v>140.37114127999996</v>
      </c>
      <c r="O15" s="19" t="s">
        <v>31</v>
      </c>
      <c r="P15" s="19">
        <f ca="1">Tabela2[[#This Row],[Total]]-Tabela2[[#This Row],[Valor]]</f>
        <v>-344.89885872000008</v>
      </c>
      <c r="Q15" s="32">
        <f ca="1">Tabela2[[#This Row],[Valor parcela]]*Tabela2[[#This Row],[Parcelas faltantes]]-30</f>
        <v>40.18557063999998</v>
      </c>
    </row>
    <row r="16" spans="1:18" x14ac:dyDescent="0.25">
      <c r="A16" s="21">
        <v>1</v>
      </c>
      <c r="B16" s="12" t="str">
        <f>VLOOKUP(Tabela2[[#This Row],[ID_Cliente]],Tabela5[#All],2,0)</f>
        <v>Armando rodrigues progenio neto</v>
      </c>
      <c r="C16" s="14">
        <v>620</v>
      </c>
      <c r="D16" s="15">
        <v>45805</v>
      </c>
      <c r="E16" s="16">
        <f>SUM(Encargos!$A$5/12,Encargos!$C$5,Encargos!$E$5)</f>
        <v>3.2500000000000001E-2</v>
      </c>
      <c r="F16" s="17" cm="1">
        <f t="array" ref="F16">Tabela1[Multa por atraso]</f>
        <v>0.01</v>
      </c>
      <c r="G16" s="15">
        <v>45805</v>
      </c>
      <c r="H16" s="15">
        <v>45814</v>
      </c>
      <c r="I16" s="18">
        <v>39</v>
      </c>
      <c r="J16" s="18">
        <f ca="1">IF(TODAY()-G16&lt;0,"No prazo",IF(Tabela2[[#This Row],[Status]]="Pago",Tabela2[[#This Row],[Dia pagamento]]-Tabela2[[#This Row],[Vencimento]],TODAY()-G16))</f>
        <v>9</v>
      </c>
      <c r="K16" s="13">
        <v>2</v>
      </c>
      <c r="L16" s="13">
        <v>2</v>
      </c>
      <c r="M16" s="14" cm="1">
        <f t="array" aca="1" ref="M16" ca="1">(C16+(C16*(E16*Tabela2[[#This Row],[Parcelas]]))+(C16*(Tabela1[I.O.F Diário]*Clientes!I16)))/K16+IF(TODAY()&gt;G16,(C16*(F16*J16)),0)</f>
        <v>386.94137999999998</v>
      </c>
      <c r="N16" s="19">
        <f t="shared" ca="1" si="1"/>
        <v>773.88275999999996</v>
      </c>
      <c r="O16" s="19" t="s">
        <v>31</v>
      </c>
      <c r="P16" s="19">
        <f ca="1">Tabela2[[#This Row],[Total]]-Tabela2[[#This Row],[Valor]]</f>
        <v>153.88275999999996</v>
      </c>
      <c r="Q16" s="32">
        <f ca="1">Tabela2[[#This Row],[Valor parcela]]*Tabela2[[#This Row],[Parcelas faltantes]]</f>
        <v>773.88275999999996</v>
      </c>
    </row>
    <row r="17" spans="1:18" x14ac:dyDescent="0.25">
      <c r="A17" s="21">
        <v>1</v>
      </c>
      <c r="B17" s="12" t="str">
        <f>VLOOKUP(Tabela2[[#This Row],[ID_Cliente]],Tabela5[#All],2,0)</f>
        <v>Armando rodrigues progenio neto</v>
      </c>
      <c r="C17" s="14">
        <v>379.08</v>
      </c>
      <c r="D17" s="15">
        <v>45818</v>
      </c>
      <c r="E17" s="16">
        <f>SUM(Encargos!$A$5/12,Encargos!$C$5,Encargos!$E$5)</f>
        <v>3.2500000000000001E-2</v>
      </c>
      <c r="F17" s="17" cm="1">
        <f t="array" ref="F17">Tabela1[Multa por atraso]</f>
        <v>0.01</v>
      </c>
      <c r="G17" s="15">
        <v>45875</v>
      </c>
      <c r="H17" s="15">
        <v>45842</v>
      </c>
      <c r="I17" s="18">
        <v>57</v>
      </c>
      <c r="J17" s="18">
        <v>57</v>
      </c>
      <c r="K17" s="13">
        <v>2</v>
      </c>
      <c r="L17" s="13">
        <v>2</v>
      </c>
      <c r="M17" s="14" cm="1">
        <f t="array" aca="1" ref="M17" ca="1">(C17+(C17*(E17*Tabela2[[#This Row],[Parcelas]]))+(C17*(Tabela1[I.O.F Diário]*Clientes!I17)))/K17+IF(TODAY()&gt;G17,(C17*(F17*J17)),0)</f>
        <v>418.82160995999999</v>
      </c>
      <c r="N17" s="19">
        <f t="shared" ca="1" si="1"/>
        <v>837.64321991999998</v>
      </c>
      <c r="O17" s="19" t="s">
        <v>31</v>
      </c>
      <c r="P17" s="19">
        <f ca="1">Tabela2[[#This Row],[Total]]-Tabela2[[#This Row],[Valor]]</f>
        <v>458.56321991999999</v>
      </c>
      <c r="Q17" s="32">
        <f ca="1">Tabela2[[#This Row],[Valor parcela]]*Tabela2[[#This Row],[Parcelas faltantes]]</f>
        <v>837.64321991999998</v>
      </c>
    </row>
    <row r="18" spans="1:18" x14ac:dyDescent="0.25">
      <c r="A18" s="21">
        <v>1</v>
      </c>
      <c r="B18" s="12" t="str">
        <f>VLOOKUP(Tabela2[[#This Row],[ID_Cliente]],Tabela5[#All],2,0)</f>
        <v>Armando rodrigues progenio neto</v>
      </c>
      <c r="C18" s="14">
        <v>472.93</v>
      </c>
      <c r="D18" s="15">
        <v>45842</v>
      </c>
      <c r="E18" s="16">
        <f>SUM(Encargos!$A$5/12,Encargos!$C$5,Encargos!$E$5)</f>
        <v>3.2500000000000001E-2</v>
      </c>
      <c r="F18" s="17" cm="1">
        <f t="array" ref="F18">Tabela1[Multa por atraso]</f>
        <v>0.01</v>
      </c>
      <c r="G18" s="15">
        <v>45875</v>
      </c>
      <c r="H18" s="15">
        <v>45886</v>
      </c>
      <c r="I18" s="18">
        <v>30</v>
      </c>
      <c r="J18" s="18">
        <f ca="1">IF(TODAY()-G18&lt;0,"No prazo",IF(Tabela2[[#This Row],[Status]]="Pago",Tabela2[[#This Row],[Dia pagamento]]-Tabela2[[#This Row],[Vencimento]],TODAY()-G18))</f>
        <v>11</v>
      </c>
      <c r="K18" s="13">
        <v>2</v>
      </c>
      <c r="L18" s="13">
        <v>2</v>
      </c>
      <c r="M18" s="14" cm="1">
        <f t="array" aca="1" ref="M18" ca="1">(C18+(C18*(E18*Tabela2[[#This Row],[Parcelas]]))+(C18*(Tabela1[I.O.F Diário]*Clientes!I18)))/K18+IF(TODAY()&gt;G18,(C18*(F18*J18)),0)</f>
        <v>304.43922889999999</v>
      </c>
      <c r="N18" s="19">
        <f t="shared" ref="N18:N23" ca="1" si="2">M18*K18</f>
        <v>608.87845779999998</v>
      </c>
      <c r="O18" s="19" t="s">
        <v>31</v>
      </c>
      <c r="P18" s="19">
        <f ca="1">Tabela2[[#This Row],[Total]]-Tabela2[[#This Row],[Valor]]</f>
        <v>135.94845779999997</v>
      </c>
      <c r="Q18" s="32">
        <f ca="1">Tabela2[[#This Row],[Valor parcela]]*Tabela2[[#This Row],[Parcelas faltantes]]</f>
        <v>608.87845779999998</v>
      </c>
    </row>
    <row r="19" spans="1:18" x14ac:dyDescent="0.25">
      <c r="A19" s="21">
        <v>1</v>
      </c>
      <c r="B19" s="12" t="str">
        <f>VLOOKUP(Tabela2[[#This Row],[ID_Cliente]],Tabela5[#All],2,0)</f>
        <v>Armando rodrigues progenio neto</v>
      </c>
      <c r="C19" s="14">
        <v>1093</v>
      </c>
      <c r="D19" s="15">
        <v>45886</v>
      </c>
      <c r="E19" s="16">
        <f>SUM(Encargos!$A$5/12,Encargos!$C$5,Encargos!$E$5)</f>
        <v>3.2500000000000001E-2</v>
      </c>
      <c r="F19" s="17" cm="1">
        <f t="array" ref="F19">Tabela1[Multa por atraso]</f>
        <v>0.01</v>
      </c>
      <c r="G19" s="15">
        <v>45997</v>
      </c>
      <c r="H19" s="15">
        <v>45936</v>
      </c>
      <c r="I19" s="18">
        <v>111</v>
      </c>
      <c r="J19" s="18">
        <f ca="1">IF(TODAY()-G19&lt;0,"No prazo",IF(Tabela2[[#This Row],[Status]]="Pago",Tabela2[[#This Row],[Dia pagamento]]-Tabela2[[#This Row],[Vencimento]],TODAY()-G19))</f>
        <v>-61</v>
      </c>
      <c r="K19" s="13">
        <v>4</v>
      </c>
      <c r="L19" s="13">
        <v>4</v>
      </c>
      <c r="M19" s="14" cm="1">
        <f t="array" aca="1" ref="M19" ca="1">(C19+(C19*(E19*Tabela2[[#This Row],[Parcelas]]))+(C19*(Tabela1[I.O.F Diário]*Clientes!I19)))/K19+IF(TODAY()&gt;G19,(C19*(F19*J19)),0)</f>
        <v>-355.47037850000004</v>
      </c>
      <c r="N19" s="19">
        <f t="shared" ca="1" si="2"/>
        <v>-1421.8815140000002</v>
      </c>
      <c r="O19" s="19" t="s">
        <v>31</v>
      </c>
      <c r="P19" s="19">
        <f ca="1">Tabela2[[#This Row],[Total]]-Tabela2[[#This Row],[Valor]]</f>
        <v>-2514.8815140000002</v>
      </c>
      <c r="Q19" s="32">
        <f ca="1">Tabela2[[#This Row],[Valor parcela]]*Tabela2[[#This Row],[Parcelas faltantes]]</f>
        <v>-1421.8815140000002</v>
      </c>
    </row>
    <row r="20" spans="1:18" x14ac:dyDescent="0.25">
      <c r="A20" s="21">
        <v>1</v>
      </c>
      <c r="B20" s="12" t="str">
        <f>VLOOKUP(Tabela2[[#This Row],[ID_Cliente]],Tabela5[#All],2,0)</f>
        <v>Armando rodrigues progenio neto</v>
      </c>
      <c r="C20" s="14">
        <v>1138</v>
      </c>
      <c r="D20" s="15">
        <v>45936</v>
      </c>
      <c r="E20" s="16">
        <f>SUM(Encargos!$A$5/12,Encargos!$C$5,Encargos!$E$5)</f>
        <v>3.2500000000000001E-2</v>
      </c>
      <c r="F20" s="17" cm="1">
        <f t="array" ref="F20">Tabela1[Multa por atraso]</f>
        <v>0.01</v>
      </c>
      <c r="G20" s="15">
        <v>46148</v>
      </c>
      <c r="H20" s="15">
        <v>45997</v>
      </c>
      <c r="I20" s="18">
        <v>210</v>
      </c>
      <c r="J20" s="18" t="str">
        <f ca="1">IF(TODAY()-G20&lt;0,"No prazo",IF(Tabela2[[#This Row],[Status]]="Pago",Tabela2[[#This Row],[Dia pagamento]]-Tabela2[[#This Row],[Vencimento]],TODAY()-G20))</f>
        <v>No prazo</v>
      </c>
      <c r="K20" s="13">
        <v>7</v>
      </c>
      <c r="L20" s="13">
        <v>6</v>
      </c>
      <c r="M20" s="14" cm="1">
        <f t="array" aca="1" ref="M20" ca="1">(C20+(C20*(E20*Tabela2[[#This Row],[Parcelas]]))+(C20*(Tabela1[I.O.F Diário]*Clientes!I20)))/K20+IF(TODAY()&gt;G20,(C20*(F20*J20)),0)</f>
        <v>202.35590857142856</v>
      </c>
      <c r="N20" s="19">
        <f t="shared" ca="1" si="2"/>
        <v>1416.49136</v>
      </c>
      <c r="O20" s="19" t="s">
        <v>31</v>
      </c>
      <c r="P20" s="19">
        <f ca="1">Tabela2[[#This Row],[Total]]-Tabela2[[#This Row],[Valor]]</f>
        <v>278.49135999999999</v>
      </c>
      <c r="Q20" s="32">
        <f ca="1">Tabela2[[#This Row],[Valor parcela]]*Tabela2[[#This Row],[Parcelas faltantes]]</f>
        <v>1214.1354514285713</v>
      </c>
    </row>
    <row r="21" spans="1:18" x14ac:dyDescent="0.25">
      <c r="A21" s="21">
        <v>1</v>
      </c>
      <c r="B21" s="12" t="str">
        <f>VLOOKUP(Tabela2[[#This Row],[ID_Cliente]],Tabela5[#All],2,0)</f>
        <v>Armando rodrigues progenio neto</v>
      </c>
      <c r="C21" s="14">
        <v>1234.02</v>
      </c>
      <c r="D21" s="15">
        <v>45979</v>
      </c>
      <c r="E21" s="16">
        <f>SUM(Encargos!$A$5/12,Encargos!$C$5,Encargos!$E$5)</f>
        <v>3.2500000000000001E-2</v>
      </c>
      <c r="F21" s="17" cm="1">
        <f t="array" ref="F21">Tabela1[Multa por atraso]</f>
        <v>0.01</v>
      </c>
      <c r="G21" s="15">
        <v>46179</v>
      </c>
      <c r="H21" s="15">
        <v>46024</v>
      </c>
      <c r="I21" s="18">
        <v>182</v>
      </c>
      <c r="J21" s="18" t="str">
        <f ca="1">IF(TODAY()-G21&lt;0,"No prazo",IF(Tabela2[[#This Row],[Status]]="Pago",Tabela2[[#This Row],[Dia pagamento]]-Tabela2[[#This Row],[Vencimento]],TODAY()-G21))</f>
        <v>No prazo</v>
      </c>
      <c r="K21" s="13">
        <v>6</v>
      </c>
      <c r="L21" s="13">
        <v>6</v>
      </c>
      <c r="M21" s="14" cm="1">
        <f t="array" aca="1" ref="M21" ca="1">(C21+(C21*(E21*Tabela2[[#This Row],[Parcelas]]))+(C21*(Tabela1[I.O.F Diário]*Clientes!I21)))/K21+IF(TODAY()&gt;G21,(C21*(F21*J21)),0)</f>
        <v>248.84506908</v>
      </c>
      <c r="N21" s="19">
        <f t="shared" ca="1" si="2"/>
        <v>1493.07041448</v>
      </c>
      <c r="O21" s="19" t="s">
        <v>31</v>
      </c>
      <c r="P21" s="19">
        <f ca="1">Tabela2[[#This Row],[Total]]-Tabela2[[#This Row],[Valor]]</f>
        <v>259.05041447999997</v>
      </c>
      <c r="Q21" s="32">
        <f ca="1">Tabela2[[#This Row],[Valor parcela]]*Tabela2[[#This Row],[Parcelas faltantes]]</f>
        <v>1493.07041448</v>
      </c>
    </row>
    <row r="22" spans="1:18" x14ac:dyDescent="0.25">
      <c r="A22" s="21">
        <v>1</v>
      </c>
      <c r="B22" s="12" t="str">
        <f>VLOOKUP(Tabela2[[#This Row],[ID_Cliente]],Tabela5[#All],2,0)</f>
        <v>Armando rodrigues progenio neto</v>
      </c>
      <c r="C22" s="14">
        <v>1852.5421644799999</v>
      </c>
      <c r="D22" s="15">
        <v>45659</v>
      </c>
      <c r="E22" s="16">
        <f>SUM(Encargos!$A$5/12,Encargos!$C$5,Encargos!$E$5)</f>
        <v>3.2500000000000001E-2</v>
      </c>
      <c r="F22" s="17" cm="1">
        <f t="array" ref="F22">Tabela1[Multa por atraso]</f>
        <v>0.01</v>
      </c>
      <c r="G22" s="15">
        <v>46179</v>
      </c>
      <c r="H22" s="15">
        <v>45665</v>
      </c>
      <c r="I22" s="18">
        <v>210</v>
      </c>
      <c r="J22" s="18" t="str">
        <f ca="1">IF(TODAY()-G22&lt;0,"No prazo",IF(Tabela2[[#This Row],[Status]]="Pago",Tabela2[[#This Row],[Dia pagamento]]-Tabela2[[#This Row],[Vencimento]],TODAY()-G22))</f>
        <v>No prazo</v>
      </c>
      <c r="K22" s="13">
        <v>7</v>
      </c>
      <c r="L22" s="13">
        <v>0</v>
      </c>
      <c r="M22" s="14" cm="1">
        <f t="array" aca="1" ref="M22" ca="1">(C22+(C22*(E22*Tabela2[[#This Row],[Parcelas]]))+(C22*(Tabela1[I.O.F Diário]*Clientes!I22)))/K22+IF(TODAY()&gt;G22,(C22*(F22*J22)),0)</f>
        <v>329.41375471022081</v>
      </c>
      <c r="N22" s="19">
        <f t="shared" ca="1" si="2"/>
        <v>2305.8962829715456</v>
      </c>
      <c r="O22" s="19" t="s">
        <v>31</v>
      </c>
      <c r="P22" s="19">
        <f ca="1">Tabela2[[#This Row],[Total]]-Tabela2[[#This Row],[Valor]]</f>
        <v>453.35411849154571</v>
      </c>
      <c r="Q22" s="32">
        <f ca="1">Tabela2[[#This Row],[Valor parcela]]*Tabela2[[#This Row],[Parcelas faltantes]]</f>
        <v>0</v>
      </c>
    </row>
    <row r="23" spans="1:18" x14ac:dyDescent="0.25">
      <c r="A23" s="21">
        <v>1</v>
      </c>
      <c r="B23" s="12" t="str">
        <f>VLOOKUP(Tabela2[[#This Row],[ID_Cliente]],Tabela5[#All],2,0)</f>
        <v>Armando rodrigues progenio neto</v>
      </c>
      <c r="C23" s="14">
        <f>2305.9+170</f>
        <v>2475.9</v>
      </c>
      <c r="D23" s="15">
        <v>45665</v>
      </c>
      <c r="E23" s="16">
        <f>SUM(Encargos!$A$5/12,Encargos!$C$5,Encargos!$E$5)</f>
        <v>3.2500000000000001E-2</v>
      </c>
      <c r="F23" s="17" cm="1">
        <f t="array" ref="F23">Tabela1[Multa por atraso]</f>
        <v>0.01</v>
      </c>
      <c r="G23" s="15">
        <v>46271</v>
      </c>
      <c r="H23" s="15">
        <v>45675</v>
      </c>
      <c r="I23" s="18">
        <v>241</v>
      </c>
      <c r="J23" s="18" t="str">
        <f ca="1">IF(TODAY()-G23&lt;0,"No prazo",IF(Tabela2[[#This Row],[Status]]="Pago",Tabela2[[#This Row],[Dia pagamento]]-Tabela2[[#This Row],[Vencimento]],TODAY()-G23))</f>
        <v>No prazo</v>
      </c>
      <c r="K23" s="13">
        <v>8</v>
      </c>
      <c r="L23" s="13">
        <v>7</v>
      </c>
      <c r="M23" s="14" cm="1">
        <f t="array" aca="1" ref="M23" ca="1">(C23+(C23*(E23*Tabela2[[#This Row],[Parcelas]]))+(C23*(Tabela1[I.O.F Diário]*Clientes!I23)))/K23+IF(TODAY()&gt;G23,(C23*(F23*J23)),0)</f>
        <v>396.07034197500002</v>
      </c>
      <c r="N23" s="19">
        <f t="shared" ca="1" si="2"/>
        <v>3168.5627358000002</v>
      </c>
      <c r="O23" s="19" t="s">
        <v>31</v>
      </c>
      <c r="P23" s="19">
        <f ca="1">Tabela2[[#This Row],[Total]]-Tabela2[[#This Row],[Valor]]</f>
        <v>692.66273580000006</v>
      </c>
      <c r="Q23" s="32">
        <f ca="1">Tabela2[[#This Row],[Valor parcela]]*Tabela2[[#This Row],[Parcelas faltantes]]</f>
        <v>2772.4923938250004</v>
      </c>
    </row>
    <row r="24" spans="1:18" x14ac:dyDescent="0.25">
      <c r="A24" s="21">
        <v>1</v>
      </c>
      <c r="B24" s="12" t="str">
        <f>VLOOKUP(Tabela2[[#This Row],[ID_Cliente]],Tabela5[#All],2,0)</f>
        <v>Armando rodrigues progenio neto</v>
      </c>
      <c r="C24" s="14">
        <v>2772.49</v>
      </c>
      <c r="D24" s="15">
        <v>46040</v>
      </c>
      <c r="E24" s="16">
        <f>SUM(Encargos!$A$5/12,Encargos!$C$5,Encargos!$E$5)</f>
        <v>3.2500000000000001E-2</v>
      </c>
      <c r="F24" s="17" cm="1">
        <f t="array" ref="F24">Tabela1[Multa por atraso]</f>
        <v>0.01</v>
      </c>
      <c r="G24" s="15">
        <v>46332</v>
      </c>
      <c r="H24" s="15">
        <v>46048</v>
      </c>
      <c r="I24" s="18">
        <v>292</v>
      </c>
      <c r="J24" s="18" t="str">
        <f ca="1">IF(TODAY()-G24&lt;0,"No prazo",IF(Tabela2[[#This Row],[Status]]="Pago",Tabela2[[#This Row],[Dia pagamento]]-Tabela2[[#This Row],[Vencimento]],TODAY()-G24))</f>
        <v>No prazo</v>
      </c>
      <c r="K24" s="13">
        <v>10</v>
      </c>
      <c r="L24" s="13">
        <v>10</v>
      </c>
      <c r="M24" s="14" cm="1">
        <f t="array" aca="1" ref="M24" ca="1">(C24+(C24*(E24*Tabela2[[#This Row],[Parcelas]]))+(C24*(Tabela1[I.O.F Diário]*Clientes!I24)))/K24+IF(TODAY()&gt;G24,(C24*(F24*J24)),0)</f>
        <v>373.99337505599999</v>
      </c>
      <c r="N24" s="19">
        <f ca="1">M24*K24</f>
        <v>3739.9337505599997</v>
      </c>
      <c r="O24" s="19" t="s">
        <v>31</v>
      </c>
      <c r="P24" s="19">
        <f ca="1">Tabela2[[#This Row],[Total]]-Tabela2[[#This Row],[Valor]]</f>
        <v>967.4437505599999</v>
      </c>
      <c r="Q24" s="32">
        <f ca="1">Tabela2[[#This Row],[Valor parcela]]*Tabela2[[#This Row],[Parcelas faltantes]]</f>
        <v>3739.9337505599997</v>
      </c>
    </row>
    <row r="25" spans="1:18" x14ac:dyDescent="0.25">
      <c r="A25" s="21">
        <v>2</v>
      </c>
      <c r="B25" s="12" t="s">
        <v>50</v>
      </c>
      <c r="C25" s="14">
        <v>100</v>
      </c>
      <c r="D25" s="15">
        <v>46046</v>
      </c>
      <c r="E25" s="16">
        <v>3.2500000000000001E-2</v>
      </c>
      <c r="F25" s="17">
        <v>0.01</v>
      </c>
      <c r="G25" s="15">
        <v>46077</v>
      </c>
      <c r="H25" s="15">
        <v>46079</v>
      </c>
      <c r="I25" s="18">
        <f ca="1">Tabela2[[#This Row],[Vencimento]]-TODAY()</f>
        <v>-11</v>
      </c>
      <c r="J25" s="18">
        <f ca="1">IF(TODAY()-G25&lt;0,"No prazo",IF(Tabela2[[#This Row],[Status]]="Pago",Tabela2[[#This Row],[Dia pagamento]]-Tabela2[[#This Row],[Vencimento]],TODAY()-G25))</f>
        <v>2</v>
      </c>
      <c r="K25" s="13">
        <v>1</v>
      </c>
      <c r="L25" s="13">
        <v>1</v>
      </c>
      <c r="M25" s="14" cm="1">
        <f t="array" aca="1" ref="M25" ca="1">(C25+(C25*(E25*Tabela2[[#This Row],[Parcelas]]))+(C25*(Tabela1[I.O.F Diário]*Clientes!I25)))/K25+IF(TODAY()&gt;G25,(C25*(F25*J25)),0)</f>
        <v>105.1598</v>
      </c>
      <c r="N25" s="19">
        <f ca="1">M25*K25</f>
        <v>105.1598</v>
      </c>
      <c r="O25" s="19" t="s">
        <v>31</v>
      </c>
      <c r="P25" s="19">
        <f ca="1">Tabela2[[#This Row],[Total]]-Tabela2[[#This Row],[Valor]]</f>
        <v>5.1598000000000042</v>
      </c>
      <c r="Q25" s="32">
        <f ca="1">Tabela2[[#This Row],[Valor parcela]]*Tabela2[[#This Row],[Parcelas faltantes]]</f>
        <v>105.1598</v>
      </c>
      <c r="R25" s="36">
        <f ca="1">Q22</f>
        <v>0</v>
      </c>
    </row>
    <row r="26" spans="1:18" x14ac:dyDescent="0.25">
      <c r="A26" s="21">
        <v>1</v>
      </c>
      <c r="B26" s="12" t="str">
        <f>VLOOKUP(Tabela2[[#This Row],[ID_Cliente]],Tabela5[#All],2,0)</f>
        <v>Armando rodrigues progenio neto</v>
      </c>
      <c r="C26" s="14">
        <f>3739.93+500</f>
        <v>4239.93</v>
      </c>
      <c r="D26" s="15">
        <v>46048</v>
      </c>
      <c r="E26" s="16">
        <f>SUM(Encargos!$A$5/12,Encargos!$C$5,Encargos!$E$5)</f>
        <v>3.2500000000000001E-2</v>
      </c>
      <c r="F26" s="17" cm="1">
        <f t="array" ref="F26">Tabela1[Multa por atraso]</f>
        <v>0.01</v>
      </c>
      <c r="G26" s="15">
        <v>46366</v>
      </c>
      <c r="H26" s="15">
        <v>46051</v>
      </c>
      <c r="I26" s="18">
        <v>318</v>
      </c>
      <c r="J26" s="18" t="str">
        <f ca="1">IF(TODAY()-G26&lt;0,"No prazo",IF(Tabela2[[#This Row],[Status]]="Pago",Tabela2[[#This Row],[Dia pagamento]]-Tabela2[[#This Row],[Vencimento]],TODAY()-G26))</f>
        <v>No prazo</v>
      </c>
      <c r="K26" s="13">
        <v>11</v>
      </c>
      <c r="L26" s="13">
        <v>11</v>
      </c>
      <c r="M26" s="14" cm="1">
        <f t="array" aca="1" ref="M26" ca="1">(C26+(C26*(E26*Tabela2[[#This Row],[Parcelas]]))+(C26*(Tabela1[I.O.F Diário]*Clientes!I26)))/K26+IF(TODAY()&gt;G26,(C26*(F26*J26)),0)</f>
        <v>533.29685360727274</v>
      </c>
      <c r="N26" s="19">
        <f ca="1">M26*K26</f>
        <v>5866.2653896800002</v>
      </c>
      <c r="O26" s="19" t="s">
        <v>51</v>
      </c>
      <c r="P26" s="19">
        <f ca="1">Tabela2[[#This Row],[Total]]-Tabela2[[#This Row],[Valor]]</f>
        <v>1626.3353896799999</v>
      </c>
      <c r="Q26" s="32">
        <f ca="1">Tabela2[[#This Row],[Valor parcela]]*Tabela2[[#This Row],[Parcelas faltantes]]</f>
        <v>5866.2653896800002</v>
      </c>
      <c r="R26" s="36">
        <f ca="1">Q26*R25/Q25</f>
        <v>0</v>
      </c>
    </row>
    <row r="27" spans="1:18" x14ac:dyDescent="0.25">
      <c r="A27" s="21">
        <v>1</v>
      </c>
      <c r="B27" s="12" t="str">
        <f>VLOOKUP(Tabela2[[#This Row],[ID_Cliente]],Tabela5[#All],2,0)</f>
        <v>Armando rodrigues progenio neto</v>
      </c>
      <c r="C27" s="14">
        <f>5866+1700</f>
        <v>7566</v>
      </c>
      <c r="D27" s="15">
        <v>46051</v>
      </c>
      <c r="E27" s="16">
        <f>SUM(Encargos!$A$5/12,Encargos!$C$5,Encargos!$E$5)</f>
        <v>3.2500000000000001E-2</v>
      </c>
      <c r="F27" s="17" cm="1">
        <f t="array" ref="F27">Tabela1[Multa por atraso]</f>
        <v>0.01</v>
      </c>
      <c r="G27" s="15">
        <v>46544</v>
      </c>
      <c r="H27" s="15">
        <v>46061</v>
      </c>
      <c r="I27" s="18">
        <v>493</v>
      </c>
      <c r="J27" s="18" t="str">
        <f ca="1">IF(TODAY()-G27&lt;0,"No prazo",IF(Tabela2[[#This Row],[Status]]="Pago",Tabela2[[#This Row],[Dia pagamento]]-Tabela2[[#This Row],[Vencimento]],TODAY()-G27))</f>
        <v>No prazo</v>
      </c>
      <c r="K27" s="13">
        <v>18</v>
      </c>
      <c r="L27" s="13">
        <v>17</v>
      </c>
      <c r="M27" s="14" cm="1">
        <f t="array" aca="1" ref="M27" ca="1">(C27+(C27*(E27*Tabela2[[#This Row],[Parcelas]]))+(C27*(Tabela1[I.O.F Diário]*Clientes!I27)))/K27+IF(TODAY()&gt;G27,(C27*(F27*J27)),0)</f>
        <v>683.22072866666667</v>
      </c>
      <c r="N27" s="19">
        <f ca="1">M27*K27</f>
        <v>12297.973116000001</v>
      </c>
      <c r="O27" s="19" t="s">
        <v>51</v>
      </c>
      <c r="P27" s="19">
        <f ca="1">Tabela2[[#This Row],[Total]]-Tabela2[[#This Row],[Valor]]</f>
        <v>4731.973116000001</v>
      </c>
      <c r="Q27" s="32">
        <f ca="1">Tabela2[[#This Row],[Valor parcela]]*Tabela2[[#This Row],[Parcelas faltantes]]</f>
        <v>11614.752387333334</v>
      </c>
    </row>
    <row r="28" spans="1:18" x14ac:dyDescent="0.25">
      <c r="A28" s="21">
        <v>1</v>
      </c>
      <c r="B28" s="12" t="s">
        <v>10</v>
      </c>
      <c r="C28" s="14">
        <f ca="1">Q27+200</f>
        <v>11814.752387333334</v>
      </c>
      <c r="D28" s="15">
        <v>46061</v>
      </c>
      <c r="E28" s="16">
        <f>SUM(Encargos!$A$5/12,Encargos!$C$5,Encargos!$E$5)</f>
        <v>3.2500000000000001E-2</v>
      </c>
      <c r="F28" s="17" cm="1">
        <f t="array" ref="F28">Tabela1[Multa por atraso]</f>
        <v>0.01</v>
      </c>
      <c r="G28" s="15">
        <v>46791</v>
      </c>
      <c r="H28" s="15"/>
      <c r="I28" s="18">
        <f>Tabela2[[#This Row],[Vencimento]]-Tabela2[[#This Row],[Data]]</f>
        <v>730</v>
      </c>
      <c r="J28" s="18" t="str">
        <f ca="1">IF(TODAY()-G28&lt;0,"No prazo",IF(Tabela2[[#This Row],[Status]]="Pago",Tabela2[[#This Row],[Dia pagamento]]-Tabela2[[#This Row],[Vencimento]],TODAY()-G28))</f>
        <v>No prazo</v>
      </c>
      <c r="K28" s="13">
        <v>24</v>
      </c>
      <c r="L28" s="13">
        <v>23</v>
      </c>
      <c r="M28" s="14" cm="1">
        <f t="array" aca="1" ref="M28" ca="1">(C28+(C28*(E28*Tabela2[[#This Row],[Parcelas]]))+(C28*(Tabela1[I.O.F Diário]*Clientes!I28)))/K28+IF(TODAY()&gt;G28,(C28*(F28*J28)),0)</f>
        <v>905.72876363996284</v>
      </c>
      <c r="N28" s="19">
        <f ca="1">M28*K28</f>
        <v>21737.490327359108</v>
      </c>
      <c r="O28" s="19" t="s">
        <v>49</v>
      </c>
      <c r="P28" s="19">
        <f ca="1">Tabela2[[#This Row],[Total]]-Tabela2[[#This Row],[Valor]]</f>
        <v>9922.7379400257742</v>
      </c>
      <c r="Q28" s="35">
        <f ca="1">Tabela2[[#This Row],[Valor parcela]]*Tabela2[[#This Row],[Parcelas faltantes]]</f>
        <v>20831.761563719145</v>
      </c>
    </row>
    <row r="29" spans="1:18" x14ac:dyDescent="0.25">
      <c r="I29" s="37"/>
    </row>
    <row r="32" spans="1:18" x14ac:dyDescent="0.25">
      <c r="Q32" s="36">
        <f ca="1">Q28</f>
        <v>20831.761563719145</v>
      </c>
    </row>
  </sheetData>
  <mergeCells count="1">
    <mergeCell ref="B1:R2"/>
  </mergeCells>
  <pageMargins left="0.511811024" right="0.511811024" top="0.78740157499999996" bottom="0.78740157499999996" header="0.31496062000000002" footer="0.31496062000000002"/>
  <ignoredErrors>
    <ignoredError sqref="E6 E25:F25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FA3C-E844-4DC4-918C-772FF4821F50}">
  <dimension ref="A1:R4"/>
  <sheetViews>
    <sheetView topLeftCell="E1" workbookViewId="0">
      <selection activeCell="H8" sqref="H8"/>
    </sheetView>
  </sheetViews>
  <sheetFormatPr defaultRowHeight="15" x14ac:dyDescent="0.25"/>
  <cols>
    <col min="1" max="1" width="12.7109375" customWidth="1"/>
    <col min="2" max="2" width="31.28515625" bestFit="1" customWidth="1"/>
    <col min="3" max="3" width="12" bestFit="1" customWidth="1"/>
    <col min="4" max="4" width="14.28515625" bestFit="1" customWidth="1"/>
    <col min="5" max="5" width="11.85546875" customWidth="1"/>
    <col min="6" max="6" width="32.42578125" bestFit="1" customWidth="1"/>
    <col min="7" max="7" width="14.28515625" customWidth="1"/>
    <col min="11" max="11" width="14.28515625" customWidth="1"/>
    <col min="12" max="12" width="12.7109375" customWidth="1"/>
    <col min="14" max="14" width="9.28515625" customWidth="1"/>
    <col min="15" max="15" width="11" bestFit="1" customWidth="1"/>
    <col min="16" max="16" width="18.42578125" bestFit="1" customWidth="1"/>
  </cols>
  <sheetData>
    <row r="1" spans="1:18" x14ac:dyDescent="0.25">
      <c r="K1" t="s">
        <v>34</v>
      </c>
    </row>
    <row r="3" spans="1:18" x14ac:dyDescent="0.25">
      <c r="A3" s="30" t="s">
        <v>24</v>
      </c>
      <c r="B3" s="24" t="s">
        <v>1</v>
      </c>
      <c r="C3" s="24" t="s">
        <v>11</v>
      </c>
      <c r="D3" s="24" t="s">
        <v>13</v>
      </c>
      <c r="E3" s="24" t="s">
        <v>14</v>
      </c>
      <c r="F3" s="24" t="s">
        <v>12</v>
      </c>
      <c r="G3" s="29" t="s">
        <v>33</v>
      </c>
      <c r="K3" s="1" t="s">
        <v>35</v>
      </c>
      <c r="L3" s="2" t="s">
        <v>24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36</v>
      </c>
      <c r="R3" s="3" t="s">
        <v>41</v>
      </c>
    </row>
    <row r="4" spans="1:18" x14ac:dyDescent="0.25">
      <c r="A4" s="31">
        <v>1</v>
      </c>
      <c r="B4" s="26" t="s">
        <v>10</v>
      </c>
      <c r="C4" s="27" t="s">
        <v>15</v>
      </c>
      <c r="D4" s="25" t="s">
        <v>26</v>
      </c>
      <c r="E4" s="25" t="s">
        <v>16</v>
      </c>
      <c r="F4" s="28" t="s">
        <v>17</v>
      </c>
      <c r="G4">
        <v>1</v>
      </c>
      <c r="K4" s="34">
        <v>1</v>
      </c>
      <c r="L4" s="35">
        <v>1</v>
      </c>
      <c r="M4" s="35">
        <v>35501520</v>
      </c>
      <c r="N4" s="35" t="s">
        <v>42</v>
      </c>
      <c r="O4" s="35" t="s">
        <v>43</v>
      </c>
      <c r="P4" s="35" t="s">
        <v>44</v>
      </c>
      <c r="Q4" s="35" t="s">
        <v>45</v>
      </c>
      <c r="R4" s="33">
        <v>81</v>
      </c>
    </row>
  </sheetData>
  <hyperlinks>
    <hyperlink ref="F4" r:id="rId1" xr:uid="{538468EA-56E7-412F-BBD2-9A2E1A9829B9}"/>
  </hyperlinks>
  <pageMargins left="0.511811024" right="0.511811024" top="0.78740157499999996" bottom="0.78740157499999996" header="0.31496062000000002" footer="0.31496062000000002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D44E-C508-450A-A3BA-AE90D5CEF00B}">
  <dimension ref="A1:N15"/>
  <sheetViews>
    <sheetView workbookViewId="0">
      <selection activeCell="E19" sqref="E19"/>
    </sheetView>
  </sheetViews>
  <sheetFormatPr defaultRowHeight="15" x14ac:dyDescent="0.25"/>
  <cols>
    <col min="2" max="2" width="17.5703125" customWidth="1"/>
    <col min="3" max="3" width="11.42578125" customWidth="1"/>
    <col min="4" max="4" width="13.140625" customWidth="1"/>
    <col min="5" max="5" width="18.5703125" bestFit="1" customWidth="1"/>
  </cols>
  <sheetData>
    <row r="1" spans="1:14" x14ac:dyDescent="0.25">
      <c r="A1" s="39" t="s">
        <v>18</v>
      </c>
      <c r="B1" s="39"/>
      <c r="C1" s="39"/>
      <c r="D1" s="39"/>
      <c r="E1" s="39"/>
      <c r="F1" s="39"/>
      <c r="G1" s="39"/>
      <c r="H1" s="39"/>
    </row>
    <row r="2" spans="1:14" x14ac:dyDescent="0.25">
      <c r="A2" s="39"/>
      <c r="B2" s="39"/>
      <c r="C2" s="39"/>
      <c r="D2" s="39"/>
      <c r="E2" s="39"/>
      <c r="F2" s="39"/>
      <c r="G2" s="39"/>
      <c r="H2" s="39"/>
    </row>
    <row r="4" spans="1:14" x14ac:dyDescent="0.25">
      <c r="A4" s="1" t="s">
        <v>19</v>
      </c>
      <c r="B4" s="2" t="s">
        <v>5</v>
      </c>
      <c r="C4" s="2" t="s">
        <v>20</v>
      </c>
      <c r="D4" s="2" t="s">
        <v>21</v>
      </c>
      <c r="E4" s="3" t="s">
        <v>47</v>
      </c>
    </row>
    <row r="5" spans="1:14" x14ac:dyDescent="0.25">
      <c r="A5" s="4">
        <v>0.15</v>
      </c>
      <c r="B5" s="5">
        <v>0.01</v>
      </c>
      <c r="C5" s="6">
        <v>0.01</v>
      </c>
      <c r="D5" s="6">
        <v>8.2000000000000001E-5</v>
      </c>
      <c r="E5" s="7">
        <v>0.01</v>
      </c>
    </row>
    <row r="15" spans="1:14" x14ac:dyDescent="0.25">
      <c r="N15" t="s">
        <v>46</v>
      </c>
    </row>
  </sheetData>
  <mergeCells count="1">
    <mergeCell ref="A1:H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CACB-7614-486C-A104-866CD70494BF}">
  <dimension ref="A3:D6"/>
  <sheetViews>
    <sheetView workbookViewId="0">
      <selection activeCell="J18" sqref="J18"/>
    </sheetView>
  </sheetViews>
  <sheetFormatPr defaultRowHeight="15" x14ac:dyDescent="0.25"/>
  <cols>
    <col min="1" max="1" width="17" customWidth="1"/>
  </cols>
  <sheetData>
    <row r="3" spans="1:4" x14ac:dyDescent="0.25">
      <c r="A3" s="8" t="s">
        <v>27</v>
      </c>
    </row>
    <row r="4" spans="1:4" x14ac:dyDescent="0.25">
      <c r="A4" s="23">
        <f ca="1">SUMIF(Tabela2[Status],"À Pagar",Tabela2[Valor Faltante])</f>
        <v>20831.761563719145</v>
      </c>
    </row>
    <row r="6" spans="1:4" x14ac:dyDescent="0.25">
      <c r="D6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Clientes</vt:lpstr>
      <vt:lpstr>Base Clientes</vt:lpstr>
      <vt:lpstr>Encargos</vt:lpstr>
      <vt:lpstr>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2025-02-01T22:46:28Z</dcterms:created>
  <dcterms:modified xsi:type="dcterms:W3CDTF">2026-03-07T18:42:52Z</dcterms:modified>
</cp:coreProperties>
</file>