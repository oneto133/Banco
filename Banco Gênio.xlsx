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never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795" documentId="6_{05751103-12D0-42B6-B40E-8F27855B620A}" xr6:coauthVersionLast="47" xr6:coauthVersionMax="47" xr10:uidLastSave="{C34D6765-3F21-425C-A903-A2148162E9F2}"/>
  <bookViews>
    <workbookView xWindow="-120" yWindow="-120" windowWidth="21840" windowHeight="13020" tabRatio="714" activeTab="1" xr2:uid="{00000000-000D-0000-FFFF-FFFF00000000}"/>
  </bookViews>
  <sheets>
    <sheet name="Extrato" sheetId="1" r:id="rId1"/>
    <sheet name="Geral" sheetId="11" r:id="rId2"/>
    <sheet name="Fundos de investimento" sheetId="8" r:id="rId3"/>
    <sheet name="CDB 2025" sheetId="3" r:id="rId4"/>
    <sheet name="CDB 2026" sheetId="12" r:id="rId5"/>
    <sheet name="Crypto" sheetId="9" r:id="rId6"/>
    <sheet name="Dolar" sheetId="5" r:id="rId7"/>
    <sheet name="BDR" sheetId="6" r:id="rId8"/>
    <sheet name="Tesouro direto" sheetId="7" r:id="rId9"/>
  </sheets>
  <externalReferences>
    <externalReference r:id="rId10"/>
    <externalReference r:id="rId11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 a="1"/>
  <c r="B3" i="11"/>
  <c r="B41" i="12"/>
  <c r="D41" i="12"/>
  <c r="B42" i="12" s="1"/>
  <c r="D42" i="12"/>
  <c r="B43" i="12" s="1"/>
  <c r="D43" i="12"/>
  <c r="B44" i="12" s="1"/>
  <c r="D44" i="12"/>
  <c r="B45" i="12" s="1"/>
  <c r="D45" i="12"/>
  <c r="B46" i="12" s="1"/>
  <c r="D46" i="12"/>
  <c r="B47" i="12" s="1"/>
  <c r="D47" i="12"/>
  <c r="B48" i="12" s="1"/>
  <c r="D48" i="12"/>
  <c r="B49" i="12" s="1"/>
  <c r="D49" i="12"/>
  <c r="B50" i="12" s="1"/>
  <c r="D50" i="12"/>
  <c r="B51" i="12" s="1"/>
  <c r="D51" i="12"/>
  <c r="B52" i="12" s="1"/>
  <c r="D52" i="12"/>
  <c r="B53" i="12" s="1"/>
  <c r="D53" i="12"/>
  <c r="B54" i="12" s="1"/>
  <c r="D54" i="12"/>
  <c r="B55" i="12" s="1"/>
  <c r="D55" i="12"/>
  <c r="B56" i="12" s="1"/>
  <c r="D56" i="12"/>
  <c r="B57" i="12" s="1"/>
  <c r="D57" i="12"/>
  <c r="B58" i="12" s="1"/>
  <c r="D58" i="12"/>
  <c r="B59" i="12" s="1"/>
  <c r="D59" i="12"/>
  <c r="B60" i="12" s="1"/>
  <c r="D60" i="12"/>
  <c r="B61" i="12" s="1"/>
  <c r="D61" i="12"/>
  <c r="B62" i="12" s="1"/>
  <c r="D62" i="12"/>
  <c r="B63" i="12" s="1"/>
  <c r="D63" i="12"/>
  <c r="B64" i="12" s="1"/>
  <c r="D64" i="12"/>
  <c r="B65" i="12" s="1"/>
  <c r="D65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J6" i="1" l="1"/>
  <c r="E167" i="1" l="1"/>
  <c r="A23" i="11"/>
  <c r="F40" i="12"/>
  <c r="F39" i="12"/>
  <c r="F38" i="12"/>
  <c r="L2" i="12"/>
  <c r="F36" i="12"/>
  <c r="F37" i="12"/>
  <c r="F35" i="12" l="1"/>
  <c r="F34" i="12"/>
  <c r="F33" i="12" l="1"/>
  <c r="F32" i="12"/>
  <c r="F31" i="12"/>
  <c r="F29" i="12" l="1"/>
  <c r="F30" i="12"/>
  <c r="F25" i="12"/>
  <c r="F26" i="12"/>
  <c r="F27" i="12"/>
  <c r="F28" i="12"/>
  <c r="H24" i="12" l="1"/>
  <c r="H21" i="12"/>
  <c r="H19" i="12"/>
  <c r="F24" i="12"/>
  <c r="F23" i="12"/>
  <c r="F22" i="12"/>
  <c r="F21" i="12"/>
  <c r="F20" i="12"/>
  <c r="F19" i="12"/>
  <c r="F18" i="12"/>
  <c r="F17" i="12"/>
  <c r="F16" i="12"/>
  <c r="F15" i="12" l="1"/>
  <c r="F14" i="12"/>
  <c r="F13" i="12"/>
  <c r="F12" i="12"/>
  <c r="F11" i="12"/>
  <c r="K3" i="1"/>
  <c r="F10" i="12"/>
  <c r="F9" i="12"/>
  <c r="F5" i="9" a="1"/>
  <c r="F5" i="9" s="1"/>
  <c r="E5" i="9" s="1"/>
  <c r="F8" i="12"/>
  <c r="F7" i="12"/>
  <c r="F6" i="12"/>
  <c r="F5" i="12"/>
  <c r="F4" i="12"/>
  <c r="D4" i="12"/>
  <c r="B5" i="12" s="1"/>
  <c r="K2" i="12"/>
  <c r="B366" i="3"/>
  <c r="F367" i="3"/>
  <c r="F368" i="3"/>
  <c r="F369" i="3"/>
  <c r="D366" i="3"/>
  <c r="B367" i="3"/>
  <c r="D367" i="3"/>
  <c r="B368" i="3"/>
  <c r="D368" i="3"/>
  <c r="B369" i="3"/>
  <c r="D369" i="3"/>
  <c r="F366" i="3"/>
  <c r="F365" i="3"/>
  <c r="F364" i="3"/>
  <c r="L2" i="3"/>
  <c r="C2" i="11" s="1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3" i="3"/>
  <c r="F344" i="3"/>
  <c r="F333" i="3"/>
  <c r="F334" i="3"/>
  <c r="F335" i="3"/>
  <c r="F336" i="3"/>
  <c r="F337" i="3"/>
  <c r="F338" i="3"/>
  <c r="F339" i="3"/>
  <c r="F340" i="3"/>
  <c r="F341" i="3"/>
  <c r="F342" i="3"/>
  <c r="F322" i="3"/>
  <c r="F323" i="3"/>
  <c r="F324" i="3"/>
  <c r="F325" i="3"/>
  <c r="F326" i="3"/>
  <c r="F327" i="3"/>
  <c r="F328" i="3"/>
  <c r="F329" i="3"/>
  <c r="F330" i="3"/>
  <c r="F331" i="3"/>
  <c r="F332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04" i="3"/>
  <c r="F205" i="3"/>
  <c r="F201" i="3"/>
  <c r="F202" i="3"/>
  <c r="F203" i="3"/>
  <c r="F200" i="3"/>
  <c r="C12" i="11"/>
  <c r="F198" i="3"/>
  <c r="F199" i="3"/>
  <c r="K6" i="1"/>
  <c r="F195" i="3"/>
  <c r="F196" i="3"/>
  <c r="F197" i="3"/>
  <c r="F194" i="3"/>
  <c r="F193" i="3"/>
  <c r="F192" i="3"/>
  <c r="F191" i="3"/>
  <c r="F190" i="3"/>
  <c r="B8" i="11"/>
  <c r="B9" i="11"/>
  <c r="B5" i="11"/>
  <c r="B7" i="11"/>
  <c r="B10" i="11"/>
  <c r="F187" i="3"/>
  <c r="F188" i="3"/>
  <c r="F189" i="3"/>
  <c r="F186" i="3"/>
  <c r="E12" i="1"/>
  <c r="E39" i="1"/>
  <c r="E60" i="1"/>
  <c r="E83" i="1"/>
  <c r="E91" i="1"/>
  <c r="E97" i="1"/>
  <c r="E104" i="1"/>
  <c r="E122" i="1"/>
  <c r="E129" i="1"/>
  <c r="J3" i="1" s="1"/>
  <c r="L3" i="1"/>
  <c r="E130" i="1"/>
  <c r="E133" i="1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46" i="3"/>
  <c r="I19" i="6"/>
  <c r="I18" i="6"/>
  <c r="I17" i="6"/>
  <c r="I6" i="6"/>
  <c r="I5" i="6"/>
  <c r="J7" i="7"/>
  <c r="K2" i="3"/>
  <c r="F4" i="9" a="1"/>
  <c r="F4" i="9" s="1"/>
  <c r="F15" i="5"/>
  <c r="J4" i="7"/>
  <c r="C5" i="7"/>
  <c r="C9" i="11"/>
  <c r="E9" i="11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C28" i="6" a="1"/>
  <c r="C28" i="6" s="1"/>
  <c r="G28" i="6" a="1"/>
  <c r="G28" i="6" s="1"/>
  <c r="J28" i="6" s="1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C6" i="6" a="1"/>
  <c r="C6" i="6" s="1"/>
  <c r="G6" i="6" a="1"/>
  <c r="G6" i="6" s="1"/>
  <c r="J6" i="6" s="1"/>
  <c r="C27" i="6" a="1"/>
  <c r="C27" i="6" s="1"/>
  <c r="G27" i="6" a="1"/>
  <c r="G27" i="6" s="1"/>
  <c r="J27" i="6" s="1"/>
  <c r="F92" i="3"/>
  <c r="F5" i="8" a="1"/>
  <c r="F5" i="8"/>
  <c r="H2" i="8"/>
  <c r="D2" i="8"/>
  <c r="C25" i="6" a="1"/>
  <c r="C25" i="6" s="1"/>
  <c r="J25" i="6"/>
  <c r="K25" i="6"/>
  <c r="L25" i="6"/>
  <c r="N25" i="6"/>
  <c r="C16" i="6" a="1"/>
  <c r="C16" i="6" s="1"/>
  <c r="G16" i="6" a="1"/>
  <c r="G16" i="6" s="1"/>
  <c r="J16" i="6" s="1"/>
  <c r="C23" i="6" a="1"/>
  <c r="C23" i="6" s="1"/>
  <c r="G23" i="6" a="1"/>
  <c r="G23" i="6" s="1"/>
  <c r="J23" i="6" s="1"/>
  <c r="C4" i="7"/>
  <c r="C3" i="7"/>
  <c r="C13" i="6" a="1"/>
  <c r="C13" i="6" s="1"/>
  <c r="G13" i="6" a="1"/>
  <c r="G13" i="6" s="1"/>
  <c r="J13" i="6" s="1"/>
  <c r="C24" i="6" a="1"/>
  <c r="C24" i="6" s="1"/>
  <c r="G24" i="6" a="1"/>
  <c r="G24" i="6" s="1"/>
  <c r="J24" i="6" s="1"/>
  <c r="F12" i="5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G17" i="6" a="1"/>
  <c r="G17" i="6" s="1"/>
  <c r="J17" i="6" s="1"/>
  <c r="G7" i="6" a="1"/>
  <c r="G7" i="6" s="1"/>
  <c r="J7" i="6" s="1"/>
  <c r="G19" i="6" a="1"/>
  <c r="G19" i="6" s="1"/>
  <c r="J19" i="6" s="1"/>
  <c r="G9" i="6" a="1"/>
  <c r="G9" i="6" s="1"/>
  <c r="J9" i="6" s="1"/>
  <c r="G10" i="6" a="1"/>
  <c r="G10" i="6" s="1"/>
  <c r="J10" i="6" s="1"/>
  <c r="G11" i="6" a="1"/>
  <c r="G11" i="6" s="1"/>
  <c r="J11" i="6" s="1"/>
  <c r="G12" i="6" a="1"/>
  <c r="G12" i="6" s="1"/>
  <c r="J12" i="6" s="1"/>
  <c r="G14" i="6" a="1"/>
  <c r="G14" i="6" s="1"/>
  <c r="J14" i="6" s="1"/>
  <c r="G26" i="6" a="1"/>
  <c r="G26" i="6" s="1"/>
  <c r="J26" i="6" s="1"/>
  <c r="G20" i="6" a="1"/>
  <c r="G20" i="6" s="1"/>
  <c r="J20" i="6" s="1"/>
  <c r="G8" i="6" a="1"/>
  <c r="G8" i="6" s="1"/>
  <c r="J8" i="6" s="1"/>
  <c r="G5" i="6" a="1"/>
  <c r="G5" i="6" s="1"/>
  <c r="J5" i="6" s="1"/>
  <c r="G21" i="6" a="1"/>
  <c r="G21" i="6" s="1"/>
  <c r="J21" i="6" s="1"/>
  <c r="G15" i="6" a="1"/>
  <c r="G15" i="6" s="1"/>
  <c r="J15" i="6" s="1"/>
  <c r="G22" i="6" a="1"/>
  <c r="G22" i="6" s="1"/>
  <c r="J22" i="6" s="1"/>
  <c r="F20" i="6"/>
  <c r="B6" i="11"/>
  <c r="C15" i="6" a="1"/>
  <c r="C15" i="6" s="1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0" i="3"/>
  <c r="F61" i="3"/>
  <c r="F62" i="3"/>
  <c r="F63" i="3"/>
  <c r="F11" i="5"/>
  <c r="F10" i="5"/>
  <c r="F59" i="3"/>
  <c r="F58" i="3"/>
  <c r="F57" i="3"/>
  <c r="F56" i="3"/>
  <c r="F55" i="3"/>
  <c r="F54" i="3"/>
  <c r="F53" i="3"/>
  <c r="F52" i="3"/>
  <c r="F51" i="3"/>
  <c r="F50" i="3"/>
  <c r="F49" i="3"/>
  <c r="F48" i="3"/>
  <c r="D47" i="3"/>
  <c r="B48" i="3"/>
  <c r="D48" i="3"/>
  <c r="B49" i="3"/>
  <c r="D49" i="3"/>
  <c r="B50" i="3"/>
  <c r="D50" i="3"/>
  <c r="B51" i="3"/>
  <c r="D51" i="3"/>
  <c r="B52" i="3"/>
  <c r="D52" i="3"/>
  <c r="B53" i="3"/>
  <c r="D53" i="3"/>
  <c r="B54" i="3"/>
  <c r="D54" i="3"/>
  <c r="B55" i="3"/>
  <c r="D55" i="3"/>
  <c r="B56" i="3"/>
  <c r="D56" i="3"/>
  <c r="B57" i="3"/>
  <c r="D57" i="3"/>
  <c r="B58" i="3"/>
  <c r="D58" i="3"/>
  <c r="B59" i="3"/>
  <c r="D59" i="3"/>
  <c r="B60" i="3"/>
  <c r="D60" i="3"/>
  <c r="B61" i="3"/>
  <c r="D61" i="3"/>
  <c r="B62" i="3"/>
  <c r="D62" i="3"/>
  <c r="B63" i="3"/>
  <c r="D63" i="3"/>
  <c r="B64" i="3"/>
  <c r="D64" i="3"/>
  <c r="B65" i="3"/>
  <c r="D65" i="3"/>
  <c r="B66" i="3"/>
  <c r="D66" i="3"/>
  <c r="B67" i="3"/>
  <c r="D67" i="3"/>
  <c r="B68" i="3"/>
  <c r="D68" i="3"/>
  <c r="B69" i="3"/>
  <c r="D69" i="3"/>
  <c r="B70" i="3"/>
  <c r="D70" i="3"/>
  <c r="B71" i="3"/>
  <c r="D71" i="3"/>
  <c r="B72" i="3"/>
  <c r="D72" i="3"/>
  <c r="B73" i="3"/>
  <c r="D73" i="3"/>
  <c r="B74" i="3"/>
  <c r="D74" i="3"/>
  <c r="B75" i="3"/>
  <c r="D75" i="3"/>
  <c r="B76" i="3"/>
  <c r="D76" i="3"/>
  <c r="B77" i="3"/>
  <c r="D77" i="3"/>
  <c r="B78" i="3"/>
  <c r="D78" i="3"/>
  <c r="B79" i="3"/>
  <c r="D79" i="3"/>
  <c r="B80" i="3"/>
  <c r="D80" i="3"/>
  <c r="B81" i="3"/>
  <c r="D81" i="3"/>
  <c r="B82" i="3"/>
  <c r="D82" i="3"/>
  <c r="B83" i="3"/>
  <c r="D83" i="3"/>
  <c r="B84" i="3"/>
  <c r="D84" i="3"/>
  <c r="B85" i="3"/>
  <c r="D85" i="3"/>
  <c r="B86" i="3"/>
  <c r="D86" i="3"/>
  <c r="B87" i="3"/>
  <c r="D87" i="3"/>
  <c r="B88" i="3"/>
  <c r="D88" i="3"/>
  <c r="B89" i="3"/>
  <c r="D89" i="3"/>
  <c r="B90" i="3"/>
  <c r="D90" i="3"/>
  <c r="B91" i="3"/>
  <c r="D91" i="3"/>
  <c r="B92" i="3"/>
  <c r="D92" i="3"/>
  <c r="B93" i="3"/>
  <c r="D93" i="3"/>
  <c r="B94" i="3"/>
  <c r="D94" i="3"/>
  <c r="B95" i="3"/>
  <c r="D95" i="3"/>
  <c r="B96" i="3"/>
  <c r="D96" i="3"/>
  <c r="B97" i="3"/>
  <c r="D97" i="3"/>
  <c r="B98" i="3"/>
  <c r="D98" i="3"/>
  <c r="B99" i="3"/>
  <c r="D99" i="3"/>
  <c r="B100" i="3"/>
  <c r="D100" i="3"/>
  <c r="B101" i="3"/>
  <c r="D101" i="3"/>
  <c r="B102" i="3"/>
  <c r="D102" i="3"/>
  <c r="B103" i="3"/>
  <c r="D103" i="3"/>
  <c r="B104" i="3"/>
  <c r="D104" i="3"/>
  <c r="B105" i="3"/>
  <c r="D105" i="3"/>
  <c r="B106" i="3"/>
  <c r="D106" i="3"/>
  <c r="B107" i="3"/>
  <c r="D107" i="3"/>
  <c r="B108" i="3"/>
  <c r="D108" i="3"/>
  <c r="B109" i="3"/>
  <c r="D109" i="3"/>
  <c r="B110" i="3"/>
  <c r="D110" i="3"/>
  <c r="B111" i="3"/>
  <c r="D111" i="3"/>
  <c r="B112" i="3"/>
  <c r="D112" i="3"/>
  <c r="B113" i="3"/>
  <c r="D113" i="3"/>
  <c r="B114" i="3"/>
  <c r="D114" i="3"/>
  <c r="B115" i="3"/>
  <c r="D115" i="3"/>
  <c r="B116" i="3"/>
  <c r="D116" i="3"/>
  <c r="B117" i="3"/>
  <c r="D117" i="3"/>
  <c r="B118" i="3"/>
  <c r="D118" i="3"/>
  <c r="B119" i="3"/>
  <c r="D119" i="3"/>
  <c r="B120" i="3"/>
  <c r="D120" i="3"/>
  <c r="B121" i="3"/>
  <c r="D121" i="3"/>
  <c r="B122" i="3"/>
  <c r="D122" i="3"/>
  <c r="B123" i="3"/>
  <c r="D123" i="3"/>
  <c r="B124" i="3"/>
  <c r="D124" i="3"/>
  <c r="B125" i="3"/>
  <c r="D125" i="3"/>
  <c r="B126" i="3"/>
  <c r="D126" i="3"/>
  <c r="B127" i="3"/>
  <c r="D127" i="3"/>
  <c r="B128" i="3"/>
  <c r="D128" i="3"/>
  <c r="B129" i="3"/>
  <c r="D129" i="3"/>
  <c r="B130" i="3"/>
  <c r="D130" i="3"/>
  <c r="B131" i="3"/>
  <c r="D131" i="3"/>
  <c r="B132" i="3"/>
  <c r="D132" i="3"/>
  <c r="B133" i="3"/>
  <c r="D133" i="3"/>
  <c r="B134" i="3"/>
  <c r="D134" i="3"/>
  <c r="B135" i="3"/>
  <c r="D135" i="3"/>
  <c r="B136" i="3"/>
  <c r="D136" i="3"/>
  <c r="B137" i="3"/>
  <c r="D137" i="3"/>
  <c r="B138" i="3"/>
  <c r="D138" i="3"/>
  <c r="B139" i="3"/>
  <c r="D139" i="3"/>
  <c r="B140" i="3"/>
  <c r="D140" i="3"/>
  <c r="B141" i="3"/>
  <c r="D141" i="3"/>
  <c r="B142" i="3"/>
  <c r="D142" i="3"/>
  <c r="B143" i="3"/>
  <c r="D143" i="3"/>
  <c r="B144" i="3"/>
  <c r="D144" i="3"/>
  <c r="B145" i="3"/>
  <c r="D145" i="3"/>
  <c r="B146" i="3"/>
  <c r="D146" i="3"/>
  <c r="B147" i="3"/>
  <c r="D147" i="3"/>
  <c r="B148" i="3"/>
  <c r="D148" i="3"/>
  <c r="B149" i="3"/>
  <c r="D149" i="3"/>
  <c r="B150" i="3"/>
  <c r="D150" i="3"/>
  <c r="B151" i="3"/>
  <c r="D151" i="3"/>
  <c r="B152" i="3"/>
  <c r="D152" i="3"/>
  <c r="B153" i="3"/>
  <c r="D153" i="3"/>
  <c r="B154" i="3"/>
  <c r="D154" i="3"/>
  <c r="B155" i="3"/>
  <c r="D155" i="3"/>
  <c r="B156" i="3"/>
  <c r="D156" i="3"/>
  <c r="B157" i="3"/>
  <c r="D157" i="3"/>
  <c r="B158" i="3"/>
  <c r="D158" i="3"/>
  <c r="B159" i="3"/>
  <c r="D159" i="3"/>
  <c r="B160" i="3"/>
  <c r="D160" i="3"/>
  <c r="B161" i="3"/>
  <c r="D161" i="3"/>
  <c r="B162" i="3"/>
  <c r="D162" i="3"/>
  <c r="B163" i="3"/>
  <c r="D163" i="3"/>
  <c r="B164" i="3"/>
  <c r="D164" i="3"/>
  <c r="B165" i="3"/>
  <c r="D165" i="3"/>
  <c r="B166" i="3"/>
  <c r="D166" i="3"/>
  <c r="B167" i="3"/>
  <c r="D167" i="3"/>
  <c r="B168" i="3"/>
  <c r="D168" i="3"/>
  <c r="B169" i="3"/>
  <c r="D169" i="3"/>
  <c r="B170" i="3"/>
  <c r="D170" i="3"/>
  <c r="B171" i="3"/>
  <c r="D171" i="3"/>
  <c r="B172" i="3"/>
  <c r="D172" i="3"/>
  <c r="B173" i="3"/>
  <c r="D173" i="3"/>
  <c r="B174" i="3"/>
  <c r="D174" i="3"/>
  <c r="B175" i="3"/>
  <c r="D175" i="3"/>
  <c r="B176" i="3"/>
  <c r="D176" i="3"/>
  <c r="B177" i="3"/>
  <c r="D177" i="3"/>
  <c r="B178" i="3"/>
  <c r="D178" i="3"/>
  <c r="B179" i="3"/>
  <c r="D179" i="3"/>
  <c r="B180" i="3"/>
  <c r="D180" i="3"/>
  <c r="B181" i="3"/>
  <c r="D181" i="3"/>
  <c r="B182" i="3"/>
  <c r="D182" i="3"/>
  <c r="B183" i="3"/>
  <c r="D183" i="3"/>
  <c r="B184" i="3"/>
  <c r="D184" i="3"/>
  <c r="B185" i="3"/>
  <c r="D185" i="3"/>
  <c r="B186" i="3"/>
  <c r="D186" i="3"/>
  <c r="B187" i="3"/>
  <c r="D187" i="3"/>
  <c r="B188" i="3"/>
  <c r="D188" i="3"/>
  <c r="B189" i="3"/>
  <c r="D189" i="3"/>
  <c r="B190" i="3"/>
  <c r="D190" i="3"/>
  <c r="B191" i="3"/>
  <c r="D191" i="3"/>
  <c r="B192" i="3"/>
  <c r="D192" i="3"/>
  <c r="B193" i="3"/>
  <c r="D193" i="3"/>
  <c r="B194" i="3"/>
  <c r="D194" i="3"/>
  <c r="B195" i="3"/>
  <c r="D195" i="3"/>
  <c r="B196" i="3"/>
  <c r="D196" i="3"/>
  <c r="B197" i="3"/>
  <c r="D197" i="3"/>
  <c r="B198" i="3"/>
  <c r="D198" i="3"/>
  <c r="B199" i="3"/>
  <c r="D199" i="3"/>
  <c r="B200" i="3"/>
  <c r="D200" i="3"/>
  <c r="B201" i="3"/>
  <c r="D201" i="3"/>
  <c r="B202" i="3"/>
  <c r="D202" i="3"/>
  <c r="B203" i="3"/>
  <c r="D203" i="3"/>
  <c r="B204" i="3"/>
  <c r="D204" i="3"/>
  <c r="B205" i="3"/>
  <c r="D205" i="3"/>
  <c r="B206" i="3"/>
  <c r="D206" i="3"/>
  <c r="B207" i="3"/>
  <c r="D207" i="3"/>
  <c r="B208" i="3"/>
  <c r="D208" i="3"/>
  <c r="B209" i="3"/>
  <c r="D209" i="3"/>
  <c r="B210" i="3"/>
  <c r="D210" i="3"/>
  <c r="B211" i="3"/>
  <c r="D211" i="3"/>
  <c r="B212" i="3"/>
  <c r="D212" i="3"/>
  <c r="B213" i="3"/>
  <c r="D213" i="3"/>
  <c r="B214" i="3"/>
  <c r="D214" i="3"/>
  <c r="B215" i="3"/>
  <c r="D215" i="3"/>
  <c r="B216" i="3"/>
  <c r="D216" i="3"/>
  <c r="B217" i="3"/>
  <c r="D217" i="3"/>
  <c r="B218" i="3"/>
  <c r="D218" i="3"/>
  <c r="B219" i="3"/>
  <c r="D219" i="3"/>
  <c r="B220" i="3"/>
  <c r="D220" i="3"/>
  <c r="B221" i="3"/>
  <c r="D221" i="3"/>
  <c r="B222" i="3"/>
  <c r="D222" i="3"/>
  <c r="B223" i="3"/>
  <c r="D223" i="3"/>
  <c r="B224" i="3"/>
  <c r="D224" i="3"/>
  <c r="B225" i="3"/>
  <c r="D225" i="3"/>
  <c r="B226" i="3"/>
  <c r="D226" i="3"/>
  <c r="B227" i="3"/>
  <c r="D227" i="3"/>
  <c r="B228" i="3"/>
  <c r="D228" i="3"/>
  <c r="B229" i="3"/>
  <c r="D229" i="3"/>
  <c r="B230" i="3"/>
  <c r="D230" i="3"/>
  <c r="B231" i="3"/>
  <c r="D231" i="3"/>
  <c r="B232" i="3"/>
  <c r="D232" i="3"/>
  <c r="B233" i="3"/>
  <c r="D233" i="3"/>
  <c r="B234" i="3"/>
  <c r="D234" i="3"/>
  <c r="B235" i="3"/>
  <c r="D235" i="3"/>
  <c r="B236" i="3"/>
  <c r="D236" i="3"/>
  <c r="B237" i="3"/>
  <c r="D237" i="3"/>
  <c r="B238" i="3"/>
  <c r="D238" i="3"/>
  <c r="B239" i="3"/>
  <c r="D239" i="3"/>
  <c r="B240" i="3"/>
  <c r="D240" i="3"/>
  <c r="B241" i="3"/>
  <c r="D241" i="3"/>
  <c r="B242" i="3"/>
  <c r="D242" i="3"/>
  <c r="B243" i="3"/>
  <c r="D243" i="3"/>
  <c r="B244" i="3"/>
  <c r="D244" i="3"/>
  <c r="B245" i="3"/>
  <c r="D245" i="3"/>
  <c r="B246" i="3"/>
  <c r="D246" i="3"/>
  <c r="B247" i="3"/>
  <c r="D247" i="3"/>
  <c r="B248" i="3"/>
  <c r="D248" i="3"/>
  <c r="B249" i="3"/>
  <c r="D249" i="3"/>
  <c r="B250" i="3"/>
  <c r="D250" i="3"/>
  <c r="B251" i="3"/>
  <c r="D251" i="3"/>
  <c r="B252" i="3"/>
  <c r="D252" i="3"/>
  <c r="B253" i="3"/>
  <c r="D253" i="3"/>
  <c r="B254" i="3"/>
  <c r="D254" i="3"/>
  <c r="B255" i="3"/>
  <c r="D255" i="3"/>
  <c r="B256" i="3"/>
  <c r="D256" i="3"/>
  <c r="B257" i="3"/>
  <c r="D257" i="3"/>
  <c r="B258" i="3"/>
  <c r="D258" i="3"/>
  <c r="B259" i="3"/>
  <c r="D259" i="3"/>
  <c r="B260" i="3"/>
  <c r="D260" i="3"/>
  <c r="B261" i="3"/>
  <c r="D261" i="3"/>
  <c r="B262" i="3"/>
  <c r="D262" i="3"/>
  <c r="B263" i="3"/>
  <c r="D263" i="3"/>
  <c r="B264" i="3"/>
  <c r="D264" i="3"/>
  <c r="B265" i="3"/>
  <c r="D265" i="3"/>
  <c r="B266" i="3"/>
  <c r="D266" i="3"/>
  <c r="B267" i="3"/>
  <c r="D267" i="3"/>
  <c r="B268" i="3"/>
  <c r="D268" i="3"/>
  <c r="B269" i="3"/>
  <c r="D269" i="3"/>
  <c r="B270" i="3"/>
  <c r="D270" i="3"/>
  <c r="B271" i="3"/>
  <c r="D271" i="3"/>
  <c r="B272" i="3"/>
  <c r="D272" i="3"/>
  <c r="B273" i="3"/>
  <c r="D273" i="3"/>
  <c r="B274" i="3"/>
  <c r="D274" i="3"/>
  <c r="B275" i="3"/>
  <c r="D275" i="3"/>
  <c r="B276" i="3"/>
  <c r="D276" i="3"/>
  <c r="B277" i="3"/>
  <c r="D277" i="3"/>
  <c r="B278" i="3"/>
  <c r="D278" i="3"/>
  <c r="B279" i="3"/>
  <c r="D279" i="3"/>
  <c r="B280" i="3"/>
  <c r="D280" i="3"/>
  <c r="B281" i="3"/>
  <c r="D281" i="3"/>
  <c r="B282" i="3"/>
  <c r="D282" i="3"/>
  <c r="B283" i="3"/>
  <c r="D283" i="3"/>
  <c r="B284" i="3"/>
  <c r="D284" i="3"/>
  <c r="B285" i="3"/>
  <c r="D285" i="3"/>
  <c r="B286" i="3"/>
  <c r="D286" i="3"/>
  <c r="B287" i="3"/>
  <c r="D287" i="3"/>
  <c r="B288" i="3"/>
  <c r="D288" i="3"/>
  <c r="B289" i="3"/>
  <c r="D289" i="3"/>
  <c r="B290" i="3"/>
  <c r="D290" i="3"/>
  <c r="B291" i="3"/>
  <c r="D291" i="3"/>
  <c r="B292" i="3"/>
  <c r="D292" i="3"/>
  <c r="B293" i="3"/>
  <c r="D293" i="3"/>
  <c r="B294" i="3"/>
  <c r="D294" i="3"/>
  <c r="B295" i="3"/>
  <c r="D295" i="3"/>
  <c r="B296" i="3"/>
  <c r="D296" i="3"/>
  <c r="B297" i="3"/>
  <c r="D297" i="3"/>
  <c r="B298" i="3"/>
  <c r="D298" i="3"/>
  <c r="B299" i="3"/>
  <c r="D299" i="3"/>
  <c r="B300" i="3"/>
  <c r="D300" i="3"/>
  <c r="B301" i="3"/>
  <c r="D301" i="3"/>
  <c r="B302" i="3"/>
  <c r="D302" i="3"/>
  <c r="B303" i="3"/>
  <c r="D303" i="3"/>
  <c r="B304" i="3"/>
  <c r="D304" i="3"/>
  <c r="B305" i="3"/>
  <c r="D305" i="3"/>
  <c r="B306" i="3"/>
  <c r="D306" i="3"/>
  <c r="B307" i="3"/>
  <c r="D307" i="3"/>
  <c r="B308" i="3"/>
  <c r="D308" i="3"/>
  <c r="B309" i="3"/>
  <c r="D309" i="3"/>
  <c r="B310" i="3"/>
  <c r="D310" i="3"/>
  <c r="B311" i="3"/>
  <c r="D311" i="3"/>
  <c r="B312" i="3"/>
  <c r="D312" i="3"/>
  <c r="B313" i="3"/>
  <c r="D313" i="3"/>
  <c r="B314" i="3"/>
  <c r="D314" i="3"/>
  <c r="B315" i="3"/>
  <c r="D315" i="3"/>
  <c r="B316" i="3"/>
  <c r="D316" i="3"/>
  <c r="B317" i="3"/>
  <c r="D317" i="3"/>
  <c r="B318" i="3"/>
  <c r="D318" i="3"/>
  <c r="B319" i="3"/>
  <c r="D319" i="3"/>
  <c r="B320" i="3"/>
  <c r="D320" i="3"/>
  <c r="B321" i="3"/>
  <c r="D321" i="3"/>
  <c r="B322" i="3"/>
  <c r="D322" i="3"/>
  <c r="B323" i="3"/>
  <c r="D323" i="3"/>
  <c r="B324" i="3"/>
  <c r="D324" i="3"/>
  <c r="B325" i="3"/>
  <c r="D325" i="3"/>
  <c r="B326" i="3"/>
  <c r="D326" i="3"/>
  <c r="B327" i="3"/>
  <c r="D327" i="3"/>
  <c r="B328" i="3"/>
  <c r="D328" i="3"/>
  <c r="B329" i="3"/>
  <c r="D329" i="3"/>
  <c r="B330" i="3"/>
  <c r="D330" i="3"/>
  <c r="B331" i="3"/>
  <c r="D331" i="3"/>
  <c r="B332" i="3"/>
  <c r="D332" i="3"/>
  <c r="B333" i="3"/>
  <c r="D333" i="3"/>
  <c r="B334" i="3"/>
  <c r="D334" i="3"/>
  <c r="B335" i="3"/>
  <c r="D335" i="3"/>
  <c r="B336" i="3"/>
  <c r="D336" i="3"/>
  <c r="B337" i="3"/>
  <c r="D337" i="3"/>
  <c r="B338" i="3"/>
  <c r="D338" i="3"/>
  <c r="B339" i="3"/>
  <c r="D339" i="3"/>
  <c r="B340" i="3"/>
  <c r="D340" i="3"/>
  <c r="B341" i="3"/>
  <c r="D341" i="3"/>
  <c r="B342" i="3"/>
  <c r="D342" i="3"/>
  <c r="B343" i="3"/>
  <c r="D343" i="3"/>
  <c r="B344" i="3"/>
  <c r="D344" i="3"/>
  <c r="B345" i="3"/>
  <c r="D345" i="3"/>
  <c r="B346" i="3"/>
  <c r="D346" i="3"/>
  <c r="B347" i="3"/>
  <c r="D347" i="3"/>
  <c r="B348" i="3"/>
  <c r="D348" i="3"/>
  <c r="B349" i="3"/>
  <c r="D349" i="3"/>
  <c r="B350" i="3"/>
  <c r="D350" i="3"/>
  <c r="B351" i="3"/>
  <c r="D351" i="3"/>
  <c r="B352" i="3"/>
  <c r="D352" i="3"/>
  <c r="B353" i="3"/>
  <c r="D353" i="3"/>
  <c r="B354" i="3"/>
  <c r="D354" i="3"/>
  <c r="B355" i="3"/>
  <c r="D355" i="3"/>
  <c r="B356" i="3"/>
  <c r="D356" i="3"/>
  <c r="B357" i="3"/>
  <c r="D357" i="3"/>
  <c r="B358" i="3"/>
  <c r="D358" i="3"/>
  <c r="B359" i="3"/>
  <c r="D359" i="3"/>
  <c r="B360" i="3"/>
  <c r="D360" i="3"/>
  <c r="B361" i="3"/>
  <c r="D361" i="3"/>
  <c r="B362" i="3"/>
  <c r="D362" i="3"/>
  <c r="B363" i="3"/>
  <c r="D363" i="3"/>
  <c r="B364" i="3"/>
  <c r="D364" i="3"/>
  <c r="B365" i="3"/>
  <c r="F47" i="3"/>
  <c r="F46" i="3"/>
  <c r="F45" i="3"/>
  <c r="F44" i="3"/>
  <c r="F43" i="3"/>
  <c r="F42" i="3"/>
  <c r="F41" i="3"/>
  <c r="F9" i="5"/>
  <c r="C5" i="6" a="1"/>
  <c r="C5" i="6" s="1"/>
  <c r="C8" i="6" a="1"/>
  <c r="C8" i="6" s="1"/>
  <c r="F26" i="6"/>
  <c r="B4" i="11"/>
  <c r="F40" i="3"/>
  <c r="F39" i="3"/>
  <c r="F38" i="3"/>
  <c r="F37" i="3"/>
  <c r="F36" i="3"/>
  <c r="F35" i="3"/>
  <c r="F8" i="5"/>
  <c r="C14" i="6" a="1"/>
  <c r="C14" i="6" s="1"/>
  <c r="C7" i="6" a="1"/>
  <c r="C7" i="6" s="1"/>
  <c r="F34" i="3"/>
  <c r="F33" i="3"/>
  <c r="F32" i="3"/>
  <c r="F31" i="3"/>
  <c r="C12" i="6" a="1"/>
  <c r="C12" i="6" s="1"/>
  <c r="C11" i="6" a="1"/>
  <c r="C11" i="6" s="1"/>
  <c r="F30" i="3"/>
  <c r="F29" i="3"/>
  <c r="F28" i="3"/>
  <c r="F27" i="3"/>
  <c r="F26" i="3"/>
  <c r="F7" i="5"/>
  <c r="I8" i="5"/>
  <c r="C10" i="6" a="1"/>
  <c r="C10" i="6" s="1"/>
  <c r="C9" i="6" a="1"/>
  <c r="C9" i="6" s="1"/>
  <c r="D18" i="6"/>
  <c r="C18" i="6" s="1" a="1"/>
  <c r="C18" i="6" s="1"/>
  <c r="R5" i="6"/>
  <c r="C17" i="6" a="1"/>
  <c r="C17" i="6" s="1"/>
  <c r="F6" i="5"/>
  <c r="K5" i="5" a="1"/>
  <c r="K5" i="5" s="1"/>
  <c r="M5" i="5" s="1"/>
  <c r="K8" i="5" s="1"/>
  <c r="F5" i="5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8" i="3"/>
  <c r="B9" i="3"/>
  <c r="D9" i="3"/>
  <c r="B10" i="3"/>
  <c r="D10" i="3"/>
  <c r="B11" i="3"/>
  <c r="D11" i="3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B24" i="3"/>
  <c r="D24" i="3"/>
  <c r="B25" i="3"/>
  <c r="D25" i="3"/>
  <c r="B26" i="3"/>
  <c r="D26" i="3"/>
  <c r="B27" i="3"/>
  <c r="D27" i="3"/>
  <c r="B28" i="3"/>
  <c r="D28" i="3"/>
  <c r="B29" i="3"/>
  <c r="D29" i="3"/>
  <c r="B30" i="3"/>
  <c r="D30" i="3"/>
  <c r="B31" i="3"/>
  <c r="D31" i="3"/>
  <c r="B32" i="3"/>
  <c r="D32" i="3"/>
  <c r="B33" i="3"/>
  <c r="D33" i="3"/>
  <c r="B34" i="3"/>
  <c r="D34" i="3"/>
  <c r="B35" i="3"/>
  <c r="D35" i="3"/>
  <c r="B36" i="3"/>
  <c r="D36" i="3"/>
  <c r="B37" i="3"/>
  <c r="D37" i="3"/>
  <c r="B38" i="3"/>
  <c r="D38" i="3"/>
  <c r="B39" i="3"/>
  <c r="D39" i="3"/>
  <c r="B40" i="3"/>
  <c r="D40" i="3"/>
  <c r="B41" i="3"/>
  <c r="D41" i="3"/>
  <c r="B42" i="3"/>
  <c r="D42" i="3"/>
  <c r="B43" i="3"/>
  <c r="D43" i="3"/>
  <c r="B44" i="3"/>
  <c r="D44" i="3"/>
  <c r="B45" i="3"/>
  <c r="D45" i="3"/>
  <c r="B46" i="3"/>
  <c r="D46" i="3"/>
  <c r="F7" i="3"/>
  <c r="D7" i="3"/>
  <c r="F6" i="3"/>
  <c r="F5" i="3"/>
  <c r="F4" i="3"/>
  <c r="D4" i="3"/>
  <c r="B5" i="3"/>
  <c r="D5" i="3"/>
  <c r="B6" i="3"/>
  <c r="D6" i="3"/>
  <c r="I5" i="5"/>
  <c r="C5" i="11" a="1"/>
  <c r="C5" i="11" s="1"/>
  <c r="E5" i="11" s="1"/>
  <c r="F2" i="8"/>
  <c r="C10" i="11"/>
  <c r="E10" i="11"/>
  <c r="D365" i="3"/>
  <c r="B2" i="11"/>
  <c r="D5" i="12" l="1"/>
  <c r="B6" i="12" s="1"/>
  <c r="D6" i="12" s="1"/>
  <c r="B7" i="12" s="1"/>
  <c r="D7" i="12" s="1"/>
  <c r="B8" i="12" s="1"/>
  <c r="D8" i="12" s="1"/>
  <c r="B9" i="12" s="1"/>
  <c r="D9" i="12" s="1"/>
  <c r="B10" i="12" s="1"/>
  <c r="D10" i="12" s="1"/>
  <c r="B11" i="12" s="1"/>
  <c r="D11" i="12" s="1"/>
  <c r="B12" i="12" s="1"/>
  <c r="D12" i="12" s="1"/>
  <c r="B13" i="12" s="1"/>
  <c r="D13" i="12" s="1"/>
  <c r="B14" i="12" s="1"/>
  <c r="D14" i="12" s="1"/>
  <c r="B15" i="12" s="1"/>
  <c r="D15" i="12" s="1"/>
  <c r="B16" i="12" s="1"/>
  <c r="D16" i="12" s="1"/>
  <c r="B17" i="12" s="1"/>
  <c r="D17" i="12" s="1"/>
  <c r="B18" i="12" s="1"/>
  <c r="D18" i="12" s="1"/>
  <c r="B19" i="12" s="1"/>
  <c r="D19" i="12" s="1"/>
  <c r="B20" i="12" s="1"/>
  <c r="D20" i="12" s="1"/>
  <c r="B21" i="12" s="1"/>
  <c r="D21" i="12" s="1"/>
  <c r="B22" i="12" s="1"/>
  <c r="D22" i="12" s="1"/>
  <c r="B23" i="12" s="1"/>
  <c r="D23" i="12" s="1"/>
  <c r="B24" i="12" s="1"/>
  <c r="D24" i="12" s="1"/>
  <c r="B25" i="12" s="1"/>
  <c r="D25" i="12" s="1"/>
  <c r="B26" i="12" s="1"/>
  <c r="D26" i="12" s="1"/>
  <c r="B27" i="12" s="1"/>
  <c r="D27" i="12" s="1"/>
  <c r="B28" i="12" s="1"/>
  <c r="D28" i="12" s="1"/>
  <c r="B29" i="12" s="1"/>
  <c r="D29" i="12" s="1"/>
  <c r="B30" i="12" s="1"/>
  <c r="D30" i="12" s="1"/>
  <c r="B31" i="12" s="1"/>
  <c r="D31" i="12" s="1"/>
  <c r="B32" i="12" s="1"/>
  <c r="D32" i="12" s="1"/>
  <c r="B33" i="12" s="1"/>
  <c r="D33" i="12" s="1"/>
  <c r="B34" i="12" s="1"/>
  <c r="D34" i="12" s="1"/>
  <c r="B35" i="12" s="1"/>
  <c r="D35" i="12" s="1"/>
  <c r="B36" i="12" s="1"/>
  <c r="D36" i="12" s="1"/>
  <c r="B37" i="12" s="1"/>
  <c r="D37" i="12" s="1"/>
  <c r="B38" i="12" s="1"/>
  <c r="D38" i="12" s="1"/>
  <c r="B39" i="12" s="1"/>
  <c r="D39" i="12" s="1"/>
  <c r="B40" i="12" s="1"/>
  <c r="D40" i="12" s="1"/>
  <c r="C3" i="11"/>
  <c r="E2" i="11"/>
  <c r="B11" i="11"/>
  <c r="B12" i="11" s="1"/>
  <c r="E3" i="11"/>
  <c r="J2" i="12"/>
  <c r="M3" i="1"/>
  <c r="E12" i="11"/>
  <c r="C11" i="11"/>
  <c r="K28" i="6"/>
  <c r="N28" i="6"/>
  <c r="J2" i="3"/>
  <c r="G18" i="6" a="1"/>
  <c r="G18" i="6" s="1"/>
  <c r="J18" i="6" s="1"/>
  <c r="N18" i="6" s="1"/>
  <c r="N26" i="6"/>
  <c r="K26" i="6"/>
  <c r="L26" i="6"/>
  <c r="L21" i="6"/>
  <c r="N21" i="6"/>
  <c r="K21" i="6"/>
  <c r="K19" i="6"/>
  <c r="L19" i="6"/>
  <c r="N19" i="6"/>
  <c r="L27" i="6"/>
  <c r="K27" i="6"/>
  <c r="N27" i="6"/>
  <c r="K5" i="6"/>
  <c r="N5" i="6"/>
  <c r="L5" i="6"/>
  <c r="N7" i="6"/>
  <c r="K7" i="6"/>
  <c r="L7" i="6"/>
  <c r="K8" i="6"/>
  <c r="N8" i="6"/>
  <c r="L8" i="6"/>
  <c r="L14" i="6"/>
  <c r="N14" i="6"/>
  <c r="K14" i="6"/>
  <c r="K10" i="6"/>
  <c r="L10" i="6"/>
  <c r="N10" i="6"/>
  <c r="L23" i="6"/>
  <c r="N23" i="6"/>
  <c r="K23" i="6"/>
  <c r="K20" i="6"/>
  <c r="L20" i="6"/>
  <c r="N20" i="6"/>
  <c r="L16" i="6"/>
  <c r="K16" i="6"/>
  <c r="N16" i="6"/>
  <c r="J4" i="9"/>
  <c r="C7" i="11"/>
  <c r="E4" i="9"/>
  <c r="K4" i="9" s="1"/>
  <c r="L22" i="6"/>
  <c r="N22" i="6"/>
  <c r="K22" i="6"/>
  <c r="K11" i="6"/>
  <c r="L11" i="6"/>
  <c r="N11" i="6"/>
  <c r="L13" i="6"/>
  <c r="N13" i="6"/>
  <c r="K13" i="6"/>
  <c r="K15" i="6"/>
  <c r="L15" i="6"/>
  <c r="N15" i="6"/>
  <c r="K12" i="6"/>
  <c r="N12" i="6"/>
  <c r="L12" i="6"/>
  <c r="K9" i="6"/>
  <c r="N9" i="6"/>
  <c r="L9" i="6"/>
  <c r="N17" i="6"/>
  <c r="L17" i="6"/>
  <c r="K17" i="6"/>
  <c r="N24" i="6"/>
  <c r="K24" i="6"/>
  <c r="L24" i="6"/>
  <c r="L6" i="6"/>
  <c r="K6" i="6"/>
  <c r="N6" i="6"/>
  <c r="L28" i="6"/>
  <c r="E15" i="11"/>
  <c r="D15" i="11" s="1"/>
  <c r="E11" i="11" l="1"/>
  <c r="R9" i="6"/>
  <c r="L18" i="6"/>
  <c r="K18" i="6"/>
  <c r="R25" i="6" s="1"/>
  <c r="R21" i="6"/>
  <c r="C4" i="11"/>
  <c r="R13" i="6"/>
  <c r="C6" i="11"/>
  <c r="E7" i="11"/>
  <c r="R29" i="6"/>
  <c r="C8" i="11"/>
  <c r="E4" i="11" l="1"/>
  <c r="D5" i="11"/>
  <c r="D10" i="11"/>
  <c r="D2" i="11"/>
  <c r="D9" i="11"/>
  <c r="D4" i="11"/>
  <c r="D3" i="11"/>
  <c r="E8" i="11"/>
  <c r="D8" i="11"/>
  <c r="D7" i="11"/>
  <c r="E6" i="11"/>
  <c r="D6" i="11"/>
  <c r="B13" i="11" l="1"/>
  <c r="B14" i="11" s="1"/>
  <c r="C13" i="11" l="1"/>
  <c r="E13" i="11" l="1"/>
  <c r="C14" i="11"/>
  <c r="A21" i="11" l="1"/>
  <c r="C23" i="11" s="1"/>
  <c r="E14" i="11"/>
  <c r="C16" i="11"/>
  <c r="E16" i="11" l="1"/>
  <c r="B17" i="11" l="1"/>
  <c r="C17" i="11" l="1"/>
  <c r="E17" i="11" l="1"/>
  <c r="D14" i="11"/>
  <c r="D16" i="11"/>
  <c r="D17" i="11"/>
  <c r="D13" i="11"/>
  <c r="D12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1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9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<sst xmlns="http://schemas.openxmlformats.org/spreadsheetml/2006/main" count="1709" uniqueCount="141">
  <si>
    <t>Extrato de movimentações</t>
  </si>
  <si>
    <t>Saídas</t>
  </si>
  <si>
    <t>Entradas</t>
  </si>
  <si>
    <t xml:space="preserve">Descrição </t>
  </si>
  <si>
    <t>Data</t>
  </si>
  <si>
    <t>Tipo</t>
  </si>
  <si>
    <t>Valor</t>
  </si>
  <si>
    <t>Origem</t>
  </si>
  <si>
    <t>Destino</t>
  </si>
  <si>
    <t>Recebedor</t>
  </si>
  <si>
    <t>Saída</t>
  </si>
  <si>
    <t>Banco inter</t>
  </si>
  <si>
    <t>Nubank</t>
  </si>
  <si>
    <t>Armando rodrigues progenio neto</t>
  </si>
  <si>
    <t>Entrada</t>
  </si>
  <si>
    <t>Lucro</t>
  </si>
  <si>
    <t>CDB</t>
  </si>
  <si>
    <t>FII</t>
  </si>
  <si>
    <t>Empréstimo</t>
  </si>
  <si>
    <t>Despesas</t>
  </si>
  <si>
    <t>%</t>
  </si>
  <si>
    <t>Instituição</t>
  </si>
  <si>
    <t>Observação</t>
  </si>
  <si>
    <t>I.P.C.A</t>
  </si>
  <si>
    <t>Valor projetado</t>
  </si>
  <si>
    <t>Futuro</t>
  </si>
  <si>
    <t>Total Aplicado</t>
  </si>
  <si>
    <t>Sempre colocar o valor mais o I.P.C.A do mês.</t>
  </si>
  <si>
    <t>Banco Inter</t>
  </si>
  <si>
    <t>Ainda vou decidir o que vou fazer com esse dinheiro.</t>
  </si>
  <si>
    <t>Dias</t>
  </si>
  <si>
    <t>Buscar o valor investido de outras corretoras</t>
  </si>
  <si>
    <t>Rendimento</t>
  </si>
  <si>
    <t>Nome</t>
  </si>
  <si>
    <t>Capital em dólar</t>
  </si>
  <si>
    <t>Remetente</t>
  </si>
  <si>
    <t>Valor de depósito</t>
  </si>
  <si>
    <t>Cotação</t>
  </si>
  <si>
    <t>Taxas</t>
  </si>
  <si>
    <t>Valor em dólar</t>
  </si>
  <si>
    <t>Total</t>
  </si>
  <si>
    <t>Cotação atual</t>
  </si>
  <si>
    <t>Total em reais</t>
  </si>
  <si>
    <t>Banco inter Global Account</t>
  </si>
  <si>
    <t>Ticker</t>
  </si>
  <si>
    <t>Nome do ativo</t>
  </si>
  <si>
    <t>QTD</t>
  </si>
  <si>
    <t>Valor da compra</t>
  </si>
  <si>
    <t>Dividendos pagos</t>
  </si>
  <si>
    <t>Média de lucro diário</t>
  </si>
  <si>
    <t>Em posse</t>
  </si>
  <si>
    <t>Operação</t>
  </si>
  <si>
    <t>Total aplicado</t>
  </si>
  <si>
    <t>Sim</t>
  </si>
  <si>
    <t>Renda variável</t>
  </si>
  <si>
    <t>Rico</t>
  </si>
  <si>
    <t>MXRF11</t>
  </si>
  <si>
    <t>Não</t>
  </si>
  <si>
    <t>Day Trader</t>
  </si>
  <si>
    <t>Lucro total</t>
  </si>
  <si>
    <t>BDR</t>
  </si>
  <si>
    <t>Total FII</t>
  </si>
  <si>
    <t>Day Trade</t>
  </si>
  <si>
    <t>Total BDR</t>
  </si>
  <si>
    <t>Aplicado</t>
  </si>
  <si>
    <t>Categoria</t>
  </si>
  <si>
    <t>Lucro Real</t>
  </si>
  <si>
    <t>Dividendos</t>
  </si>
  <si>
    <t xml:space="preserve">Empéstimo </t>
  </si>
  <si>
    <t>Caixa econômica federal</t>
  </si>
  <si>
    <t>Preço Atual/Venda</t>
  </si>
  <si>
    <t>Fii</t>
  </si>
  <si>
    <t>Consórcio</t>
  </si>
  <si>
    <t>Negociação</t>
  </si>
  <si>
    <t>Capital de giro</t>
  </si>
  <si>
    <t>Itaú</t>
  </si>
  <si>
    <t>Inter</t>
  </si>
  <si>
    <t>ETF</t>
  </si>
  <si>
    <t>PETR4</t>
  </si>
  <si>
    <t>Média de lucro total</t>
  </si>
  <si>
    <t>Valor investido</t>
  </si>
  <si>
    <t>Valor atual</t>
  </si>
  <si>
    <t>Tesouro nacional</t>
  </si>
  <si>
    <t>Juros</t>
  </si>
  <si>
    <t>Vencimento</t>
  </si>
  <si>
    <t>Tem que vender pois o risco é muito alto</t>
  </si>
  <si>
    <t>Tesouro direto</t>
  </si>
  <si>
    <t>-</t>
  </si>
  <si>
    <t>inter</t>
  </si>
  <si>
    <t>Nikos ouro fim</t>
  </si>
  <si>
    <t>lucro</t>
  </si>
  <si>
    <t>Ações vendidas</t>
  </si>
  <si>
    <t>Ações disponíveis</t>
  </si>
  <si>
    <t>Crypto</t>
  </si>
  <si>
    <t>Valor Compra</t>
  </si>
  <si>
    <t>Valor Venda</t>
  </si>
  <si>
    <t>Quantidade</t>
  </si>
  <si>
    <t>Binance</t>
  </si>
  <si>
    <t xml:space="preserve"> </t>
  </si>
  <si>
    <t>JCP</t>
  </si>
  <si>
    <t>Aplicação</t>
  </si>
  <si>
    <t>Salário</t>
  </si>
  <si>
    <t>AAZQ11</t>
  </si>
  <si>
    <t>B3SA3</t>
  </si>
  <si>
    <t>DDC4</t>
  </si>
  <si>
    <t>BBDC4</t>
  </si>
  <si>
    <t>Alimentação</t>
  </si>
  <si>
    <t>Contas</t>
  </si>
  <si>
    <t>Uber</t>
  </si>
  <si>
    <t>Adriane</t>
  </si>
  <si>
    <t>Saúde</t>
  </si>
  <si>
    <t>Ajuste</t>
  </si>
  <si>
    <t>CMIG4</t>
  </si>
  <si>
    <t>Descrição</t>
  </si>
  <si>
    <t>Investido</t>
  </si>
  <si>
    <t>Atual</t>
  </si>
  <si>
    <t>Fundo de investimento</t>
  </si>
  <si>
    <t>Tesouro</t>
  </si>
  <si>
    <t>Capital aplicado</t>
  </si>
  <si>
    <t>Capital de Giro</t>
  </si>
  <si>
    <t>Férias</t>
  </si>
  <si>
    <t>Atingi um ano e resolvi parado para ficar viável o capital, então cortei pela metade, assim garantindo os aportes sem auto-enganação, receber os empréstimos fechar o saldo e depois decidir se vai realocar o valor</t>
  </si>
  <si>
    <t>CDB 2026</t>
  </si>
  <si>
    <t>CDB 2025</t>
  </si>
  <si>
    <t xml:space="preserve">  </t>
  </si>
  <si>
    <t>NUbank</t>
  </si>
  <si>
    <t>Meta para 2025</t>
  </si>
  <si>
    <t>Meta para 2026</t>
  </si>
  <si>
    <t xml:space="preserve">                                         </t>
  </si>
  <si>
    <t>Jamille Amigão</t>
  </si>
  <si>
    <t>7 vezes</t>
  </si>
  <si>
    <t>5 vezes</t>
  </si>
  <si>
    <t>5 Vezes</t>
  </si>
  <si>
    <t>Caxinha 2026</t>
  </si>
  <si>
    <t>Lourival</t>
  </si>
  <si>
    <t>Mãe</t>
  </si>
  <si>
    <t>13/02/226</t>
  </si>
  <si>
    <t>Caixinha 2026</t>
  </si>
  <si>
    <t>Waldriano</t>
  </si>
  <si>
    <t>Folha de pagamento Armando Neto</t>
  </si>
  <si>
    <t>Encargos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</si>
</sst>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[$USD]\ * #,##0.00_-;\-[$USD]\ * #,##0.00_-;_-[$USD]\ * &quot;-&quot;??_-;_-@_-"/>
    <numFmt numFmtId="166" formatCode="_-[$R$-416]\ * #,##0.00_-;\-[$R$-416]\ * #,##0.00_-;_-[$R$-416]\ * &quot;-&quot;??_-;_-@_-"/>
    <numFmt numFmtId="167" formatCode="_-&quot;R$&quot;\ * #,##0.0000_-;\-&quot;R$&quot;\ * #,##0.0000_-;_-&quot;R$&quot;\ * &quot;-&quot;??_-;_-@_-"/>
    <numFmt numFmtId="168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43" fontId="1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44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 wrapText="1"/>
    </xf>
    <xf numFmtId="14" fontId="0" fillId="0" borderId="2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6" xfId="0" applyNumberFormat="1" applyBorder="1"/>
    <xf numFmtId="44" fontId="0" fillId="0" borderId="6" xfId="1" applyFont="1" applyBorder="1"/>
    <xf numFmtId="0" fontId="0" fillId="0" borderId="2" xfId="2" applyNumberFormat="1" applyFont="1" applyBorder="1" applyAlignment="1">
      <alignment horizontal="center" vertical="center" wrapText="1"/>
    </xf>
    <xf numFmtId="14" fontId="0" fillId="0" borderId="3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2" applyNumberFormat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4" fontId="0" fillId="0" borderId="9" xfId="1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14" fontId="0" fillId="0" borderId="7" xfId="1" applyNumberFormat="1" applyFon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2" applyNumberFormat="1" applyFont="1"/>
    <xf numFmtId="14" fontId="0" fillId="0" borderId="5" xfId="0" applyNumberFormat="1" applyBorder="1" applyAlignment="1">
      <alignment horizontal="center" vertical="center"/>
    </xf>
    <xf numFmtId="0" fontId="0" fillId="7" borderId="4" xfId="0" applyFill="1" applyBorder="1"/>
    <xf numFmtId="44" fontId="0" fillId="4" borderId="4" xfId="1" applyFont="1" applyFill="1" applyBorder="1"/>
    <xf numFmtId="10" fontId="0" fillId="0" borderId="4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5" fontId="0" fillId="10" borderId="4" xfId="0" applyNumberFormat="1" applyFill="1" applyBorder="1"/>
    <xf numFmtId="14" fontId="0" fillId="0" borderId="7" xfId="0" applyNumberFormat="1" applyBorder="1"/>
    <xf numFmtId="0" fontId="0" fillId="9" borderId="4" xfId="0" applyFill="1" applyBorder="1" applyAlignment="1">
      <alignment horizontal="center" vertical="center" wrapText="1"/>
    </xf>
    <xf numFmtId="0" fontId="3" fillId="0" borderId="0" xfId="0" applyFont="1"/>
    <xf numFmtId="166" fontId="0" fillId="10" borderId="4" xfId="0" applyNumberFormat="1" applyFill="1" applyBorder="1"/>
    <xf numFmtId="0" fontId="0" fillId="0" borderId="0" xfId="0" applyAlignment="1">
      <alignment horizontal="center" vertical="center"/>
    </xf>
    <xf numFmtId="166" fontId="0" fillId="9" borderId="4" xfId="0" applyNumberFormat="1" applyFill="1" applyBorder="1" applyAlignment="1">
      <alignment horizontal="center" vertical="center" wrapText="1"/>
    </xf>
    <xf numFmtId="166" fontId="0" fillId="10" borderId="4" xfId="0" applyNumberFormat="1" applyFill="1" applyBorder="1" applyAlignment="1">
      <alignment wrapText="1"/>
    </xf>
    <xf numFmtId="0" fontId="0" fillId="5" borderId="4" xfId="0" applyFill="1" applyBorder="1" applyAlignment="1">
      <alignment horizontal="center" vertical="center" wrapText="1"/>
    </xf>
    <xf numFmtId="44" fontId="0" fillId="6" borderId="4" xfId="0" applyNumberFormat="1" applyFill="1" applyBorder="1"/>
    <xf numFmtId="44" fontId="0" fillId="0" borderId="4" xfId="0" applyNumberFormat="1" applyBorder="1"/>
    <xf numFmtId="14" fontId="0" fillId="0" borderId="6" xfId="0" applyNumberFormat="1" applyBorder="1" applyAlignment="1">
      <alignment horizontal="center" vertical="center"/>
    </xf>
    <xf numFmtId="44" fontId="1" fillId="0" borderId="6" xfId="1" applyBorder="1" applyAlignment="1">
      <alignment horizontal="center" vertical="center"/>
    </xf>
    <xf numFmtId="165" fontId="0" fillId="0" borderId="6" xfId="0" applyNumberFormat="1" applyBorder="1"/>
    <xf numFmtId="44" fontId="1" fillId="0" borderId="6" xfId="1" applyBorder="1"/>
    <xf numFmtId="0" fontId="0" fillId="0" borderId="3" xfId="0" applyBorder="1"/>
    <xf numFmtId="0" fontId="1" fillId="0" borderId="6" xfId="2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12" borderId="0" xfId="0" applyFill="1"/>
    <xf numFmtId="166" fontId="0" fillId="0" borderId="0" xfId="0" applyNumberFormat="1"/>
    <xf numFmtId="0" fontId="0" fillId="0" borderId="4" xfId="0" applyBorder="1" applyAlignment="1">
      <alignment horizontal="left" vertical="center"/>
    </xf>
    <xf numFmtId="165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4" fontId="0" fillId="0" borderId="4" xfId="1" applyFont="1" applyBorder="1"/>
    <xf numFmtId="165" fontId="0" fillId="0" borderId="4" xfId="1" applyNumberFormat="1" applyFont="1" applyBorder="1"/>
    <xf numFmtId="14" fontId="0" fillId="0" borderId="9" xfId="0" applyNumberFormat="1" applyBorder="1"/>
    <xf numFmtId="44" fontId="1" fillId="0" borderId="4" xfId="1" applyBorder="1"/>
    <xf numFmtId="166" fontId="0" fillId="0" borderId="4" xfId="0" applyNumberFormat="1" applyBorder="1"/>
    <xf numFmtId="165" fontId="0" fillId="0" borderId="4" xfId="0" applyNumberFormat="1" applyBorder="1"/>
    <xf numFmtId="0" fontId="4" fillId="0" borderId="8" xfId="0" applyFont="1" applyBorder="1" applyAlignment="1">
      <alignment horizontal="left" vertical="center"/>
    </xf>
    <xf numFmtId="44" fontId="1" fillId="0" borderId="0" xfId="1"/>
    <xf numFmtId="0" fontId="0" fillId="13" borderId="4" xfId="0" applyFill="1" applyBorder="1"/>
    <xf numFmtId="0" fontId="0" fillId="14" borderId="4" xfId="0" applyFill="1" applyBorder="1"/>
    <xf numFmtId="0" fontId="0" fillId="15" borderId="4" xfId="0" applyFill="1" applyBorder="1" applyAlignment="1">
      <alignment horizontal="center" vertical="center"/>
    </xf>
    <xf numFmtId="14" fontId="0" fillId="15" borderId="8" xfId="0" applyNumberFormat="1" applyFill="1" applyBorder="1" applyAlignment="1">
      <alignment horizontal="center" vertical="center"/>
    </xf>
    <xf numFmtId="44" fontId="0" fillId="15" borderId="4" xfId="1" applyFont="1" applyFill="1" applyBorder="1" applyAlignment="1">
      <alignment horizontal="center" vertical="center"/>
    </xf>
    <xf numFmtId="44" fontId="0" fillId="12" borderId="4" xfId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1" fillId="0" borderId="4" xfId="2" applyNumberFormat="1" applyBorder="1" applyAlignment="1">
      <alignment horizontal="center" vertical="center"/>
    </xf>
    <xf numFmtId="44" fontId="1" fillId="0" borderId="4" xfId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11" borderId="4" xfId="0" applyFill="1" applyBorder="1"/>
    <xf numFmtId="0" fontId="0" fillId="5" borderId="4" xfId="0" applyFill="1" applyBorder="1" applyAlignment="1">
      <alignment horizontal="center" vertical="center"/>
    </xf>
    <xf numFmtId="166" fontId="0" fillId="16" borderId="4" xfId="0" applyNumberFormat="1" applyFill="1" applyBorder="1" applyAlignment="1">
      <alignment horizontal="center" vertical="center"/>
    </xf>
    <xf numFmtId="44" fontId="0" fillId="16" borderId="4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4" xfId="0" applyBorder="1"/>
    <xf numFmtId="14" fontId="0" fillId="0" borderId="4" xfId="0" applyNumberFormat="1" applyBorder="1"/>
    <xf numFmtId="168" fontId="0" fillId="0" borderId="4" xfId="3" applyNumberFormat="1" applyFont="1" applyBorder="1"/>
    <xf numFmtId="0" fontId="0" fillId="0" borderId="9" xfId="0" applyBorder="1"/>
    <xf numFmtId="0" fontId="0" fillId="0" borderId="6" xfId="0" applyBorder="1"/>
    <xf numFmtId="14" fontId="0" fillId="0" borderId="6" xfId="0" applyNumberFormat="1" applyBorder="1"/>
    <xf numFmtId="168" fontId="0" fillId="0" borderId="6" xfId="3" applyNumberFormat="1" applyFont="1" applyBorder="1"/>
    <xf numFmtId="0" fontId="0" fillId="2" borderId="8" xfId="0" applyFill="1" applyBorder="1" applyAlignment="1">
      <alignment horizontal="center" vertical="center" wrapText="1"/>
    </xf>
    <xf numFmtId="44" fontId="0" fillId="3" borderId="8" xfId="0" applyNumberFormat="1" applyFill="1" applyBorder="1"/>
    <xf numFmtId="9" fontId="0" fillId="0" borderId="0" xfId="3" applyFont="1"/>
    <xf numFmtId="14" fontId="0" fillId="0" borderId="4" xfId="0" applyNumberFormat="1" applyBorder="1" applyAlignment="1">
      <alignment horizontal="center" vertical="center"/>
    </xf>
    <xf numFmtId="10" fontId="0" fillId="0" borderId="0" xfId="3" applyNumberFormat="1" applyFont="1"/>
    <xf numFmtId="16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left" vertical="top" wrapText="1"/>
    </xf>
    <xf numFmtId="0" fontId="5" fillId="12" borderId="0" xfId="0" applyFont="1" applyFill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11" xfId="0" applyBorder="1"/>
    <xf numFmtId="0" fontId="0" fillId="0" borderId="1" xfId="0" applyBorder="1"/>
    <xf numFmtId="44" fontId="0" fillId="12" borderId="4" xfId="1" applyFont="1" applyFill="1" applyBorder="1" applyAlignment="1">
      <alignment horizontal="center" vertical="center" wrapText="1"/>
    </xf>
    <xf numFmtId="44" fontId="0" fillId="12" borderId="6" xfId="1" applyFont="1" applyFill="1" applyBorder="1" applyAlignment="1">
      <alignment horizontal="center" vertical="center" wrapText="1"/>
    </xf>
    <xf numFmtId="44" fontId="0" fillId="12" borderId="2" xfId="1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2" xfId="0" applyBorder="1"/>
    <xf numFmtId="0" fontId="0" fillId="5" borderId="6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44" fontId="1" fillId="0" borderId="6" xfId="1" applyFill="1" applyBorder="1" applyAlignment="1">
      <alignment horizontal="center" vertical="center"/>
    </xf>
    <xf numFmtId="10" fontId="0" fillId="0" borderId="4" xfId="1" applyNumberFormat="1" applyFont="1" applyFill="1" applyBorder="1" applyAlignment="1">
      <alignment horizontal="center" vertical="center"/>
    </xf>
    <xf numFmtId="44" fontId="0" fillId="0" borderId="4" xfId="1" applyNumberFormat="1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126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2" tint="-0.49998474074526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2" tint="-0.49998474074526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34" formatCode="_-&quot;R$&quot;\ * #,##0.00_-;\-&quot;R$&quot;\ * #,##0.00_-;_-&quot;R$&quot;\ * &quot;-&quot;??_-;_-@_-"/>
    </dxf>
    <dxf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Visão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Geral!$B$1</c:f>
              <c:strCache>
                <c:ptCount val="1"/>
                <c:pt idx="0">
                  <c:v>Investido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Geral!$A$2:$A$17</c15:sqref>
                  </c15:fullRef>
                </c:ext>
              </c:extLst>
              <c:f>(Geral!$A$2:$A$10,Geral!$A$17)</c:f>
              <c:strCache>
                <c:ptCount val="10"/>
                <c:pt idx="0">
                  <c:v>CDB 2025</c:v>
                </c:pt>
                <c:pt idx="1">
                  <c:v>CDB 2026</c:v>
                </c:pt>
                <c:pt idx="2">
                  <c:v>BDR</c:v>
                </c:pt>
                <c:pt idx="3">
                  <c:v>USD/BRL</c:v>
                </c:pt>
                <c:pt idx="4">
                  <c:v>FII</c:v>
                </c:pt>
                <c:pt idx="5">
                  <c:v>Crypto</c:v>
                </c:pt>
                <c:pt idx="6">
                  <c:v>ETF</c:v>
                </c:pt>
                <c:pt idx="7">
                  <c:v>Tesouro</c:v>
                </c:pt>
                <c:pt idx="8">
                  <c:v>Fundo de investimento</c:v>
                </c:pt>
                <c:pt idx="9">
                  <c:v>Caxinha 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Geral!$B$2:$B$17</c15:sqref>
                  </c15:fullRef>
                </c:ext>
              </c:extLst>
              <c:f>(Geral!$B$2:$B$10,Geral!$B$17)</c:f>
              <c:numCache>
                <c:formatCode>_("R$"* #,##0.00_);_("R$"* \(#,##0.00\);_("R$"* "-"??_);_(@_)</c:formatCode>
                <c:ptCount val="10"/>
                <c:pt idx="0">
                  <c:v>966.2723343999445</c:v>
                </c:pt>
                <c:pt idx="1">
                  <c:v>138.04291585635286</c:v>
                </c:pt>
                <c:pt idx="2">
                  <c:v>167.32999999999998</c:v>
                </c:pt>
                <c:pt idx="3">
                  <c:v>296.74</c:v>
                </c:pt>
                <c:pt idx="4">
                  <c:v>208.06999999999996</c:v>
                </c:pt>
                <c:pt idx="5">
                  <c:v>36.002111310000004</c:v>
                </c:pt>
                <c:pt idx="6">
                  <c:v>34.75</c:v>
                </c:pt>
                <c:pt idx="7">
                  <c:v>42.02</c:v>
                </c:pt>
                <c:pt idx="8">
                  <c:v>102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5B6-8249-B646-9CEB28DC52D0}"/>
            </c:ext>
          </c:extLst>
        </c:ser>
        <c:ser>
          <c:idx val="1"/>
          <c:order val="1"/>
          <c:tx>
            <c:strRef>
              <c:f>Geral!$C$1</c:f>
              <c:strCache>
                <c:ptCount val="1"/>
                <c:pt idx="0">
                  <c:v>Atual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Geral!$A$2:$A$17</c15:sqref>
                  </c15:fullRef>
                </c:ext>
              </c:extLst>
              <c:f>(Geral!$A$2:$A$10,Geral!$A$17)</c:f>
              <c:strCache>
                <c:ptCount val="10"/>
                <c:pt idx="0">
                  <c:v>CDB 2025</c:v>
                </c:pt>
                <c:pt idx="1">
                  <c:v>CDB 2026</c:v>
                </c:pt>
                <c:pt idx="2">
                  <c:v>BDR</c:v>
                </c:pt>
                <c:pt idx="3">
                  <c:v>USD/BRL</c:v>
                </c:pt>
                <c:pt idx="4">
                  <c:v>FII</c:v>
                </c:pt>
                <c:pt idx="5">
                  <c:v>Crypto</c:v>
                </c:pt>
                <c:pt idx="6">
                  <c:v>ETF</c:v>
                </c:pt>
                <c:pt idx="7">
                  <c:v>Tesouro</c:v>
                </c:pt>
                <c:pt idx="8">
                  <c:v>Fundo de investimento</c:v>
                </c:pt>
                <c:pt idx="9">
                  <c:v>Caxinha 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Geral!$C$2:$C$17</c15:sqref>
                  </c15:fullRef>
                </c:ext>
              </c:extLst>
              <c:f>(Geral!$C$2:$C$10,Geral!$C$17)</c:f>
              <c:numCache>
                <c:formatCode>_("R$"* #,##0.00_);_("R$"* \(#,##0.00\);_("R$"* "-"??_);_(@_)</c:formatCode>
                <c:ptCount val="10"/>
                <c:pt idx="0">
                  <c:v>972.68233439994447</c:v>
                </c:pt>
                <c:pt idx="1">
                  <c:v>138.93291585635285</c:v>
                </c:pt>
                <c:pt idx="2">
                  <c:v>238.97000000000003</c:v>
                </c:pt>
                <c:pt idx="3">
                  <c:v>262.18842298024146</c:v>
                </c:pt>
                <c:pt idx="4">
                  <c:v>221.11</c:v>
                </c:pt>
                <c:pt idx="5">
                  <c:v>24.33049492</c:v>
                </c:pt>
                <c:pt idx="6">
                  <c:v>39.29</c:v>
                </c:pt>
                <c:pt idx="7">
                  <c:v>43.67</c:v>
                </c:pt>
                <c:pt idx="8">
                  <c:v>106.27</c:v>
                </c:pt>
                <c:pt idx="9">
                  <c:v>6.1595242213035837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5B6-8249-B646-9CEB28DC5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08712144"/>
        <c:axId val="308659824"/>
      </c:barChart>
      <c:catAx>
        <c:axId val="3087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8659824"/>
        <c:crosses val="autoZero"/>
        <c:auto val="1"/>
        <c:lblAlgn val="ctr"/>
        <c:lblOffset val="100"/>
        <c:noMultiLvlLbl val="0"/>
      </c:catAx>
      <c:valAx>
        <c:axId val="30865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8712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847723</xdr:colOff>
      <xdr:row>0</xdr:row>
      <xdr:rowOff>0</xdr:rowOff>
    </xdr:from>
    <xdr:to>
      <xdr:col>22</xdr:col>
      <xdr:colOff>95249</xdr:colOff>
      <xdr:row>24</xdr:row>
      <xdr:rowOff>66674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43AF1E-4B31-85B6-AB72-E632D954F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Empr&#233;stimos.xlsx" TargetMode="External"/><Relationship Id="rId1" Type="http://schemas.openxmlformats.org/officeDocument/2006/relationships/externalLinkPath" Target="Empr&#233;stim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Caixinha%202026.xlsx" TargetMode="External"/><Relationship Id="rId1" Type="http://schemas.openxmlformats.org/officeDocument/2006/relationships/externalLinkPath" Target="Caixinh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"/>
      <sheetName val="Base Clientes"/>
      <sheetName val="Encargos"/>
      <sheetName val="Financeiro"/>
    </sheetNames>
    <sheetDataSet>
      <sheetData sheetId="0">
        <row r="25">
          <cell r="C25">
            <v>100</v>
          </cell>
        </row>
        <row r="28">
          <cell r="C28">
            <v>11814.752387333334</v>
          </cell>
        </row>
        <row r="32">
          <cell r="Q32">
            <v>20831.761563719145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icipantes"/>
      <sheetName val="Geral"/>
      <sheetName val="Investimentos"/>
      <sheetName val="Controle de empréstimos"/>
      <sheetName val="Empréstimos"/>
      <sheetName val="Parcelas"/>
      <sheetName val="Pagamentos"/>
      <sheetName val="Endereços"/>
      <sheetName val="Extrato"/>
    </sheetNames>
    <sheetDataSet>
      <sheetData sheetId="0"/>
      <sheetData sheetId="1">
        <row r="2">
          <cell r="B2">
            <v>350</v>
          </cell>
        </row>
        <row r="3">
          <cell r="B3">
            <v>6.1595242213035837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0">
  <rv s="0">
    <v>pt-BR</v>
    <v>avylgh</v>
    <v>268435456</v>
    <v>1</v>
    <v>Da plataforma Refinitiv</v>
    <v>0</v>
    <v>1</v>
    <v>USD/BRL</v>
    <v>3</v>
    <v>4</v>
    <v>Finance</v>
    <v>5</v>
    <v>6.0959000000000003</v>
    <v>5.1147999999999998</v>
    <v>USD</v>
    <v>5.2638999999999996</v>
    <v>46087.887442129628</v>
    <v>BRL</v>
    <v>US Dollar/Brazilian Real FX Spot Rate</v>
    <v>5.2439999999999998</v>
    <v>USDBRL</v>
    <v>Par de Moedas</v>
    <v>USD/BRL</v>
    <v>-1.9900000000000001E-2</v>
    <v>-3.7799999999999999E-3</v>
  </rv>
  <rv s="1">
    <v>0</v>
  </rv>
  <rv s="2">
    <v>pt-BR</v>
    <v>bo8lf2</v>
    <v>268435456</v>
    <v>1</v>
    <v>Da plataforma Refinitiv</v>
    <v>6</v>
    <v>7</v>
    <v>BTC/BRL</v>
    <v>3</v>
    <v>8</v>
    <v>Finance</v>
    <v>5</v>
    <v>684904</v>
    <v>316311</v>
    <v>359322</v>
    <v>353794</v>
    <v>BTC</v>
    <v>374485</v>
    <v>46088.777928240743</v>
    <v>BRL</v>
    <v>Bitcoin/Brazilian Real FX Cross Rate</v>
    <v>358039</v>
    <v>354362</v>
    <v>BTCBRL</v>
    <v>Par de Moedas</v>
    <v>BTC/BRL</v>
    <v>-17223</v>
    <v>-4.5990999999999997E-2</v>
  </rv>
  <rv s="1">
    <v>2</v>
  </rv>
  <rv s="3">
    <v>pt-BR</v>
    <v>c8f16h</v>
    <v>268435456</v>
    <v>1</v>
    <v>Da plataforma Refinitiv</v>
    <v>9</v>
    <v>10</v>
    <v>AZ QUEST SOLE FI CF (BVMF:AAZQ11)</v>
    <v>3</v>
    <v>11</v>
    <v>Finance</v>
    <v>12</v>
    <v>8.77</v>
    <v>6.4</v>
    <v>BVMF</v>
    <v>8.16</v>
    <v>8.1</v>
    <v>B3 - Brazil Stock Exchange</v>
    <v>8.16</v>
    <v>46087.871179142967</v>
    <v>BRL</v>
    <v>AZ QUEST SOLE FI CF</v>
    <v>8.14</v>
    <v>8.15</v>
    <v>AAZQ11</v>
    <v>Fundos mais negociados</v>
    <v>AZ QUEST SOLE FI CF (BVMF:AAZQ11)</v>
    <v>-0.01</v>
    <v>-1.225E-3</v>
    <v>51622</v>
  </rv>
  <rv s="1">
    <v>4</v>
  </rv>
  <rv s="4">
    <v>https://www.bing.com/financeapi/forcetrigger?t=apn14c&amp;q=BVMF%3aMXRF11&amp;form=skydnc</v>
    <v>Learn more on Bing</v>
  </rv>
  <rv s="5">
    <v>pt-BR</v>
    <v>apn14c</v>
    <v>268435456</v>
    <v>1</v>
    <v>Da plataforma Refinitiv</v>
    <v>13</v>
    <v>14</v>
    <v>MAXI RENDA FII ETF (BVMF:MXRF11)</v>
    <v>15</v>
    <v>11</v>
    <v>Finance</v>
    <v>12</v>
    <v>9.92</v>
    <v>7.93</v>
    <v>BVMF</v>
    <v>9.76</v>
    <v>9.6999999999999993</v>
    <v>B3 - Brazil Stock Exchange</v>
    <v>9.69</v>
    <v>46087.87986122656</v>
    <v>6</v>
    <v>BRL</v>
    <v>MAXI RENDA FII ETF</v>
    <v>9.7200000000000006</v>
    <v>9.76</v>
    <v>MXRF11</v>
    <v>Fundos mais negociados</v>
    <v>MAXI RENDA FII ETF (BVMF:MXRF11)</v>
    <v>7.0000000000000007E-2</v>
    <v>7.2240000000000004E-3</v>
    <v>1589790</v>
  </rv>
  <rv s="1">
    <v>7</v>
  </rv>
  <rv s="4">
    <v>https://www.bing.com/financeapi/forcetrigger?t=bxl3ur&amp;q=BVMF%3aACWI11&amp;form=skydnc</v>
    <v>Learn more on Bing</v>
  </rv>
  <rv s="6">
    <v>pt-BR</v>
    <v>bxl3ur</v>
    <v>268435456</v>
    <v>1</v>
    <v>Da plataforma Refinitiv</v>
    <v>16</v>
    <v>17</v>
    <v>Trend ETF MSCI ACWI FIInd IE (BVMF:ACWI11)</v>
    <v>15</v>
    <v>18</v>
    <v>Finance</v>
    <v>12</v>
    <v>17</v>
    <v>12.43</v>
    <v>BVMF</v>
    <v>15.86</v>
    <v>15.57</v>
    <v>0.96840000000000004</v>
    <v>B3 - Brazil Stock Exchange</v>
    <v>185718773.78</v>
    <v>15.83</v>
    <v>46087</v>
    <v>9</v>
    <v>BRL</v>
    <v>Trend ETF MSCI ACWI FIInd IE</v>
    <v>15.86</v>
    <v>15.57</v>
    <v>ACWI11</v>
    <v>Fundos mais negociados</v>
    <v>Trend ETF MSCI ACWI FIInd IE (BVMF:ACWI11)</v>
    <v>-0.26</v>
    <v>-1.6425000000000002E-2</v>
    <v>193905</v>
  </rv>
  <rv s="1">
    <v>10</v>
  </rv>
  <rv s="4">
    <v>https://www.bing.com/financeapi/forcetrigger?t=apninm&amp;q=BVMF%3aUCAS3&amp;form=skydnc</v>
    <v>Learn more on Bing</v>
  </rv>
  <rv s="7">
    <v>pt-BR</v>
    <v>apninm</v>
    <v>268435456</v>
    <v>1</v>
    <v>Da plataforma Refinitiv</v>
    <v>19</v>
    <v>20</v>
    <v>Unicasa Indústria de Móveis S/A (BVMF:UCAS3)</v>
    <v>21</v>
    <v>22</v>
    <v>Finance</v>
    <v>12</v>
    <v>1.75</v>
    <v>1.18</v>
    <v>BVMF</v>
    <v>66086360</v>
    <v>1.51</v>
    <v>1985</v>
    <v>1.47</v>
    <v>0.45760000000000001</v>
    <v>B3 - Brazil Stock Exchange</v>
    <v>98468676</v>
    <v>A Unicasa Industria de Moveis S/A, antiga Unica Industria de Moveis Ltda, é uma fabricante brasileira de móveis personalizados. As operações da Companhia compreendem um segmento operacional: A produção, desenvolvimento e venda de móveis feitos sob medida em MDF ou aglomerado de média densidade (MDP). A linha de produção just-in-time da Unicasa é totalmente automatizada e personalizada para suas diferentes linhas de produtos. A empresa oferece uma ampla gama de soluções personalizadas de mobiliário para ambientes residenciais e comerciais, que incluem cozinhas, quartos, armários, home theaters, etc. lavanderias, banheiros e escritórios, entre outros. A Unicasa tem três marcas: Dell Anno, New e Casa Brasileira.</v>
    <v>BVMF</v>
    <v>1.5</v>
    <v>516</v>
    <v>46087.871187140627</v>
    <v>12</v>
    <v>37110</v>
    <v>BRL</v>
    <v>Unicasa Indústria de Móveis S/A</v>
    <v>Unicasa Indústria de Móveis S/A</v>
    <v>1.51</v>
    <v>1.49</v>
    <v>Rodovia Federal BR-470 Km 212,930, Sao Vendelino, BENTO GONCALVES, RIO GRANDE DO SUL, 95.707-540 BR</v>
    <v>Household Goods</v>
    <v>UCAS3</v>
    <v>Ações</v>
    <v>Unicasa Indústria de Móveis S/A (BVMF:UCAS3)</v>
    <v>-0.01</v>
    <v>-6.6669999999999993E-3</v>
    <v>23000</v>
  </rv>
  <rv s="1">
    <v>13</v>
  </rv>
  <rv s="4">
    <v>https://www.bing.com/financeapi/forcetrigger?t=azh5a2&amp;q=BVMF%3aB3SA3&amp;form=skydnc</v>
    <v>Learn more on Bing</v>
  </rv>
  <rv s="7">
    <v>pt-BR</v>
    <v>azh5a2</v>
    <v>268435456</v>
    <v>1</v>
    <v>Da plataforma Refinitiv</v>
    <v>19</v>
    <v>20</v>
    <v>B3 S.A - Brasil, Bolsa, Balcão (BVMF:B3SA3)</v>
    <v>21</v>
    <v>22</v>
    <v>Finance</v>
    <v>12</v>
    <v>18.63</v>
    <v>9.73</v>
    <v>BVMF</v>
    <v>5046500000</v>
    <v>17.5</v>
    <v>2007</v>
    <v>16.88</v>
    <v>1.6960999999999999</v>
    <v>B3 - Brazil Stock Exchange</v>
    <v>87001659999</v>
    <v>B3 SA Brasil Bolsa Balcão, anteriormente BM &amp; F Bovespa SA Bolsa de Valores Mercadorias e Futuros, é uma fornecedora de infra-estruturaa de mercado financeiro no Brasil. As ofertas de serviços da Companhia varia entre negociação cambial, compensação e outros serviços pós-negociação e registro de transações de balcão (OTC). A Companhia também fornece um serviço de listagem e atua como depósito central de valores mobiliários (CSD). Desenvolve soluções de software e oferece serviços de licenciamento de índice. Seu negócio está dividido em quatro segmentos: Bovespa, que abrange a negociação, compensação e liquidação de ações e derivativos patrimoniais; BM &amp; F, que abrange a negociação, compensação e liquidação de derivativos financeiros e de mercadorias (commodities); Cetip Securities (Cetip UTVM), cobrindo os sistemas de registro, compensação, liquidação e custódia de títulos de renda fixa e derivados OTC e Cetip Financing (Cetip UFIN), que fornece um sistema eletrônico privado integrado para registro de empréstimos de veículos e imóveis.</v>
    <v>BVMF</v>
    <v>17.559999999999999</v>
    <v>2135</v>
    <v>46087.880484710156</v>
    <v>15</v>
    <v>41103990</v>
    <v>BRL</v>
    <v>B3 S.A - Brasil, Bolsa, Balcão</v>
    <v>B3 S.A - Brasil, Bolsa, Balcão</v>
    <v>17.45</v>
    <v>17.239999999999998</v>
    <v>Praca Antonio Prado, 48 7 andar, Centro, SAO PAULO, SAO PAULO, 01.010-901 BR</v>
    <v>Investment Banking &amp; Investment Services</v>
    <v>B3SA3</v>
    <v>Ações</v>
    <v>B3 S.A - Brasil, Bolsa, Balcão (BVMF:B3SA3)</v>
    <v>-0.32</v>
    <v>-1.8223E-2</v>
    <v>38253200</v>
  </rv>
  <rv s="1">
    <v>16</v>
  </rv>
  <rv s="4">
    <v>https://www.bing.com/financeapi/forcetrigger?t=aplym7&amp;q=BVMF%3aBBDC4&amp;form=skydnc</v>
    <v>Learn more on Bing</v>
  </rv>
  <rv s="7">
    <v>pt-BR</v>
    <v>aplym7</v>
    <v>268435456</v>
    <v>1</v>
    <v>Da plataforma Refinitiv</v>
    <v>19</v>
    <v>20</v>
    <v>Banco Bradesco S.A. (BVMF:BBDC4)</v>
    <v>21</v>
    <v>22</v>
    <v>Finance</v>
    <v>12</v>
    <v>22.1</v>
    <v>10.28</v>
    <v>BVMF</v>
    <v>10592010000</v>
    <v>19.829999999999998</v>
    <v>1943</v>
    <v>19.34</v>
    <v>1.474</v>
    <v>B3 - Brazil Stock Exchange</v>
    <v>207073795500</v>
    <v>O Banco Bradesco SA é uma empresa brasileira que atua no setor de serviços bancários. A Companhia é um banco de múltiplos serviços, atuando principalmente em dois segmentos: Financeiro e de seguros. O segmento financeiro engloba diversas áreas do setor bancário, atendendo clientes individuais e corporativos, atuando como banco de investimentos em operações bancárias nacionais e internacionais, administração de fundos de investimento, administração de consórcios e gestão de ativos. O segmento de seguro inclui seguro de vida, planos de pensão complementares, saúde, acidentes e seguro de propriedade. A Empresa presta serviços a outras entidades que incluem gestão de ativos e serviços de tesouraria, transações cambiais, finanças corporativas e serviços bancários de investimento, operações de hedging e operações de financiamento, incluindo financiamento de capital de giro, leasing e crédito parcelado.</v>
    <v>BVMF</v>
    <v>19.829999999999998</v>
    <v>82095</v>
    <v>46087.880499339844</v>
    <v>18</v>
    <v>44805830</v>
    <v>BRL</v>
    <v>Banco Bradesco S.A.</v>
    <v>Banco Bradesco S.A.</v>
    <v>19.71</v>
    <v>19.55</v>
    <v>Nucleo Cidade de Deus s/n, Vila Yara, OSASCO, SAO PAULO, 06.029-900 BR</v>
    <v>Banking Services</v>
    <v>BBDC4</v>
    <v>Ações</v>
    <v>Banco Bradesco S.A. (BVMF:BBDC4)</v>
    <v>-0.28000000000000003</v>
    <v>-1.4119999999999999E-2</v>
    <v>37186200</v>
  </rv>
  <rv s="1">
    <v>19</v>
  </rv>
  <rv s="4">
    <v>https://www.bing.com/financeapi/forcetrigger?t=bwrbzr&amp;q=BVMF%3aKNSC11&amp;form=skydnc</v>
    <v>Learn more on Bing</v>
  </rv>
  <rv s="5">
    <v>pt-BR</v>
    <v>bwrbzr</v>
    <v>268435456</v>
    <v>1</v>
    <v>Da plataforma Refinitiv</v>
    <v>13</v>
    <v>14</v>
    <v>KINEA SECURITIES FDO DE INV IMOB CF (BVMF:KNSC11)</v>
    <v>15</v>
    <v>11</v>
    <v>Finance</v>
    <v>12</v>
    <v>9.17</v>
    <v>7.27</v>
    <v>BVMF</v>
    <v>8.98</v>
    <v>8.93</v>
    <v>B3 - Brazil Stock Exchange</v>
    <v>8.9700000000000006</v>
    <v>46087.879166909377</v>
    <v>21</v>
    <v>BRL</v>
    <v>KINEA SECURITIES FDO DE INV IMOB CF</v>
    <v>8.9700000000000006</v>
    <v>8.93</v>
    <v>KNSC11</v>
    <v>Fundos mais negociados</v>
    <v>KINEA SECURITIES FDO DE INV IMOB CF (BVMF:KNSC11)</v>
    <v>-0.04</v>
    <v>-4.4590000000000003E-3</v>
    <v>621009</v>
  </rv>
  <rv s="1">
    <v>22</v>
  </rv>
  <rv s="4">
    <v>https://www.bing.com/financeapi/forcetrigger?t=apnjsm&amp;q=BVMF%3aVALE3&amp;form=skydnc</v>
    <v>Learn more on Bing</v>
  </rv>
  <rv s="7">
    <v>pt-BR</v>
    <v>apnjsm</v>
    <v>268435456</v>
    <v>1</v>
    <v>Da plataforma Refinitiv</v>
    <v>19</v>
    <v>20</v>
    <v>VALE S.A. (BVMF:VALE3)</v>
    <v>21</v>
    <v>22</v>
    <v>Finance</v>
    <v>12</v>
    <v>91.62</v>
    <v>44.77</v>
    <v>BVMF</v>
    <v>4539008000</v>
    <v>81.2</v>
    <v>1943</v>
    <v>78.400000000000006</v>
    <v>0.75070000000000003</v>
    <v>B3 - Brazil Stock Exchange</v>
    <v>357946170880</v>
    <v>A Vale SA, antiga Companhia Vale do Rio Doce, é uma empresa brasileira de metal e mineração que atua principalmente na produção de minério de ferro e níquel. A empresa também produz pelotas de minério de ferro, cobre, metais do grupo platina (PGMs), ouro, prata e cobalto. A Vale está envolvida na exploração mineral verde em cinco países e opera sistemas logísticos no Brasil e em outras regiões do mundo, incluindo ferrovias, terminais marítimos e portos, que são integrados às operações de mineração. Além disso, a Vale possui centros de distribuição para apoiar a entrega de minério de ferro em todo o mundo. A Vale possui inúmeras subsidiárias, incluindo a Vale Logistica Uruguay SA, Vale Holdings BV, Vale Overseas Ltd As operações da Companhia no exterior abrangem aproximadamente 30 países.</v>
    <v>BVMF</v>
    <v>81.290000000000006</v>
    <v>65805</v>
    <v>46087.880412245315</v>
    <v>24</v>
    <v>25747920</v>
    <v>BRL</v>
    <v>VALE S.A.</v>
    <v>VALE S.A.</v>
    <v>80.900000000000006</v>
    <v>78.86</v>
    <v>Torre Oscar Niemeyer, Praia de Botafogo n 186 Salas 1101 1701 1801, Botafogo, RIO DE JANEIRO, RIO DE JANEIRO, 22.250-145 BR</v>
    <v>Metals &amp; Mining</v>
    <v>VALE3</v>
    <v>Ações</v>
    <v>VALE S.A. (BVMF:VALE3)</v>
    <v>-2.4300000000000002</v>
    <v>-2.9892999999999999E-2</v>
    <v>29458300</v>
  </rv>
  <rv s="1">
    <v>25</v>
  </rv>
  <rv s="4">
    <v>https://www.bing.com/financeapi/forcetrigger?t=apn4gh&amp;q=BVMF%3aPETR4&amp;form=skydnc</v>
    <v>Learn more on Bing</v>
  </rv>
  <rv s="7">
    <v>pt-BR</v>
    <v>apn4gh</v>
    <v>268435456</v>
    <v>1</v>
    <v>Da plataforma Refinitiv</v>
    <v>19</v>
    <v>20</v>
    <v>Petróleo Brasileiro S.A. (Petrobras) (BVMF:PETR4)</v>
    <v>21</v>
    <v>22</v>
    <v>Finance</v>
    <v>12</v>
    <v>43.12</v>
    <v>27.3</v>
    <v>BVMF</v>
    <v>12888730000</v>
    <v>43.12</v>
    <v>1953</v>
    <v>41.42</v>
    <v>0.72319999999999995</v>
    <v>B3 - Brazil Stock Exchange</v>
    <v>542744420300</v>
    <v>A Petroleo Brasileiro SA Petrobras é uma empresa sediada no Brasil. A empresa é especializada na indústria de petróleo, gás natural e energia. A Empresa está envolvida na prospeção, perfuração, refino, processamento, comercialização e transporte de petróleo bruto da produção de campos petrolíferos onshore e offshore e de xisto ou outras rochas. Seus segmentos incluem Exploração e Produção (exploração, desenvolvimento e produção de petróleo bruto, líquidos de gás natural e gás natural); Refinação, Transporte, e Marketing (Refinação, logística, transporte, comercialização de produtos petrolíferos, exportação de etanol, processamento de xisto); Gás e Energia (transporte e comercialização de gás natural e importado); Biocombustíveis (produção de biodiesel e etanol); Distribuição (distribuição de combustível); e Corporate (funções administrativas e de apoio).</v>
    <v>BVMF</v>
    <v>40.69</v>
    <v>50687</v>
    <v>46087.880370370367</v>
    <v>27</v>
    <v>52641510</v>
    <v>BRL</v>
    <v>Petróleo Brasileiro S.A. (Petrobras)</v>
    <v>Petróleo Brasileiro S.A. (Petrobras)</v>
    <v>41.9</v>
    <v>42.11</v>
    <v>Av. Republica do Chile, n 65, 24 andar, Centro, Rio de Janeiro, RIO DE JANEIRO, 20.031-912 BR</v>
    <v>Oil &amp; Gas</v>
    <v>PETR4</v>
    <v>Ações</v>
    <v>Petróleo Brasileiro S.A. (Petrobras) (BVMF:PETR4)</v>
    <v>1.42</v>
    <v>3.4897999999999998E-2</v>
    <v>86940500</v>
  </rv>
  <rv s="1">
    <v>28</v>
  </rv>
</rvData>
</file>

<file path=xl/richData/rdrichvaluestructure.xml><?xml version="1.0" encoding="utf-8"?>
<rvStructures xmlns="http://schemas.microsoft.com/office/spreadsheetml/2017/richdata" count="8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Da moeda" t="s"/>
    <k n="Fechamento anterior"/>
    <k n="Hora da última transação"/>
    <k n="Moeda" t="s"/>
    <k n="Nome" t="s"/>
    <k n="Preço"/>
    <k n="Símbolo do ticker" t="s"/>
    <k n="Tipo de instrumento" t="s"/>
    <k n="UniqueName" t="s"/>
    <k n="Variação"/>
    <k n="Variação (%)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eta"/>
    <k n="Bolsa" t="s"/>
    <k n="Capitalização de mercado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6">
    <a count="25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52 semanas de alta</v>
      <v t="s">52 semanas de baixa</v>
      <v t="s">Tipo de instrumento</v>
      <v t="s">_Flags</v>
      <v t="s">UniqueName</v>
      <v t="s">_DisplayString</v>
      <v t="s">%ProviderInfo</v>
    </a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  <a count="30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  <a count="33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Capitalização de mercado</v>
      <v t="s">Beta</v>
      <v t="s">Tipo de instrumento</v>
      <v t="s">_Flags</v>
      <v t="s">UniqueName</v>
      <v t="s">_DisplayString</v>
      <v t="s">LearnMoreOnLink</v>
      <v t="s">%ProviderInfo</v>
    </a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</spbArrays>
  <spbData count="23">
    <spb s="0">
      <v>Name</v>
      <v>Currency</v>
      <v>Price</v>
      <v>From currency</v>
      <v>Change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2</v>
      <v>3</v>
      <v>4</v>
      <v>2</v>
      <v>2</v>
      <v>2</v>
      <v>5</v>
    </spb>
    <spb s="5">
      <v>GMT</v>
    </spb>
    <spb s="6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1</v>
      <v>Name</v>
    </spb>
    <spb s="7">
      <v>2</v>
      <v>1</v>
      <v>2</v>
      <v>2</v>
      <v>2</v>
      <v>2</v>
      <v>3</v>
      <v>4</v>
      <v>2</v>
      <v>2</v>
      <v>2</v>
      <v>5</v>
    </spb>
    <spb s="8">
      <v>High</v>
      <v>Name</v>
      <v>Low</v>
      <v>Exchange</v>
      <v>Currency</v>
      <v>Price</v>
      <v>Volume</v>
      <v>Change</v>
      <v>Open</v>
      <v>UniqueName</v>
      <v>Change (%)</v>
      <v>%ProviderInfo</v>
      <v>Ticker symbol</v>
      <v>52 week high</v>
      <v>52 week low</v>
      <v>Previous close</v>
      <v>Instrument type</v>
      <v>Exchange abbreviation</v>
      <v>Last trade time</v>
    </spb>
    <spb s="1">
      <v>2</v>
      <v>Name</v>
    </spb>
    <spb s="9">
      <v>2</v>
      <v>1</v>
      <v>2</v>
      <v>2</v>
      <v>6</v>
      <v>2</v>
      <v>2</v>
      <v>3</v>
      <v>4</v>
      <v>2</v>
      <v>2</v>
      <v>2</v>
      <v>5</v>
    </spb>
    <spb s="10">
      <v>Atraso de 30 minutos</v>
      <v xml:space="preserve">do fechamento anterior </v>
      <v xml:space="preserve">do fechamento anterior </v>
      <v>GMT</v>
    </spb>
    <spb s="11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2">
      <v>3</v>
      <v>Name</v>
      <v>LearnMoreOnLink</v>
    </spb>
    <spb s="13">
      <v>2</v>
      <v>2</v>
      <v>2</v>
    </spb>
    <spb s="14">
      <v>High</v>
      <v>Beta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Market cap</v>
      <v>Last trade time</v>
    </spb>
    <spb s="12">
      <v>4</v>
      <v>Name</v>
      <v>LearnMoreOnLink</v>
    </spb>
    <spb s="15">
      <v>2</v>
      <v>7</v>
      <v>1</v>
      <v>2</v>
      <v>2</v>
      <v>6</v>
      <v>2</v>
      <v>2</v>
      <v>3</v>
      <v>4</v>
      <v>2</v>
      <v>2</v>
      <v>2</v>
      <v>8</v>
      <v>9</v>
    </spb>
    <spb s="16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2">
      <v>5</v>
      <v>Name</v>
      <v>LearnMoreOnLink</v>
    </spb>
    <spb s="17">
      <v>2</v>
      <v>2</v>
      <v>2</v>
      <v>2</v>
    </spb>
    <spb s="18">
      <v>2</v>
      <v>7</v>
      <v>1</v>
      <v>2</v>
      <v>2</v>
      <v>6</v>
      <v>2</v>
      <v>2</v>
      <v>6</v>
      <v>3</v>
      <v>6</v>
      <v>4</v>
      <v>2</v>
      <v>2</v>
      <v>10</v>
      <v>6</v>
      <v>2</v>
      <v>8</v>
      <v>5</v>
    </spb>
  </spbData>
</supportingPropertyBags>
</file>

<file path=xl/richData/rdsupportingpropertybagstructure.xml><?xml version="1.0" encoding="utf-8"?>
<spbStructures xmlns="http://schemas.microsoft.com/office/spreadsheetml/2017/richdata2" count="19">
  <s>
    <k n="Nome" t="s"/>
    <k n="Moeda" t="s"/>
    <k n="Preço" t="s"/>
    <k n="Da moeda" t="s"/>
    <k n="Variação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Nome" t="i"/>
    <k n="Preço" t="i"/>
    <k n="Variação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Preço" t="s"/>
    <k n="Variação" t="s"/>
    <k n="Variação (%)" t="s"/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^Order" t="spba"/>
    <k n="TitleProperty" t="s"/>
    <k n="SubTitleProperty" t="s"/>
  </s>
  <s>
    <k n="UniqueName" t="spb"/>
    <k n="`%ProviderInfo" t="spb"/>
    <k n="LearnMoreOnLink" t="spb"/>
  </s>
  <s>
    <k n="Alto" t="s"/>
    <k n="Beta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Capitalização de mercado" t="s"/>
    <k n="Hora da última transação" t="s"/>
  </s>
  <s>
    <k n="Alto" t="i"/>
    <k n="Beta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Capitalização de mercado" t="i"/>
    <k n="Hora da última transação" t="i"/>
  </s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8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19" formatCode="dd/mm/yyyy"/>
    </x:dxf>
  </dxfs>
  <richProperties>
    <rPr n="IsTitleField" t="b"/>
    <rPr n="NumberFormat" t="s"/>
  </richProperties>
  <richStyles>
    <rSty>
      <rpv i="0">1</rpv>
    </rSty>
    <rSty dxfid="1">
      <rpv i="1">_-[$R$-pt-BR] * #,##0.00_-;-[$R$-pt-BR] * #,##0.00_-;_-[$R$-pt-BR] * "-"??_-;_-@_-</rpv>
    </rSty>
    <rSty dxfid="3"/>
    <rSty dxfid="0">
      <rpv i="1">0.00</rpv>
    </rSty>
    <rSty dxfid="2"/>
    <rSty dxfid="4">
      <rpv i="1">#,##0</rpv>
    </rSty>
    <rSty dxfid="5">
      <rpv i="1">#,##0.00</rpv>
    </rSty>
    <rSty dxfid="1">
      <rpv i="1">_-[$R$-pt-BR] * #,##0_-;-[$R$-pt-BR] * #,##0_-;_-[$R$-pt-BR] * "-"_-;_-@_-</rpv>
    </rSty>
    <rSty dxfid="7"/>
    <rSty dxfid="6">
      <rpv i="1">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6747F2-F307-47D0-8D30-3B4C22EBE54C}" name="Tabela13" displayName="Tabela13" ref="J5:K6" totalsRowShown="0" headerRowDxfId="123" dataDxfId="121" headerRowBorderDxfId="122" tableBorderDxfId="120" totalsRowBorderDxfId="119">
  <autoFilter ref="J5:K6" xr:uid="{D56747F2-F307-47D0-8D30-3B4C22EBE54C}">
    <filterColumn colId="0" hiddenButton="1"/>
    <filterColumn colId="1" hiddenButton="1"/>
  </autoFilter>
  <tableColumns count="2">
    <tableColumn id="1" xr3:uid="{2C700651-8CC4-43B9-9D64-F58FFB310ED4}" name="Ações vendidas" dataDxfId="118">
      <calculatedColumnFormula>SUMIFS(Tabela4[[Descrição ]],Tabela4[Categoria],"Negociação",Tabela4[Tipo],"Entrada")-SUMIFS(Tabela4[[Descrição ]],Tabela4[Categoria],"Negociação",Tabela4[Tipo],"Saída")</calculatedColumnFormula>
    </tableColumn>
    <tableColumn id="2" xr3:uid="{C18FCF77-3277-46F0-8A8F-9B944EE7CDB8}" name="Ações disponíveis" dataDxfId="117">
      <calculatedColumnFormula>8000-J6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4" displayName="Tabela4" ref="A4:H176" totalsRowShown="0" headerRowDxfId="116" dataDxfId="114" headerRowBorderDxfId="115" tableBorderDxfId="113" totalsRowBorderDxfId="112">
  <autoFilter ref="A4:H176" xr:uid="{00000000-000C-0000-FFFF-FFFF00000000}"/>
  <tableColumns count="8">
    <tableColumn id="1" xr3:uid="{00000000-0010-0000-0000-000001000000}" name="Descrição " dataDxfId="111"/>
    <tableColumn id="7" xr3:uid="{00000000-0010-0000-0000-000007000000}" name="Data" dataDxfId="110"/>
    <tableColumn id="2" xr3:uid="{00000000-0010-0000-0000-000002000000}" name="Tipo" dataDxfId="109"/>
    <tableColumn id="8" xr3:uid="{47A01BA1-A192-4CCE-86E4-D1920D0CD87E}" name="Categoria" dataDxfId="108"/>
    <tableColumn id="3" xr3:uid="{00000000-0010-0000-0000-000003000000}" name="Valor" dataDxfId="107" dataCellStyle="Moeda"/>
    <tableColumn id="4" xr3:uid="{00000000-0010-0000-0000-000004000000}" name="Origem" dataDxfId="106"/>
    <tableColumn id="5" xr3:uid="{00000000-0010-0000-0000-000005000000}" name="Destino" dataDxfId="105"/>
    <tableColumn id="6" xr3:uid="{00000000-0010-0000-0000-000006000000}" name="Recebedor" dataDxfId="104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A0E42AC-822E-4CD8-99CE-F24126766CFE}" name="Geral" displayName="Geral" ref="A1:E17" totalsRowShown="0">
  <autoFilter ref="A1:E17" xr:uid="{0A0E42AC-822E-4CD8-99CE-F24126766CFE}"/>
  <tableColumns count="5">
    <tableColumn id="1" xr3:uid="{758DBDF4-4AF5-4781-ABFA-24A1FBB607CE}" name="Descrição"/>
    <tableColumn id="2" xr3:uid="{4B5A5B7E-1FEE-4A73-89DF-F3762D1D22BF}" name="Investido" dataDxfId="125">
      <calculatedColumnFormula>SUM(CDB[Valor])</calculatedColumnFormula>
    </tableColumn>
    <tableColumn id="3" xr3:uid="{422C9BA8-75DB-45FE-BA4E-C5E14E0209BC}" name="Atual" dataDxfId="124">
      <calculatedColumnFormula>SUM(CDB[Valor])</calculatedColumnFormula>
    </tableColumn>
    <tableColumn id="4" xr3:uid="{C18E965C-6B2B-4F25-B628-7F8DC489EEA4}" name="%" dataCellStyle="Porcentagem">
      <calculatedColumnFormula>Geral[[#This Row],[Atual]]*1/(SUM(Geral[Atual]))</calculatedColumnFormula>
    </tableColumn>
    <tableColumn id="5" xr3:uid="{C775EAD9-6437-41CC-828B-23792A2C04D1}" name="Lucro" dataCellStyle="Moeda">
      <calculatedColumnFormula>Geral[[#This Row],[Atual]]-Geral[[#This Row],[Investido]]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CBDF69-95F5-489E-A4F3-BAA265272049}" name="Fundo" displayName="Fundo" ref="A1:D2" totalsRowShown="0" headerRowCellStyle="Moeda" dataCellStyle="Moeda">
  <autoFilter ref="A1:D2" xr:uid="{87CBDF69-95F5-489E-A4F3-BAA265272049}"/>
  <tableColumns count="4">
    <tableColumn id="1" xr3:uid="{F05908C9-2C9F-44C2-898D-D28E60F146C1}" name="Nome" dataCellStyle="Moeda"/>
    <tableColumn id="2" xr3:uid="{229B3483-238A-4B87-80F0-3812971C76CE}" name="Valor" dataCellStyle="Moeda"/>
    <tableColumn id="3" xr3:uid="{B3C0FEFE-2AA5-46D9-8FFF-461DDDF5729A}" name="lucro" dataCellStyle="Moeda"/>
    <tableColumn id="4" xr3:uid="{B9BC1C76-6ADE-4A9A-9372-2726442151CB}" name="Total" dataDxfId="103">
      <calculatedColumnFormula>B2+C2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DB" displayName="CDB" ref="A3:F369" totalsRowShown="0" headerRowDxfId="20" dataDxfId="19" headerRowBorderDxfId="17" tableBorderDxfId="18" totalsRowBorderDxfId="16">
  <autoFilter ref="A3:F369" xr:uid="{00000000-000C-0000-FFFF-FFFF03000000}"/>
  <tableColumns count="6">
    <tableColumn id="1" xr3:uid="{00000000-0010-0000-0300-000001000000}" name="Instituição" dataDxfId="14" totalsRowDxfId="15"/>
    <tableColumn id="3" xr3:uid="{00000000-0010-0000-0300-000003000000}" name="Valor" dataDxfId="12" totalsRowDxfId="13" dataCellStyle="Moeda" totalsRowCellStyle="Moeda"/>
    <tableColumn id="4" xr3:uid="{00000000-0010-0000-0300-000004000000}" name="I.P.C.A" dataDxfId="10" totalsRowDxfId="11" dataCellStyle="Moeda" totalsRowCellStyle="Moeda"/>
    <tableColumn id="5" xr3:uid="{00000000-0010-0000-0300-000005000000}" name="Valor projetado" dataDxfId="8" totalsRowDxfId="9" dataCellStyle="Moeda" totalsRowCellStyle="Moeda">
      <calculatedColumnFormula>B4+(C4*B4)</calculatedColumnFormula>
    </tableColumn>
    <tableColumn id="6" xr3:uid="{00000000-0010-0000-0300-000006000000}" name="Data" dataDxfId="6" totalsRowDxfId="7" dataCellStyle="Moeda" totalsRowCellStyle="Moeda"/>
    <tableColumn id="8" xr3:uid="{00000000-0010-0000-0300-000008000000}" name="Futuro" dataDxfId="4" totalsRowDxfId="5">
      <calculatedColumnFormula>IF(CDB[[#This Row],[Data]]-TODAY()&lt;1,"Não","Sim")</calculatedColumnFormula>
    </tableColumn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C9DE41-17D3-420D-9D31-9F3314C32545}" name="Tabela14" displayName="Tabela14" ref="J1:L2" totalsRowShown="0" tableBorderDxfId="102">
  <autoFilter ref="J1:L2" xr:uid="{91C9DE41-17D3-420D-9D31-9F3314C32545}"/>
  <tableColumns count="3">
    <tableColumn id="1" xr3:uid="{19F65C79-0798-40B0-B628-BA9FC2413D2A}" name="Total Aplicado" dataDxfId="101">
      <calculatedColumnFormula>SUMIFS(CDB[Valor],CDB[Futuro],"Não")</calculatedColumnFormula>
    </tableColumn>
    <tableColumn id="2" xr3:uid="{334BCBC5-B37F-4DB5-9A27-DAA4126BB29B}" name="Dias" dataDxfId="100">
      <calculatedColumnFormula>COUNTA(CDB[Instituição])</calculatedColumnFormula>
    </tableColumn>
    <tableColumn id="3" xr3:uid="{650F9F0E-ACA2-4084-9476-F32CFEBDBE7B}" name="Rendimento" dataDxfId="99" dataCellStyle="Moeda">
      <calculatedColumnFormula>SUMIFS(Tabela4[Valor],Tabela4[Tipo],"Entrada",Tabela4[Categoria],"Lucro",Tabela4[[Descrição ]],"CDB")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C3C9C-7895-4B2F-AE42-59546A92E5D2}" name="CDB_3" displayName="CDB_3" ref="A3:F65" totalsRowShown="0" headerRowDxfId="98" dataDxfId="96" headerRowBorderDxfId="97" tableBorderDxfId="95" totalsRowBorderDxfId="94">
  <autoFilter ref="A3:F65" xr:uid="{00000000-000C-0000-FFFF-FFFF03000000}"/>
  <tableColumns count="6">
    <tableColumn id="1" xr3:uid="{1DE26463-5F52-4CA8-B093-3A2074F2C2EA}" name="Instituição" dataDxfId="93" totalsRowDxfId="92"/>
    <tableColumn id="3" xr3:uid="{AF62B262-784D-4048-B6A1-9CFFEAF57BC9}" name="Valor" dataDxfId="91" totalsRowDxfId="90" dataCellStyle="Moeda" totalsRowCellStyle="Moeda"/>
    <tableColumn id="4" xr3:uid="{95A9197A-C245-4AEF-A643-FA9820B8690A}" name="I.P.C.A" dataDxfId="89" totalsRowDxfId="88" dataCellStyle="Moeda" totalsRowCellStyle="Moeda"/>
    <tableColumn id="5" xr3:uid="{0B6D2BB8-6AC8-4E8E-A3DC-9ACC91936A13}" name="Valor projetado" dataDxfId="87" totalsRowDxfId="86" dataCellStyle="Moeda" totalsRowCellStyle="Moeda">
      <calculatedColumnFormula>B4+(C4*B4)</calculatedColumnFormula>
    </tableColumn>
    <tableColumn id="6" xr3:uid="{F5D69167-3E62-479B-A42C-37641A90B55D}" name="Data" dataDxfId="85" totalsRowDxfId="84" dataCellStyle="Moeda" totalsRowCellStyle="Moeda"/>
    <tableColumn id="8" xr3:uid="{B0B5A2BF-996D-4CC5-B1C8-F82FE951A29D}" name="Futuro" dataDxfId="83" totalsRowDxfId="82">
      <calculatedColumnFormula>IF(CDB_3[[#This Row],[Data]]-TODAY()&lt;1,"Não","Sim")</calculatedColumnFormula>
    </tableColumn>
  </tableColumns>
  <tableStyleInfo name="TableStyleLight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AC74FB-2EBF-494E-B9D7-C80E09264BA3}" name="Tabela144" displayName="Tabela144" ref="J1:L2" totalsRowShown="0" tableBorderDxfId="81">
  <autoFilter ref="J1:L2" xr:uid="{91C9DE41-17D3-420D-9D31-9F3314C32545}"/>
  <tableColumns count="3">
    <tableColumn id="1" xr3:uid="{6A04868D-088B-40F7-955B-1D8DE1AC019E}" name="Total Aplicado" dataDxfId="80">
      <calculatedColumnFormula>SUMIFS(CDB_3[Valor],CDB_3[Futuro],"Não")+Tabela144[[#This Row],[Rendimento]]</calculatedColumnFormula>
    </tableColumn>
    <tableColumn id="2" xr3:uid="{954AD3B0-D3C2-48F1-B1C5-B767E780066B}" name="Dias" dataDxfId="79">
      <calculatedColumnFormula>COUNTA(CDB_3[Instituição])</calculatedColumnFormula>
    </tableColumn>
    <tableColumn id="3" xr3:uid="{A51B8B05-D281-4079-8338-BB31F8F3BDD1}" name="Rendimento" dataDxfId="78" dataCellStyle="Moeda">
      <calculatedColumnFormula>SUMIFS(Tabela4[Valor],Tabela4[Tipo],"Entrada",Tabela4[Categoria],"Lucro",Tabela4[[Descrição ]],"CDB 2026")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983D5A-58DE-474F-926E-AA46B68A888D}" name="Crypto" displayName="Crypto" ref="A3:H5" totalsRowShown="0" headerRowDxfId="77" dataDxfId="75" headerRowBorderDxfId="76" tableBorderDxfId="74" totalsRowBorderDxfId="73">
  <autoFilter ref="A3:H5" xr:uid="{F6983D5A-58DE-474F-926E-AA46B68A88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EFF645-8CB8-4918-854F-6B99090927E5}" name="Instituição" dataDxfId="72"/>
    <tableColumn id="2" xr3:uid="{20C438C9-0883-46B8-B18E-4EB5DF4F2BC0}" name="Valor Compra" dataDxfId="71" dataCellStyle="Moeda"/>
    <tableColumn id="6" xr3:uid="{96287991-2E22-40B1-A222-9EA656DFFBF9}" name="Ticker" dataDxfId="70"/>
    <tableColumn id="4" xr3:uid="{B818D319-09E4-4D3E-8EBE-86B09040250D}" name="Quantidade" dataDxfId="69"/>
    <tableColumn id="8" xr3:uid="{2862C785-5F28-47C6-B637-D873B16B3E5D}" name="Lucro" dataDxfId="68">
      <calculatedColumnFormula>Crypto[[#This Row],[Valor Venda]]-Crypto[[#This Row],[Valor Compra]]</calculatedColumnFormula>
    </tableColumn>
    <tableColumn id="3" xr3:uid="{B65A6DF4-F4CE-42C0-A41B-726EA83024FA}" name="Valor Venda" dataDxfId="67" dataCellStyle="Moeda">
      <calculatedColumnFormula array="1">_FV(Crypto[[#This Row],[Ticker]],"preço")*Crypto[[#This Row],[Quantidade]]</calculatedColumnFormula>
    </tableColumn>
    <tableColumn id="5" xr3:uid="{8546FE57-66E5-4F65-A1FE-A5536E136F78}" name="Data" dataDxfId="66"/>
    <tableColumn id="9" xr3:uid="{344FFB13-E0CE-4D54-BBDC-6782D9005C16}" name="Em posse" dataDxfId="6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lar" displayName="Dolar" ref="A4:G15" totalsRowShown="0" headerRowDxfId="64" headerRowBorderDxfId="63" tableBorderDxfId="62" totalsRowBorderDxfId="61">
  <autoFilter ref="A4:G15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Remetente" dataDxfId="60"/>
    <tableColumn id="7" xr3:uid="{00000000-0010-0000-0600-000007000000}" name="Destino" dataDxfId="59"/>
    <tableColumn id="2" xr3:uid="{00000000-0010-0000-0600-000002000000}" name="Valor de depósito" dataDxfId="58"/>
    <tableColumn id="3" xr3:uid="{00000000-0010-0000-0600-000003000000}" name="Cotação" dataDxfId="57"/>
    <tableColumn id="4" xr3:uid="{00000000-0010-0000-0600-000004000000}" name="Taxas" dataDxfId="56"/>
    <tableColumn id="5" xr3:uid="{00000000-0010-0000-0600-000005000000}" name="Valor em dólar" dataDxfId="55">
      <calculatedColumnFormula>(C5-E5)/D5</calculatedColumnFormula>
    </tableColumn>
    <tableColumn id="6" xr3:uid="{00000000-0010-0000-0600-000006000000}" name="Data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DR" displayName="BDR" ref="A4:P28" totalsRowShown="0" headerRowDxfId="53" dataDxfId="51" headerRowBorderDxfId="52" tableBorderDxfId="50" totalsRowBorderDxfId="49">
  <autoFilter ref="A4:P28" xr:uid="{00000000-0009-0000-0100-000008000000}"/>
  <tableColumns count="16">
    <tableColumn id="1" xr3:uid="{00000000-0010-0000-0700-000001000000}" name="Instituição" dataDxfId="48"/>
    <tableColumn id="2" xr3:uid="{00000000-0010-0000-0700-000002000000}" name="Observação" dataDxfId="47"/>
    <tableColumn id="5" xr3:uid="{00000000-0010-0000-0700-000005000000}" name="Ticker" dataDxfId="46">
      <calculatedColumnFormula array="1">_FV(BDR[[#This Row],[Nome do ativo]],"Símbolo do ticker",TRUE)</calculatedColumnFormula>
    </tableColumn>
    <tableColumn id="8" xr3:uid="{00000000-0010-0000-0700-000008000000}" name="Nome do ativo" dataDxfId="45"/>
    <tableColumn id="13" xr3:uid="{00000000-0010-0000-0700-00000D000000}" name="QTD" dataDxfId="44" dataCellStyle="Vírgula"/>
    <tableColumn id="14" xr3:uid="{00000000-0010-0000-0700-00000E000000}" name="Valor da compra" dataDxfId="43" dataCellStyle="Moeda"/>
    <tableColumn id="15" xr3:uid="{00000000-0010-0000-0700-00000F000000}" name="Preço Atual/Venda" dataDxfId="42" dataCellStyle="Moeda">
      <calculatedColumnFormula array="1">_FV(BDR[[#This Row],[Nome do ativo]],"Preço")*BDR[[#This Row],[QTD]]</calculatedColumnFormula>
    </tableColumn>
    <tableColumn id="6" xr3:uid="{00000000-0010-0000-0700-000006000000}" name="Data" dataDxfId="41" dataCellStyle="Moeda"/>
    <tableColumn id="4" xr3:uid="{00000000-0010-0000-0700-000004000000}" name="Dividendos pagos" dataDxfId="40"/>
    <tableColumn id="16" xr3:uid="{00000000-0010-0000-0700-000010000000}" name="Lucro" dataDxfId="39">
      <calculatedColumnFormula>(BDR[[#This Row],[Preço Atual/Venda]]-BDR[[#This Row],[Valor da compra]])</calculatedColumnFormula>
    </tableColumn>
    <tableColumn id="11" xr3:uid="{53A2EEA5-FD5A-4086-9BCA-C81EFA32AE8B}" name="Lucro Real" dataDxfId="38">
      <calculatedColumnFormula>BDR[[#This Row],[Lucro]]+BDR[[#This Row],[Dividendos pagos]]</calculatedColumnFormula>
    </tableColumn>
    <tableColumn id="17" xr3:uid="{00000000-0010-0000-0700-000011000000}" name="Média de lucro diário" dataDxfId="37">
      <calculatedColumnFormula>J5/(IF(TODAY()-H5=0,1,TODAY()-H5))</calculatedColumnFormula>
    </tableColumn>
    <tableColumn id="3" xr3:uid="{00000000-0010-0000-0700-000003000000}" name="Em posse" dataDxfId="36"/>
    <tableColumn id="10" xr3:uid="{00000000-0010-0000-0700-00000A000000}" name="Total" dataDxfId="35">
      <calculatedColumnFormula>BDR[[#This Row],[Valor da compra]]+BDR[[#This Row],[Lucro]]</calculatedColumnFormula>
    </tableColumn>
    <tableColumn id="7" xr3:uid="{00000000-0010-0000-0700-000007000000}" name="Tipo" dataDxfId="34"/>
    <tableColumn id="9" xr3:uid="{00000000-0010-0000-0700-000009000000}" name="Operação" dataDxfId="33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EBAA8-91DC-4632-B1B1-99570E24C5A6}" name="Tesouro" displayName="Tesouro" ref="A2:H5" totalsRowShown="0" headerRowDxfId="32" headerRowBorderDxfId="31" tableBorderDxfId="30" totalsRowBorderDxfId="29">
  <autoFilter ref="A2:H5" xr:uid="{D65EBAA8-91DC-4632-B1B1-99570E24C5A6}"/>
  <tableColumns count="8">
    <tableColumn id="1" xr3:uid="{F8B0B4F0-EE52-495D-9723-344BD4F4219C}" name="Nome" dataDxfId="28"/>
    <tableColumn id="2" xr3:uid="{B4C15E8F-C215-4BDD-8596-76E68ABFA52C}" name="Valor investido" dataDxfId="27"/>
    <tableColumn id="3" xr3:uid="{83D8F7E4-2820-4459-B833-25FD3C7FF6C6}" name="Valor atual" dataDxfId="26">
      <calculatedColumnFormula>Tesouro[[#This Row],[Valor investido]]+J7</calculatedColumnFormula>
    </tableColumn>
    <tableColumn id="4" xr3:uid="{EAF1E1E7-EA1A-4D8E-8A12-C8C1FCDDAF53}" name="Data" dataDxfId="25"/>
    <tableColumn id="5" xr3:uid="{5846356F-8F9B-48D5-85E7-20D77A72E277}" name="Vencimento" dataDxfId="24"/>
    <tableColumn id="6" xr3:uid="{ED91CEA1-97AB-435A-A7BD-C94412D6FA42}" name="Em posse" dataDxfId="23"/>
    <tableColumn id="7" xr3:uid="{3960053F-6C7C-4F91-9F8D-BFCE2BF1440C}" name="Juros" dataDxfId="22" dataCellStyle="Porcentagem"/>
    <tableColumn id="8" xr3:uid="{BF2DD6DA-EC74-4911-9389-00FDAAAA8126}" name="Lucro" dataDxfId="21">
      <calculatedColumnFormula>C3-B3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opLeftCell="A160" zoomScaleNormal="100" zoomScaleSheetLayoutView="100" workbookViewId="0">
      <selection activeCell="D176" sqref="D176"/>
    </sheetView>
  </sheetViews>
  <sheetFormatPr defaultRowHeight="15" x14ac:dyDescent="0.25"/>
  <cols>
    <col min="1" max="1" width="49.140625" bestFit="1" customWidth="1"/>
    <col min="2" max="2" width="10.28515625" bestFit="1" customWidth="1"/>
    <col min="4" max="4" width="19.28515625" bestFit="1" customWidth="1"/>
    <col min="5" max="5" width="11.28515625" bestFit="1" customWidth="1"/>
    <col min="6" max="6" width="11" bestFit="1" customWidth="1"/>
    <col min="7" max="7" width="31.7109375" bestFit="1" customWidth="1"/>
    <col min="8" max="8" width="31.28515625" bestFit="1" customWidth="1"/>
    <col min="10" max="10" width="15.140625" bestFit="1" customWidth="1"/>
    <col min="11" max="11" width="17.5703125" bestFit="1" customWidth="1"/>
    <col min="12" max="12" width="13.85546875" bestFit="1" customWidth="1"/>
    <col min="13" max="13" width="12.140625" bestFit="1" customWidth="1"/>
  </cols>
  <sheetData>
    <row r="1" spans="1:13" ht="30.75" customHeight="1" x14ac:dyDescent="0.25">
      <c r="A1" s="110" t="s">
        <v>0</v>
      </c>
      <c r="B1" s="111"/>
      <c r="C1" s="111"/>
      <c r="D1" s="111"/>
      <c r="E1" s="111"/>
      <c r="F1" s="111"/>
      <c r="G1" s="111"/>
      <c r="H1" s="112"/>
    </row>
    <row r="2" spans="1:13" x14ac:dyDescent="0.25">
      <c r="J2" s="39" t="s">
        <v>1</v>
      </c>
      <c r="K2" s="39" t="s">
        <v>2</v>
      </c>
      <c r="L2" s="39" t="s">
        <v>74</v>
      </c>
      <c r="M2" s="39" t="s">
        <v>15</v>
      </c>
    </row>
    <row r="3" spans="1:13" x14ac:dyDescent="0.25">
      <c r="J3" s="40">
        <f>SUMIF(Tabela4[Tipo],"Saída",Tabela4[Valor])</f>
        <v>6925.9304999999995</v>
      </c>
      <c r="K3" s="40">
        <f>SUMIF(Tabela4[Tipo],"Entrada",Tabela4[Valor])</f>
        <v>5423.6000000000022</v>
      </c>
      <c r="L3" s="40">
        <f>SUMIF(Tabela4[Categoria],"Capital de giro",Tabela4[Valor])</f>
        <v>29.589999999999996</v>
      </c>
      <c r="M3" s="40">
        <f>K3-J3+L3</f>
        <v>-1472.7404999999974</v>
      </c>
    </row>
    <row r="4" spans="1:13" x14ac:dyDescent="0.25">
      <c r="A4" s="2" t="s">
        <v>3</v>
      </c>
      <c r="B4" s="2" t="s">
        <v>4</v>
      </c>
      <c r="C4" s="3" t="s">
        <v>5</v>
      </c>
      <c r="D4" s="3" t="s">
        <v>65</v>
      </c>
      <c r="E4" s="3" t="s">
        <v>6</v>
      </c>
      <c r="F4" s="3" t="s">
        <v>7</v>
      </c>
      <c r="G4" s="3" t="s">
        <v>8</v>
      </c>
      <c r="H4" s="7" t="s">
        <v>9</v>
      </c>
    </row>
    <row r="5" spans="1:13" x14ac:dyDescent="0.25">
      <c r="A5" s="9" t="s">
        <v>101</v>
      </c>
      <c r="B5" s="38">
        <v>45672</v>
      </c>
      <c r="C5" s="10" t="s">
        <v>10</v>
      </c>
      <c r="D5" s="10" t="s">
        <v>19</v>
      </c>
      <c r="E5" s="11">
        <v>1.04</v>
      </c>
      <c r="F5" s="10" t="s">
        <v>11</v>
      </c>
      <c r="G5" s="10" t="s">
        <v>12</v>
      </c>
      <c r="H5" s="14" t="s">
        <v>13</v>
      </c>
      <c r="J5" s="92" t="s">
        <v>91</v>
      </c>
      <c r="K5" s="60" t="s">
        <v>92</v>
      </c>
    </row>
    <row r="6" spans="1:13" x14ac:dyDescent="0.25">
      <c r="A6" s="9" t="s">
        <v>56</v>
      </c>
      <c r="B6" s="38">
        <v>45683</v>
      </c>
      <c r="C6" s="10" t="s">
        <v>14</v>
      </c>
      <c r="D6" s="10" t="s">
        <v>67</v>
      </c>
      <c r="E6" s="57">
        <v>0.1</v>
      </c>
      <c r="F6" s="10" t="s">
        <v>11</v>
      </c>
      <c r="G6" s="10" t="s">
        <v>12</v>
      </c>
      <c r="H6" s="14" t="s">
        <v>13</v>
      </c>
      <c r="J6" s="9">
        <f>SUMIFS(Tabela4[[Descrição ]],Tabela4[Categoria],"Negociação",Tabela4[Tipo],"Entrada")-SUMIFS(Tabela4[[Descrição ]],Tabela4[Categoria],"Negociação",Tabela4[Tipo],"Saída")</f>
        <v>3991.6199999999994</v>
      </c>
      <c r="K6" s="14">
        <f>8000-J6</f>
        <v>4008.3800000000006</v>
      </c>
    </row>
    <row r="7" spans="1:13" x14ac:dyDescent="0.25">
      <c r="A7" s="9" t="s">
        <v>68</v>
      </c>
      <c r="B7" s="38">
        <v>45686</v>
      </c>
      <c r="C7" s="10" t="s">
        <v>10</v>
      </c>
      <c r="D7" s="10" t="s">
        <v>18</v>
      </c>
      <c r="E7" s="57">
        <v>20</v>
      </c>
      <c r="F7" s="10" t="s">
        <v>11</v>
      </c>
      <c r="G7" s="10" t="s">
        <v>69</v>
      </c>
      <c r="H7" s="14" t="s">
        <v>13</v>
      </c>
    </row>
    <row r="8" spans="1:13" x14ac:dyDescent="0.25">
      <c r="A8" s="9" t="s">
        <v>68</v>
      </c>
      <c r="B8" s="38">
        <v>45687</v>
      </c>
      <c r="C8" s="10" t="s">
        <v>10</v>
      </c>
      <c r="D8" s="10" t="s">
        <v>18</v>
      </c>
      <c r="E8" s="57">
        <v>5</v>
      </c>
      <c r="F8" s="10" t="s">
        <v>12</v>
      </c>
      <c r="G8" s="10" t="s">
        <v>12</v>
      </c>
      <c r="H8" s="14" t="s">
        <v>13</v>
      </c>
    </row>
    <row r="9" spans="1:13" x14ac:dyDescent="0.25">
      <c r="A9" s="9" t="s">
        <v>16</v>
      </c>
      <c r="B9" s="38">
        <v>45688</v>
      </c>
      <c r="C9" s="10" t="s">
        <v>14</v>
      </c>
      <c r="D9" s="10" t="s">
        <v>15</v>
      </c>
      <c r="E9" s="57">
        <v>0.01</v>
      </c>
      <c r="F9" s="10" t="s">
        <v>12</v>
      </c>
      <c r="G9" s="10" t="s">
        <v>12</v>
      </c>
      <c r="H9" s="14" t="s">
        <v>13</v>
      </c>
    </row>
    <row r="10" spans="1:13" x14ac:dyDescent="0.25">
      <c r="A10" s="9" t="s">
        <v>18</v>
      </c>
      <c r="B10" s="38">
        <v>45696</v>
      </c>
      <c r="C10" s="10" t="s">
        <v>14</v>
      </c>
      <c r="D10" s="10" t="s">
        <v>18</v>
      </c>
      <c r="E10" s="57">
        <v>55.92</v>
      </c>
      <c r="F10" s="10" t="s">
        <v>12</v>
      </c>
      <c r="G10" s="10" t="s">
        <v>12</v>
      </c>
      <c r="H10" s="14" t="s">
        <v>13</v>
      </c>
    </row>
    <row r="11" spans="1:13" x14ac:dyDescent="0.25">
      <c r="A11" s="9" t="s">
        <v>68</v>
      </c>
      <c r="B11" s="38">
        <v>45689</v>
      </c>
      <c r="C11" s="10" t="s">
        <v>10</v>
      </c>
      <c r="D11" s="10" t="s">
        <v>18</v>
      </c>
      <c r="E11" s="57">
        <v>28.5</v>
      </c>
      <c r="F11" s="10" t="s">
        <v>12</v>
      </c>
      <c r="G11" s="10" t="s">
        <v>12</v>
      </c>
      <c r="H11" s="14" t="s">
        <v>13</v>
      </c>
    </row>
    <row r="12" spans="1:13" x14ac:dyDescent="0.25">
      <c r="A12" s="9" t="s">
        <v>18</v>
      </c>
      <c r="B12" s="38">
        <v>45696</v>
      </c>
      <c r="C12" s="10" t="s">
        <v>10</v>
      </c>
      <c r="D12" s="10" t="s">
        <v>18</v>
      </c>
      <c r="E12" s="57">
        <f>55.92-1.14</f>
        <v>54.78</v>
      </c>
      <c r="F12" s="10" t="s">
        <v>12</v>
      </c>
      <c r="G12" s="10" t="s">
        <v>12</v>
      </c>
      <c r="H12" s="14" t="s">
        <v>13</v>
      </c>
    </row>
    <row r="13" spans="1:13" x14ac:dyDescent="0.25">
      <c r="A13" s="9" t="s">
        <v>101</v>
      </c>
      <c r="B13" s="38">
        <v>45696</v>
      </c>
      <c r="C13" s="10" t="s">
        <v>10</v>
      </c>
      <c r="D13" s="10" t="s">
        <v>19</v>
      </c>
      <c r="E13" s="57">
        <v>1.1399999999999999</v>
      </c>
      <c r="F13" s="10" t="s">
        <v>12</v>
      </c>
      <c r="G13" s="10" t="s">
        <v>12</v>
      </c>
      <c r="H13" s="14" t="s">
        <v>13</v>
      </c>
    </row>
    <row r="14" spans="1:13" x14ac:dyDescent="0.25">
      <c r="A14" s="9" t="s">
        <v>56</v>
      </c>
      <c r="B14" s="38">
        <v>45702</v>
      </c>
      <c r="C14" s="10" t="s">
        <v>14</v>
      </c>
      <c r="D14" s="10" t="s">
        <v>67</v>
      </c>
      <c r="E14" s="57">
        <v>0.27</v>
      </c>
      <c r="F14" s="10" t="s">
        <v>12</v>
      </c>
      <c r="G14" s="10" t="s">
        <v>12</v>
      </c>
      <c r="H14" s="14" t="s">
        <v>13</v>
      </c>
    </row>
    <row r="15" spans="1:13" x14ac:dyDescent="0.25">
      <c r="A15" s="9" t="s">
        <v>72</v>
      </c>
      <c r="B15" s="38">
        <v>45706</v>
      </c>
      <c r="C15" s="10" t="s">
        <v>10</v>
      </c>
      <c r="D15" s="10" t="s">
        <v>72</v>
      </c>
      <c r="E15" s="57">
        <v>12</v>
      </c>
      <c r="F15" s="10" t="s">
        <v>12</v>
      </c>
      <c r="G15" s="10" t="s">
        <v>12</v>
      </c>
      <c r="H15" s="14" t="s">
        <v>13</v>
      </c>
    </row>
    <row r="16" spans="1:13" x14ac:dyDescent="0.25">
      <c r="A16" s="9">
        <v>347</v>
      </c>
      <c r="B16" s="38">
        <v>45706</v>
      </c>
      <c r="C16" s="10" t="s">
        <v>14</v>
      </c>
      <c r="D16" s="10" t="s">
        <v>73</v>
      </c>
      <c r="E16" s="57">
        <v>12.01</v>
      </c>
      <c r="F16" s="10" t="s">
        <v>12</v>
      </c>
      <c r="G16" s="10" t="s">
        <v>12</v>
      </c>
      <c r="H16" s="14" t="s">
        <v>13</v>
      </c>
    </row>
    <row r="17" spans="1:8" x14ac:dyDescent="0.25">
      <c r="A17" s="9">
        <v>256</v>
      </c>
      <c r="B17" s="38">
        <v>45708</v>
      </c>
      <c r="C17" s="10" t="s">
        <v>14</v>
      </c>
      <c r="D17" s="10" t="s">
        <v>73</v>
      </c>
      <c r="E17" s="57">
        <v>12.02</v>
      </c>
      <c r="F17" s="10" t="s">
        <v>12</v>
      </c>
      <c r="G17" s="10" t="s">
        <v>12</v>
      </c>
      <c r="H17" s="14" t="s">
        <v>13</v>
      </c>
    </row>
    <row r="18" spans="1:8" x14ac:dyDescent="0.25">
      <c r="A18" s="9" t="s">
        <v>100</v>
      </c>
      <c r="B18" s="38">
        <v>45708</v>
      </c>
      <c r="C18" s="10" t="s">
        <v>10</v>
      </c>
      <c r="D18" s="10" t="s">
        <v>73</v>
      </c>
      <c r="E18" s="57">
        <v>12.02</v>
      </c>
      <c r="F18" s="10" t="s">
        <v>12</v>
      </c>
      <c r="G18" s="10" t="s">
        <v>12</v>
      </c>
      <c r="H18" s="14" t="s">
        <v>13</v>
      </c>
    </row>
    <row r="19" spans="1:8" x14ac:dyDescent="0.25">
      <c r="A19" s="9" t="s">
        <v>18</v>
      </c>
      <c r="B19" s="38">
        <v>45708</v>
      </c>
      <c r="C19" s="10" t="s">
        <v>14</v>
      </c>
      <c r="D19" s="10" t="s">
        <v>18</v>
      </c>
      <c r="E19" s="57">
        <v>56.19</v>
      </c>
      <c r="F19" s="10" t="s">
        <v>12</v>
      </c>
      <c r="G19" s="10" t="s">
        <v>12</v>
      </c>
      <c r="H19" s="14" t="s">
        <v>13</v>
      </c>
    </row>
    <row r="20" spans="1:8" x14ac:dyDescent="0.25">
      <c r="A20" s="9" t="s">
        <v>100</v>
      </c>
      <c r="B20" s="38">
        <v>45708</v>
      </c>
      <c r="C20" s="10" t="s">
        <v>10</v>
      </c>
      <c r="D20" s="10" t="s">
        <v>74</v>
      </c>
      <c r="E20" s="57">
        <v>1.1200000000000001</v>
      </c>
      <c r="F20" s="10" t="s">
        <v>12</v>
      </c>
      <c r="G20" s="10" t="s">
        <v>12</v>
      </c>
      <c r="H20" s="14" t="s">
        <v>13</v>
      </c>
    </row>
    <row r="21" spans="1:8" x14ac:dyDescent="0.25">
      <c r="A21" s="9" t="s">
        <v>16</v>
      </c>
      <c r="B21" s="38">
        <v>45712</v>
      </c>
      <c r="C21" s="10" t="s">
        <v>14</v>
      </c>
      <c r="D21" s="10" t="s">
        <v>15</v>
      </c>
      <c r="E21" s="57">
        <v>0.01</v>
      </c>
      <c r="F21" s="10" t="s">
        <v>12</v>
      </c>
      <c r="G21" s="10" t="s">
        <v>12</v>
      </c>
      <c r="H21" s="14" t="s">
        <v>13</v>
      </c>
    </row>
    <row r="22" spans="1:8" x14ac:dyDescent="0.25">
      <c r="A22" s="9" t="s">
        <v>100</v>
      </c>
      <c r="B22" s="38">
        <v>45712</v>
      </c>
      <c r="C22" s="10" t="s">
        <v>10</v>
      </c>
      <c r="D22" s="10" t="s">
        <v>74</v>
      </c>
      <c r="E22" s="57">
        <v>0.01</v>
      </c>
      <c r="F22" s="10" t="s">
        <v>12</v>
      </c>
      <c r="G22" s="10" t="s">
        <v>12</v>
      </c>
      <c r="H22" s="14" t="s">
        <v>13</v>
      </c>
    </row>
    <row r="23" spans="1:8" x14ac:dyDescent="0.25">
      <c r="A23" s="9" t="s">
        <v>16</v>
      </c>
      <c r="B23" s="38">
        <v>45712</v>
      </c>
      <c r="C23" s="10" t="s">
        <v>14</v>
      </c>
      <c r="D23" s="10" t="s">
        <v>15</v>
      </c>
      <c r="E23" s="57">
        <v>0.01</v>
      </c>
      <c r="F23" s="10" t="s">
        <v>75</v>
      </c>
      <c r="G23" s="10" t="s">
        <v>75</v>
      </c>
      <c r="H23" s="14" t="s">
        <v>13</v>
      </c>
    </row>
    <row r="24" spans="1:8" x14ac:dyDescent="0.25">
      <c r="A24" s="9" t="s">
        <v>18</v>
      </c>
      <c r="B24" s="38">
        <v>45712</v>
      </c>
      <c r="C24" s="10" t="s">
        <v>14</v>
      </c>
      <c r="D24" s="10" t="s">
        <v>15</v>
      </c>
      <c r="E24" s="57">
        <v>0.02</v>
      </c>
      <c r="F24" s="10" t="s">
        <v>75</v>
      </c>
      <c r="G24" s="10" t="s">
        <v>75</v>
      </c>
      <c r="H24" s="14" t="s">
        <v>13</v>
      </c>
    </row>
    <row r="25" spans="1:8" x14ac:dyDescent="0.25">
      <c r="A25" s="9" t="s">
        <v>100</v>
      </c>
      <c r="B25" s="38">
        <v>45712</v>
      </c>
      <c r="C25" s="10" t="s">
        <v>10</v>
      </c>
      <c r="D25" s="10" t="s">
        <v>74</v>
      </c>
      <c r="E25" s="57">
        <v>0.03</v>
      </c>
      <c r="F25" s="10" t="s">
        <v>75</v>
      </c>
      <c r="G25" s="10" t="s">
        <v>75</v>
      </c>
      <c r="H25" s="14" t="s">
        <v>13</v>
      </c>
    </row>
    <row r="26" spans="1:8" x14ac:dyDescent="0.25">
      <c r="A26" s="9" t="s">
        <v>18</v>
      </c>
      <c r="B26" s="38">
        <v>45717</v>
      </c>
      <c r="C26" s="10" t="s">
        <v>14</v>
      </c>
      <c r="D26" s="10" t="s">
        <v>15</v>
      </c>
      <c r="E26" s="57">
        <v>0.01</v>
      </c>
      <c r="F26" s="10" t="s">
        <v>12</v>
      </c>
      <c r="G26" s="10" t="s">
        <v>12</v>
      </c>
      <c r="H26" s="14" t="s">
        <v>13</v>
      </c>
    </row>
    <row r="27" spans="1:8" x14ac:dyDescent="0.25">
      <c r="A27" s="9" t="s">
        <v>100</v>
      </c>
      <c r="B27" s="38">
        <v>45717</v>
      </c>
      <c r="C27" s="10" t="s">
        <v>10</v>
      </c>
      <c r="D27" s="10" t="s">
        <v>74</v>
      </c>
      <c r="E27" s="57">
        <v>0.01</v>
      </c>
      <c r="F27" s="10" t="s">
        <v>12</v>
      </c>
      <c r="G27" s="10" t="s">
        <v>12</v>
      </c>
      <c r="H27" s="14" t="s">
        <v>13</v>
      </c>
    </row>
    <row r="28" spans="1:8" x14ac:dyDescent="0.25">
      <c r="A28" s="9" t="s">
        <v>16</v>
      </c>
      <c r="B28" s="38">
        <v>45689</v>
      </c>
      <c r="C28" s="10" t="s">
        <v>14</v>
      </c>
      <c r="D28" s="10" t="s">
        <v>15</v>
      </c>
      <c r="E28" s="57">
        <v>0.14000000000000001</v>
      </c>
      <c r="F28" s="10" t="s">
        <v>76</v>
      </c>
      <c r="G28" s="10" t="s">
        <v>76</v>
      </c>
      <c r="H28" s="14" t="s">
        <v>13</v>
      </c>
    </row>
    <row r="29" spans="1:8" x14ac:dyDescent="0.25">
      <c r="A29" s="9" t="s">
        <v>100</v>
      </c>
      <c r="B29" s="38">
        <v>45717</v>
      </c>
      <c r="C29" s="10" t="s">
        <v>10</v>
      </c>
      <c r="D29" s="10" t="s">
        <v>74</v>
      </c>
      <c r="E29" s="57">
        <v>0.14000000000000001</v>
      </c>
      <c r="F29" s="10" t="s">
        <v>76</v>
      </c>
      <c r="G29" s="10" t="s">
        <v>76</v>
      </c>
      <c r="H29" s="14" t="s">
        <v>13</v>
      </c>
    </row>
    <row r="30" spans="1:8" x14ac:dyDescent="0.25">
      <c r="A30" s="9" t="s">
        <v>18</v>
      </c>
      <c r="B30" s="38">
        <v>45717</v>
      </c>
      <c r="C30" s="10" t="s">
        <v>10</v>
      </c>
      <c r="D30" s="10" t="s">
        <v>18</v>
      </c>
      <c r="E30" s="57">
        <v>1.49</v>
      </c>
      <c r="F30" s="10" t="s">
        <v>75</v>
      </c>
      <c r="G30" s="10" t="s">
        <v>12</v>
      </c>
      <c r="H30" s="14" t="s">
        <v>13</v>
      </c>
    </row>
    <row r="31" spans="1:8" x14ac:dyDescent="0.25">
      <c r="A31" s="9" t="s">
        <v>18</v>
      </c>
      <c r="B31" s="38">
        <v>45720</v>
      </c>
      <c r="C31" s="10" t="s">
        <v>10</v>
      </c>
      <c r="D31" s="10" t="s">
        <v>18</v>
      </c>
      <c r="E31" s="57">
        <v>40</v>
      </c>
      <c r="F31" s="10" t="s">
        <v>76</v>
      </c>
      <c r="G31" s="10" t="s">
        <v>12</v>
      </c>
      <c r="H31" s="14" t="s">
        <v>13</v>
      </c>
    </row>
    <row r="32" spans="1:8" x14ac:dyDescent="0.25">
      <c r="A32" s="9" t="s">
        <v>18</v>
      </c>
      <c r="B32" s="38">
        <v>45718</v>
      </c>
      <c r="C32" s="10" t="s">
        <v>10</v>
      </c>
      <c r="D32" s="10" t="s">
        <v>18</v>
      </c>
      <c r="E32" s="57">
        <v>49.46</v>
      </c>
      <c r="F32" s="10" t="s">
        <v>76</v>
      </c>
      <c r="G32" s="10" t="s">
        <v>12</v>
      </c>
      <c r="H32" s="14" t="s">
        <v>13</v>
      </c>
    </row>
    <row r="33" spans="1:8" x14ac:dyDescent="0.25">
      <c r="A33" s="9" t="s">
        <v>18</v>
      </c>
      <c r="B33" s="38">
        <v>45722</v>
      </c>
      <c r="C33" s="10" t="s">
        <v>14</v>
      </c>
      <c r="D33" s="10" t="s">
        <v>18</v>
      </c>
      <c r="E33" s="57">
        <v>89.7</v>
      </c>
      <c r="F33" s="10" t="s">
        <v>12</v>
      </c>
      <c r="G33" s="10" t="s">
        <v>76</v>
      </c>
      <c r="H33" s="14" t="s">
        <v>13</v>
      </c>
    </row>
    <row r="34" spans="1:8" x14ac:dyDescent="0.25">
      <c r="A34" s="9" t="s">
        <v>100</v>
      </c>
      <c r="B34" s="38">
        <v>45722</v>
      </c>
      <c r="C34" s="10" t="s">
        <v>10</v>
      </c>
      <c r="D34" s="10" t="s">
        <v>74</v>
      </c>
      <c r="E34" s="57">
        <v>2.94</v>
      </c>
      <c r="F34" s="10" t="s">
        <v>76</v>
      </c>
      <c r="G34" s="10" t="s">
        <v>12</v>
      </c>
      <c r="H34" s="14" t="s">
        <v>13</v>
      </c>
    </row>
    <row r="35" spans="1:8" x14ac:dyDescent="0.25">
      <c r="A35" s="9">
        <v>613</v>
      </c>
      <c r="B35" s="38">
        <v>45722</v>
      </c>
      <c r="C35" s="10" t="s">
        <v>14</v>
      </c>
      <c r="D35" s="10" t="s">
        <v>73</v>
      </c>
      <c r="E35" s="57">
        <v>84.09</v>
      </c>
      <c r="F35" s="10" t="s">
        <v>12</v>
      </c>
      <c r="G35" s="10" t="s">
        <v>12</v>
      </c>
      <c r="H35" s="14" t="s">
        <v>13</v>
      </c>
    </row>
    <row r="36" spans="1:8" x14ac:dyDescent="0.25">
      <c r="A36" s="9" t="s">
        <v>100</v>
      </c>
      <c r="B36" s="38">
        <v>45723</v>
      </c>
      <c r="C36" s="10" t="s">
        <v>10</v>
      </c>
      <c r="D36" s="10" t="s">
        <v>73</v>
      </c>
      <c r="E36" s="57">
        <v>84.09</v>
      </c>
      <c r="F36" s="10" t="s">
        <v>12</v>
      </c>
      <c r="G36" s="10" t="s">
        <v>12</v>
      </c>
      <c r="H36" s="14" t="s">
        <v>13</v>
      </c>
    </row>
    <row r="37" spans="1:8" x14ac:dyDescent="0.25">
      <c r="A37" s="9" t="s">
        <v>16</v>
      </c>
      <c r="B37" s="38">
        <v>45723</v>
      </c>
      <c r="C37" s="10" t="s">
        <v>14</v>
      </c>
      <c r="D37" s="10" t="s">
        <v>15</v>
      </c>
      <c r="E37" s="57">
        <v>0.01</v>
      </c>
      <c r="F37" s="10" t="s">
        <v>76</v>
      </c>
      <c r="G37" s="10" t="s">
        <v>76</v>
      </c>
      <c r="H37" s="14" t="s">
        <v>13</v>
      </c>
    </row>
    <row r="38" spans="1:8" x14ac:dyDescent="0.25">
      <c r="A38" s="9" t="s">
        <v>100</v>
      </c>
      <c r="B38" s="38">
        <v>45723</v>
      </c>
      <c r="C38" s="10" t="s">
        <v>10</v>
      </c>
      <c r="D38" s="10" t="s">
        <v>74</v>
      </c>
      <c r="E38" s="57">
        <v>0.01</v>
      </c>
      <c r="F38" s="10" t="s">
        <v>76</v>
      </c>
      <c r="G38" s="10" t="s">
        <v>76</v>
      </c>
      <c r="H38" s="14" t="s">
        <v>13</v>
      </c>
    </row>
    <row r="39" spans="1:8" x14ac:dyDescent="0.25">
      <c r="A39" s="9" t="s">
        <v>108</v>
      </c>
      <c r="B39" s="38">
        <v>45724</v>
      </c>
      <c r="C39" s="10" t="s">
        <v>10</v>
      </c>
      <c r="D39" s="10" t="s">
        <v>18</v>
      </c>
      <c r="E39" s="57">
        <f>11-1.25</f>
        <v>9.75</v>
      </c>
      <c r="F39" s="10" t="s">
        <v>76</v>
      </c>
      <c r="G39" s="10" t="s">
        <v>12</v>
      </c>
      <c r="H39" s="14" t="s">
        <v>13</v>
      </c>
    </row>
    <row r="40" spans="1:8" x14ac:dyDescent="0.25">
      <c r="A40" s="9" t="s">
        <v>101</v>
      </c>
      <c r="B40" s="38">
        <v>45724</v>
      </c>
      <c r="C40" s="10" t="s">
        <v>10</v>
      </c>
      <c r="D40" s="10" t="s">
        <v>19</v>
      </c>
      <c r="E40" s="57">
        <v>1.25</v>
      </c>
      <c r="F40" s="10" t="s">
        <v>76</v>
      </c>
      <c r="G40" s="10" t="s">
        <v>12</v>
      </c>
      <c r="H40" s="14" t="s">
        <v>13</v>
      </c>
    </row>
    <row r="41" spans="1:8" x14ac:dyDescent="0.25">
      <c r="A41" s="9" t="s">
        <v>16</v>
      </c>
      <c r="B41" s="38">
        <v>45727</v>
      </c>
      <c r="C41" s="10" t="s">
        <v>14</v>
      </c>
      <c r="D41" s="10" t="s">
        <v>15</v>
      </c>
      <c r="E41" s="57">
        <v>0.01</v>
      </c>
      <c r="F41" s="10" t="s">
        <v>12</v>
      </c>
      <c r="G41" s="10" t="s">
        <v>12</v>
      </c>
      <c r="H41" s="14" t="s">
        <v>13</v>
      </c>
    </row>
    <row r="42" spans="1:8" x14ac:dyDescent="0.25">
      <c r="A42" s="9" t="s">
        <v>100</v>
      </c>
      <c r="B42" s="38">
        <v>45727</v>
      </c>
      <c r="C42" s="10" t="s">
        <v>10</v>
      </c>
      <c r="D42" s="10" t="s">
        <v>74</v>
      </c>
      <c r="E42" s="57">
        <v>0.01</v>
      </c>
      <c r="F42" s="10" t="s">
        <v>12</v>
      </c>
      <c r="G42" s="10" t="s">
        <v>12</v>
      </c>
      <c r="H42" s="14" t="s">
        <v>13</v>
      </c>
    </row>
    <row r="43" spans="1:8" x14ac:dyDescent="0.25">
      <c r="A43" s="9" t="s">
        <v>16</v>
      </c>
      <c r="B43" s="38">
        <v>45727</v>
      </c>
      <c r="C43" s="10" t="s">
        <v>14</v>
      </c>
      <c r="D43" s="10" t="s">
        <v>15</v>
      </c>
      <c r="E43" s="57">
        <v>0.05</v>
      </c>
      <c r="F43" s="10" t="s">
        <v>12</v>
      </c>
      <c r="G43" s="10" t="s">
        <v>12</v>
      </c>
      <c r="H43" s="14" t="s">
        <v>13</v>
      </c>
    </row>
    <row r="44" spans="1:8" x14ac:dyDescent="0.25">
      <c r="A44" s="9" t="s">
        <v>100</v>
      </c>
      <c r="B44" s="38">
        <v>45727</v>
      </c>
      <c r="C44" s="10" t="s">
        <v>10</v>
      </c>
      <c r="D44" s="10" t="s">
        <v>74</v>
      </c>
      <c r="E44" s="57">
        <v>0.05</v>
      </c>
      <c r="F44" s="10" t="s">
        <v>12</v>
      </c>
      <c r="G44" s="10" t="s">
        <v>12</v>
      </c>
      <c r="H44" s="14" t="s">
        <v>13</v>
      </c>
    </row>
    <row r="45" spans="1:8" x14ac:dyDescent="0.25">
      <c r="A45" s="9" t="s">
        <v>16</v>
      </c>
      <c r="B45" s="38">
        <v>45730</v>
      </c>
      <c r="C45" s="10" t="s">
        <v>14</v>
      </c>
      <c r="D45" s="10" t="s">
        <v>15</v>
      </c>
      <c r="E45" s="57">
        <v>7.0000000000000007E-2</v>
      </c>
      <c r="F45" s="10" t="s">
        <v>76</v>
      </c>
      <c r="G45" s="10" t="s">
        <v>76</v>
      </c>
      <c r="H45" s="14" t="s">
        <v>13</v>
      </c>
    </row>
    <row r="46" spans="1:8" x14ac:dyDescent="0.25">
      <c r="A46" s="9" t="s">
        <v>100</v>
      </c>
      <c r="B46" s="38">
        <v>45730</v>
      </c>
      <c r="C46" s="10" t="s">
        <v>10</v>
      </c>
      <c r="D46" s="10" t="s">
        <v>74</v>
      </c>
      <c r="E46" s="57">
        <v>7.0000000000000007E-2</v>
      </c>
      <c r="F46" s="10" t="s">
        <v>76</v>
      </c>
      <c r="G46" s="10" t="s">
        <v>76</v>
      </c>
      <c r="H46" s="14" t="s">
        <v>13</v>
      </c>
    </row>
    <row r="47" spans="1:8" x14ac:dyDescent="0.25">
      <c r="A47" s="9">
        <v>156</v>
      </c>
      <c r="B47" s="38">
        <v>45730</v>
      </c>
      <c r="C47" s="10" t="s">
        <v>14</v>
      </c>
      <c r="D47" s="10" t="s">
        <v>73</v>
      </c>
      <c r="E47" s="57">
        <v>18.02</v>
      </c>
      <c r="F47" s="10" t="s">
        <v>12</v>
      </c>
      <c r="G47" s="10" t="s">
        <v>76</v>
      </c>
      <c r="H47" s="14" t="s">
        <v>13</v>
      </c>
    </row>
    <row r="48" spans="1:8" x14ac:dyDescent="0.25">
      <c r="A48" s="9" t="s">
        <v>100</v>
      </c>
      <c r="B48" s="38">
        <v>45730</v>
      </c>
      <c r="C48" s="10" t="s">
        <v>10</v>
      </c>
      <c r="D48" s="10" t="s">
        <v>73</v>
      </c>
      <c r="E48" s="57">
        <v>18.02</v>
      </c>
      <c r="F48" s="10" t="s">
        <v>76</v>
      </c>
      <c r="G48" s="10" t="s">
        <v>76</v>
      </c>
      <c r="H48" s="14" t="s">
        <v>13</v>
      </c>
    </row>
    <row r="49" spans="1:8" x14ac:dyDescent="0.25">
      <c r="A49" s="9" t="s">
        <v>18</v>
      </c>
      <c r="B49" s="38">
        <v>45730</v>
      </c>
      <c r="C49" s="10" t="s">
        <v>14</v>
      </c>
      <c r="D49" s="10" t="s">
        <v>18</v>
      </c>
      <c r="E49" s="57">
        <v>10</v>
      </c>
      <c r="F49" s="10" t="s">
        <v>12</v>
      </c>
      <c r="G49" s="10" t="s">
        <v>12</v>
      </c>
      <c r="H49" s="14" t="s">
        <v>13</v>
      </c>
    </row>
    <row r="50" spans="1:8" x14ac:dyDescent="0.25">
      <c r="A50" s="9" t="s">
        <v>16</v>
      </c>
      <c r="B50" s="38">
        <v>45730</v>
      </c>
      <c r="C50" s="10" t="s">
        <v>14</v>
      </c>
      <c r="D50" s="10" t="s">
        <v>15</v>
      </c>
      <c r="E50" s="57">
        <v>0.01</v>
      </c>
      <c r="F50" s="10" t="s">
        <v>12</v>
      </c>
      <c r="G50" s="10" t="s">
        <v>12</v>
      </c>
      <c r="H50" s="14" t="s">
        <v>13</v>
      </c>
    </row>
    <row r="51" spans="1:8" x14ac:dyDescent="0.25">
      <c r="A51" s="9" t="s">
        <v>100</v>
      </c>
      <c r="B51" s="38">
        <v>45730</v>
      </c>
      <c r="C51" s="10" t="s">
        <v>10</v>
      </c>
      <c r="D51" s="10" t="s">
        <v>74</v>
      </c>
      <c r="E51" s="57">
        <v>0.01</v>
      </c>
      <c r="F51" s="10" t="s">
        <v>12</v>
      </c>
      <c r="G51" s="10" t="s">
        <v>12</v>
      </c>
      <c r="H51" s="14" t="s">
        <v>13</v>
      </c>
    </row>
    <row r="52" spans="1:8" x14ac:dyDescent="0.25">
      <c r="A52" s="9" t="s">
        <v>16</v>
      </c>
      <c r="B52" s="38">
        <v>45732</v>
      </c>
      <c r="C52" s="10" t="s">
        <v>14</v>
      </c>
      <c r="D52" s="10" t="s">
        <v>15</v>
      </c>
      <c r="E52" s="57">
        <v>0.04</v>
      </c>
      <c r="F52" s="10" t="s">
        <v>76</v>
      </c>
      <c r="G52" s="10" t="s">
        <v>76</v>
      </c>
      <c r="H52" s="14" t="s">
        <v>13</v>
      </c>
    </row>
    <row r="53" spans="1:8" x14ac:dyDescent="0.25">
      <c r="A53" s="9" t="s">
        <v>100</v>
      </c>
      <c r="B53" s="38">
        <v>45732</v>
      </c>
      <c r="C53" s="10" t="s">
        <v>10</v>
      </c>
      <c r="D53" s="10" t="s">
        <v>74</v>
      </c>
      <c r="E53" s="57">
        <v>0.04</v>
      </c>
      <c r="F53" s="10" t="s">
        <v>76</v>
      </c>
      <c r="G53" s="10" t="s">
        <v>76</v>
      </c>
      <c r="H53" s="14" t="s">
        <v>13</v>
      </c>
    </row>
    <row r="54" spans="1:8" x14ac:dyDescent="0.25">
      <c r="A54" s="9" t="s">
        <v>110</v>
      </c>
      <c r="B54" s="38">
        <v>45733</v>
      </c>
      <c r="C54" s="10" t="s">
        <v>10</v>
      </c>
      <c r="D54" s="10" t="s">
        <v>18</v>
      </c>
      <c r="E54" s="57">
        <v>93</v>
      </c>
      <c r="F54" s="10" t="s">
        <v>76</v>
      </c>
      <c r="G54" s="10" t="s">
        <v>76</v>
      </c>
      <c r="H54" s="14" t="s">
        <v>13</v>
      </c>
    </row>
    <row r="55" spans="1:8" x14ac:dyDescent="0.25">
      <c r="A55" s="9" t="s">
        <v>86</v>
      </c>
      <c r="B55" s="38">
        <v>45733</v>
      </c>
      <c r="C55" s="10" t="s">
        <v>14</v>
      </c>
      <c r="D55" s="10" t="s">
        <v>15</v>
      </c>
      <c r="E55" s="57">
        <v>0.06</v>
      </c>
      <c r="F55" s="10" t="s">
        <v>12</v>
      </c>
      <c r="G55" s="10" t="s">
        <v>12</v>
      </c>
      <c r="H55" s="14" t="s">
        <v>13</v>
      </c>
    </row>
    <row r="56" spans="1:8" x14ac:dyDescent="0.25">
      <c r="A56" s="9" t="s">
        <v>100</v>
      </c>
      <c r="B56" s="38">
        <v>45733</v>
      </c>
      <c r="C56" s="10" t="s">
        <v>10</v>
      </c>
      <c r="D56" s="10" t="s">
        <v>74</v>
      </c>
      <c r="E56" s="57">
        <v>0.06</v>
      </c>
      <c r="F56" s="10" t="s">
        <v>12</v>
      </c>
      <c r="G56" s="10" t="s">
        <v>12</v>
      </c>
      <c r="H56" s="14" t="s">
        <v>13</v>
      </c>
    </row>
    <row r="57" spans="1:8" x14ac:dyDescent="0.25">
      <c r="A57" s="9" t="s">
        <v>56</v>
      </c>
      <c r="B57" s="38">
        <v>45734</v>
      </c>
      <c r="C57" s="10" t="s">
        <v>14</v>
      </c>
      <c r="D57" s="10" t="s">
        <v>67</v>
      </c>
      <c r="E57" s="57">
        <v>0.27</v>
      </c>
      <c r="F57" s="10" t="s">
        <v>12</v>
      </c>
      <c r="G57" s="10" t="s">
        <v>12</v>
      </c>
      <c r="H57" s="14" t="s">
        <v>13</v>
      </c>
    </row>
    <row r="58" spans="1:8" x14ac:dyDescent="0.25">
      <c r="A58" s="9" t="s">
        <v>100</v>
      </c>
      <c r="B58" s="38">
        <v>45734</v>
      </c>
      <c r="C58" s="10" t="s">
        <v>10</v>
      </c>
      <c r="D58" s="10" t="s">
        <v>74</v>
      </c>
      <c r="E58" s="57">
        <v>0.27</v>
      </c>
      <c r="F58" s="10" t="s">
        <v>12</v>
      </c>
      <c r="G58" s="10" t="s">
        <v>75</v>
      </c>
      <c r="H58" s="14" t="s">
        <v>13</v>
      </c>
    </row>
    <row r="59" spans="1:8" x14ac:dyDescent="0.25">
      <c r="A59" s="9" t="s">
        <v>18</v>
      </c>
      <c r="B59" s="38">
        <v>45736</v>
      </c>
      <c r="C59" s="10" t="s">
        <v>14</v>
      </c>
      <c r="D59" s="10" t="s">
        <v>18</v>
      </c>
      <c r="E59" s="57">
        <v>95.33</v>
      </c>
      <c r="F59" s="10" t="s">
        <v>12</v>
      </c>
      <c r="G59" s="10" t="s">
        <v>76</v>
      </c>
      <c r="H59" s="14" t="s">
        <v>13</v>
      </c>
    </row>
    <row r="60" spans="1:8" x14ac:dyDescent="0.25">
      <c r="A60" s="9" t="s">
        <v>111</v>
      </c>
      <c r="B60" s="38">
        <v>45736</v>
      </c>
      <c r="C60" s="10" t="s">
        <v>10</v>
      </c>
      <c r="D60" s="10" t="s">
        <v>111</v>
      </c>
      <c r="E60" s="57">
        <f>1.5+1.89</f>
        <v>3.3899999999999997</v>
      </c>
      <c r="F60" s="10" t="s">
        <v>76</v>
      </c>
      <c r="G60" s="10" t="s">
        <v>87</v>
      </c>
      <c r="H60" s="14" t="s">
        <v>13</v>
      </c>
    </row>
    <row r="61" spans="1:8" x14ac:dyDescent="0.25">
      <c r="A61" s="79">
        <v>578</v>
      </c>
      <c r="B61" s="80">
        <v>45736</v>
      </c>
      <c r="C61" s="79" t="s">
        <v>14</v>
      </c>
      <c r="D61" s="79" t="s">
        <v>73</v>
      </c>
      <c r="E61" s="81">
        <v>101.85</v>
      </c>
      <c r="F61" s="79" t="s">
        <v>12</v>
      </c>
      <c r="G61" s="79" t="s">
        <v>12</v>
      </c>
      <c r="H61" s="79" t="s">
        <v>13</v>
      </c>
    </row>
    <row r="62" spans="1:8" x14ac:dyDescent="0.25">
      <c r="A62" s="9" t="s">
        <v>100</v>
      </c>
      <c r="B62" s="38">
        <v>45737</v>
      </c>
      <c r="C62" s="10" t="s">
        <v>10</v>
      </c>
      <c r="D62" s="10" t="s">
        <v>73</v>
      </c>
      <c r="E62" s="57">
        <v>101.85</v>
      </c>
      <c r="F62" s="10" t="s">
        <v>12</v>
      </c>
      <c r="G62" s="10" t="s">
        <v>12</v>
      </c>
      <c r="H62" s="14" t="s">
        <v>13</v>
      </c>
    </row>
    <row r="63" spans="1:8" x14ac:dyDescent="0.25">
      <c r="A63" s="9" t="s">
        <v>16</v>
      </c>
      <c r="B63" s="38">
        <v>45737</v>
      </c>
      <c r="C63" s="10" t="s">
        <v>14</v>
      </c>
      <c r="D63" s="10" t="s">
        <v>15</v>
      </c>
      <c r="E63" s="57">
        <v>0.01</v>
      </c>
      <c r="F63" s="10" t="s">
        <v>12</v>
      </c>
      <c r="G63" s="10" t="s">
        <v>12</v>
      </c>
      <c r="H63" s="14" t="s">
        <v>13</v>
      </c>
    </row>
    <row r="64" spans="1:8" x14ac:dyDescent="0.25">
      <c r="A64" s="9" t="s">
        <v>100</v>
      </c>
      <c r="B64" s="38">
        <v>45737</v>
      </c>
      <c r="C64" s="10" t="s">
        <v>10</v>
      </c>
      <c r="D64" s="10" t="s">
        <v>74</v>
      </c>
      <c r="E64" s="57">
        <v>0.01</v>
      </c>
      <c r="F64" s="10" t="s">
        <v>12</v>
      </c>
      <c r="G64" s="10" t="s">
        <v>12</v>
      </c>
      <c r="H64" s="14" t="s">
        <v>13</v>
      </c>
    </row>
    <row r="65" spans="1:8" x14ac:dyDescent="0.25">
      <c r="A65" s="9" t="s">
        <v>111</v>
      </c>
      <c r="B65" s="38">
        <v>45737</v>
      </c>
      <c r="C65" s="10" t="s">
        <v>10</v>
      </c>
      <c r="D65" s="10" t="s">
        <v>111</v>
      </c>
      <c r="E65" s="57">
        <v>1.02</v>
      </c>
      <c r="F65" s="10"/>
      <c r="G65" s="10"/>
      <c r="H65" s="14" t="s">
        <v>13</v>
      </c>
    </row>
    <row r="66" spans="1:8" x14ac:dyDescent="0.25">
      <c r="A66" s="9" t="s">
        <v>16</v>
      </c>
      <c r="B66" s="38">
        <v>45741</v>
      </c>
      <c r="C66" s="10" t="s">
        <v>14</v>
      </c>
      <c r="D66" s="10" t="s">
        <v>15</v>
      </c>
      <c r="E66" s="57">
        <v>0.08</v>
      </c>
      <c r="F66" s="10" t="s">
        <v>76</v>
      </c>
      <c r="G66" s="10" t="s">
        <v>76</v>
      </c>
      <c r="H66" s="14" t="s">
        <v>13</v>
      </c>
    </row>
    <row r="67" spans="1:8" x14ac:dyDescent="0.25">
      <c r="A67" s="9" t="s">
        <v>100</v>
      </c>
      <c r="B67" s="38">
        <v>45741</v>
      </c>
      <c r="C67" s="10" t="s">
        <v>10</v>
      </c>
      <c r="D67" s="10" t="s">
        <v>74</v>
      </c>
      <c r="E67" s="57">
        <v>0.08</v>
      </c>
      <c r="F67" s="10" t="s">
        <v>76</v>
      </c>
      <c r="G67" s="10" t="s">
        <v>76</v>
      </c>
      <c r="H67" s="14" t="s">
        <v>13</v>
      </c>
    </row>
    <row r="68" spans="1:8" x14ac:dyDescent="0.25">
      <c r="A68" s="9" t="s">
        <v>16</v>
      </c>
      <c r="B68" s="38">
        <v>45741</v>
      </c>
      <c r="C68" s="10" t="s">
        <v>14</v>
      </c>
      <c r="D68" s="10" t="s">
        <v>15</v>
      </c>
      <c r="E68" s="57">
        <v>0.02</v>
      </c>
      <c r="F68" s="10" t="s">
        <v>12</v>
      </c>
      <c r="G68" s="10" t="s">
        <v>12</v>
      </c>
      <c r="H68" s="14" t="s">
        <v>13</v>
      </c>
    </row>
    <row r="69" spans="1:8" x14ac:dyDescent="0.25">
      <c r="A69" s="9" t="s">
        <v>100</v>
      </c>
      <c r="B69" s="38">
        <v>45741</v>
      </c>
      <c r="C69" s="10" t="s">
        <v>10</v>
      </c>
      <c r="D69" s="10" t="s">
        <v>74</v>
      </c>
      <c r="E69" s="57">
        <v>0.02</v>
      </c>
      <c r="F69" s="10" t="s">
        <v>12</v>
      </c>
      <c r="G69" s="10" t="s">
        <v>12</v>
      </c>
      <c r="H69" s="14" t="s">
        <v>13</v>
      </c>
    </row>
    <row r="70" spans="1:8" x14ac:dyDescent="0.25">
      <c r="A70" s="9" t="s">
        <v>16</v>
      </c>
      <c r="B70" s="38">
        <v>45742</v>
      </c>
      <c r="C70" s="10" t="s">
        <v>14</v>
      </c>
      <c r="D70" s="10" t="s">
        <v>15</v>
      </c>
      <c r="E70" s="57">
        <v>0.06</v>
      </c>
      <c r="F70" s="10" t="s">
        <v>76</v>
      </c>
      <c r="G70" s="10" t="s">
        <v>88</v>
      </c>
      <c r="H70" s="14" t="s">
        <v>13</v>
      </c>
    </row>
    <row r="71" spans="1:8" x14ac:dyDescent="0.25">
      <c r="A71" s="9" t="s">
        <v>100</v>
      </c>
      <c r="B71" s="38">
        <v>45742</v>
      </c>
      <c r="C71" s="10" t="s">
        <v>10</v>
      </c>
      <c r="D71" s="10" t="s">
        <v>74</v>
      </c>
      <c r="E71" s="57">
        <v>0.06</v>
      </c>
      <c r="F71" s="10" t="s">
        <v>76</v>
      </c>
      <c r="G71" s="10" t="s">
        <v>76</v>
      </c>
      <c r="H71" s="14" t="s">
        <v>13</v>
      </c>
    </row>
    <row r="72" spans="1:8" x14ac:dyDescent="0.25">
      <c r="A72" s="9" t="s">
        <v>16</v>
      </c>
      <c r="B72" s="38">
        <v>45744</v>
      </c>
      <c r="C72" s="10" t="s">
        <v>14</v>
      </c>
      <c r="D72" s="10" t="s">
        <v>15</v>
      </c>
      <c r="E72" s="57">
        <v>0.05</v>
      </c>
      <c r="F72" s="10" t="s">
        <v>76</v>
      </c>
      <c r="G72" s="10" t="s">
        <v>76</v>
      </c>
      <c r="H72" s="14" t="s">
        <v>13</v>
      </c>
    </row>
    <row r="73" spans="1:8" x14ac:dyDescent="0.25">
      <c r="A73" s="9" t="s">
        <v>100</v>
      </c>
      <c r="B73" s="38">
        <v>45744</v>
      </c>
      <c r="C73" s="10" t="s">
        <v>10</v>
      </c>
      <c r="D73" s="10" t="s">
        <v>74</v>
      </c>
      <c r="E73" s="57">
        <v>0.05</v>
      </c>
      <c r="F73" s="10" t="s">
        <v>76</v>
      </c>
      <c r="G73" s="10" t="s">
        <v>76</v>
      </c>
      <c r="H73" s="14" t="s">
        <v>13</v>
      </c>
    </row>
    <row r="74" spans="1:8" x14ac:dyDescent="0.25">
      <c r="A74" s="9" t="s">
        <v>16</v>
      </c>
      <c r="B74" s="38">
        <v>45744</v>
      </c>
      <c r="C74" s="10" t="s">
        <v>14</v>
      </c>
      <c r="D74" s="10" t="s">
        <v>15</v>
      </c>
      <c r="E74" s="57">
        <v>0.01</v>
      </c>
      <c r="F74" s="10" t="s">
        <v>12</v>
      </c>
      <c r="G74" s="10" t="s">
        <v>12</v>
      </c>
      <c r="H74" s="14" t="s">
        <v>13</v>
      </c>
    </row>
    <row r="75" spans="1:8" x14ac:dyDescent="0.25">
      <c r="A75" s="9" t="s">
        <v>100</v>
      </c>
      <c r="B75" s="38">
        <v>45744</v>
      </c>
      <c r="C75" s="10" t="s">
        <v>10</v>
      </c>
      <c r="D75" s="10" t="s">
        <v>74</v>
      </c>
      <c r="E75" s="57">
        <v>0.01</v>
      </c>
      <c r="F75" s="10" t="s">
        <v>12</v>
      </c>
      <c r="G75" s="10" t="s">
        <v>12</v>
      </c>
      <c r="H75" s="14" t="s">
        <v>13</v>
      </c>
    </row>
    <row r="76" spans="1:8" x14ac:dyDescent="0.25">
      <c r="A76" s="9" t="s">
        <v>107</v>
      </c>
      <c r="B76" s="38">
        <v>45744</v>
      </c>
      <c r="C76" s="10" t="s">
        <v>10</v>
      </c>
      <c r="D76" s="10" t="s">
        <v>18</v>
      </c>
      <c r="E76" s="57">
        <v>203.91</v>
      </c>
      <c r="F76" s="10" t="s">
        <v>12</v>
      </c>
      <c r="G76" s="10" t="s">
        <v>12</v>
      </c>
      <c r="H76" s="14" t="s">
        <v>13</v>
      </c>
    </row>
    <row r="77" spans="1:8" x14ac:dyDescent="0.25">
      <c r="A77" s="9" t="s">
        <v>16</v>
      </c>
      <c r="B77" s="38">
        <v>45752</v>
      </c>
      <c r="C77" s="10" t="s">
        <v>14</v>
      </c>
      <c r="D77" s="10" t="s">
        <v>15</v>
      </c>
      <c r="E77" s="57">
        <v>1.59</v>
      </c>
      <c r="F77" s="10" t="s">
        <v>76</v>
      </c>
      <c r="G77" s="10" t="s">
        <v>75</v>
      </c>
      <c r="H77" s="14" t="s">
        <v>13</v>
      </c>
    </row>
    <row r="78" spans="1:8" x14ac:dyDescent="0.25">
      <c r="A78" s="9" t="s">
        <v>100</v>
      </c>
      <c r="B78" s="38">
        <v>45752</v>
      </c>
      <c r="C78" s="10" t="s">
        <v>10</v>
      </c>
      <c r="D78" s="10" t="s">
        <v>74</v>
      </c>
      <c r="E78" s="57">
        <v>1.59</v>
      </c>
      <c r="F78" s="10" t="s">
        <v>76</v>
      </c>
      <c r="G78" s="10" t="s">
        <v>75</v>
      </c>
      <c r="H78" s="14" t="s">
        <v>13</v>
      </c>
    </row>
    <row r="79" spans="1:8" x14ac:dyDescent="0.25">
      <c r="A79" s="9" t="s">
        <v>18</v>
      </c>
      <c r="B79" s="38">
        <v>45752</v>
      </c>
      <c r="C79" s="10" t="s">
        <v>14</v>
      </c>
      <c r="D79" s="10" t="s">
        <v>18</v>
      </c>
      <c r="E79" s="57">
        <v>203.91</v>
      </c>
      <c r="F79" s="10" t="s">
        <v>12</v>
      </c>
      <c r="G79" s="10" t="s">
        <v>76</v>
      </c>
      <c r="H79" s="14" t="s">
        <v>13</v>
      </c>
    </row>
    <row r="80" spans="1:8" x14ac:dyDescent="0.25">
      <c r="A80" s="9" t="s">
        <v>101</v>
      </c>
      <c r="B80" s="38">
        <v>45751</v>
      </c>
      <c r="C80" s="10" t="s">
        <v>10</v>
      </c>
      <c r="D80" s="10" t="s">
        <v>19</v>
      </c>
      <c r="E80" s="57">
        <v>1.37</v>
      </c>
      <c r="F80" s="10" t="s">
        <v>12</v>
      </c>
      <c r="G80" s="10" t="s">
        <v>12</v>
      </c>
      <c r="H80" s="14" t="s">
        <v>13</v>
      </c>
    </row>
    <row r="81" spans="1:8" x14ac:dyDescent="0.25">
      <c r="A81" s="9">
        <v>567</v>
      </c>
      <c r="B81" s="38">
        <v>45751</v>
      </c>
      <c r="C81" s="10" t="s">
        <v>14</v>
      </c>
      <c r="D81" s="10" t="s">
        <v>73</v>
      </c>
      <c r="E81" s="57">
        <v>102.04</v>
      </c>
      <c r="F81" s="10" t="s">
        <v>12</v>
      </c>
      <c r="G81" s="10" t="s">
        <v>12</v>
      </c>
      <c r="H81" s="14" t="s">
        <v>13</v>
      </c>
    </row>
    <row r="82" spans="1:8" x14ac:dyDescent="0.25">
      <c r="A82" s="9" t="s">
        <v>100</v>
      </c>
      <c r="B82" s="38">
        <v>45751</v>
      </c>
      <c r="C82" s="10" t="s">
        <v>10</v>
      </c>
      <c r="D82" s="10" t="s">
        <v>73</v>
      </c>
      <c r="E82" s="57">
        <v>102.04</v>
      </c>
      <c r="F82" s="10" t="s">
        <v>12</v>
      </c>
      <c r="G82" s="10" t="s">
        <v>12</v>
      </c>
      <c r="H82" s="14" t="s">
        <v>13</v>
      </c>
    </row>
    <row r="83" spans="1:8" x14ac:dyDescent="0.25">
      <c r="A83" s="9" t="s">
        <v>106</v>
      </c>
      <c r="B83" s="38">
        <v>45752</v>
      </c>
      <c r="C83" s="10" t="s">
        <v>10</v>
      </c>
      <c r="D83" s="10" t="s">
        <v>18</v>
      </c>
      <c r="E83" s="11">
        <f>187.08+122.2</f>
        <v>309.28000000000003</v>
      </c>
      <c r="F83" s="10" t="s">
        <v>76</v>
      </c>
      <c r="G83" s="10" t="s">
        <v>12</v>
      </c>
      <c r="H83" s="14" t="s">
        <v>13</v>
      </c>
    </row>
    <row r="84" spans="1:8" x14ac:dyDescent="0.25">
      <c r="A84" s="9" t="s">
        <v>103</v>
      </c>
      <c r="B84" s="38">
        <v>45754</v>
      </c>
      <c r="C84" s="10" t="s">
        <v>14</v>
      </c>
      <c r="D84" s="10" t="s">
        <v>67</v>
      </c>
      <c r="E84" s="57">
        <v>0.06</v>
      </c>
      <c r="F84" s="10" t="s">
        <v>12</v>
      </c>
      <c r="G84" s="10" t="s">
        <v>12</v>
      </c>
      <c r="H84" s="14" t="s">
        <v>13</v>
      </c>
    </row>
    <row r="85" spans="1:8" x14ac:dyDescent="0.25">
      <c r="A85" s="9" t="s">
        <v>100</v>
      </c>
      <c r="B85" s="38">
        <v>45757</v>
      </c>
      <c r="C85" s="10" t="s">
        <v>10</v>
      </c>
      <c r="D85" s="10" t="s">
        <v>74</v>
      </c>
      <c r="E85" s="57">
        <v>0.06</v>
      </c>
      <c r="F85" s="10" t="s">
        <v>12</v>
      </c>
      <c r="G85" s="10" t="s">
        <v>12</v>
      </c>
      <c r="H85" s="14" t="s">
        <v>13</v>
      </c>
    </row>
    <row r="86" spans="1:8" x14ac:dyDescent="0.25">
      <c r="A86" s="9" t="s">
        <v>56</v>
      </c>
      <c r="B86" s="38">
        <v>45761</v>
      </c>
      <c r="C86" s="10" t="s">
        <v>14</v>
      </c>
      <c r="D86" s="10" t="s">
        <v>67</v>
      </c>
      <c r="E86" s="57">
        <v>0.99</v>
      </c>
      <c r="F86" s="10" t="s">
        <v>12</v>
      </c>
      <c r="G86" s="10" t="s">
        <v>12</v>
      </c>
      <c r="H86" s="14" t="s">
        <v>13</v>
      </c>
    </row>
    <row r="87" spans="1:8" x14ac:dyDescent="0.25">
      <c r="A87" s="9" t="s">
        <v>102</v>
      </c>
      <c r="B87" s="38">
        <v>45761</v>
      </c>
      <c r="C87" s="10" t="s">
        <v>14</v>
      </c>
      <c r="D87" s="10" t="s">
        <v>67</v>
      </c>
      <c r="E87" s="57">
        <v>0.09</v>
      </c>
      <c r="F87" s="10" t="s">
        <v>12</v>
      </c>
      <c r="G87" s="10" t="s">
        <v>12</v>
      </c>
      <c r="H87" s="14" t="s">
        <v>13</v>
      </c>
    </row>
    <row r="88" spans="1:8" x14ac:dyDescent="0.25">
      <c r="A88" s="9" t="s">
        <v>100</v>
      </c>
      <c r="B88" s="38">
        <v>45762</v>
      </c>
      <c r="C88" s="10" t="s">
        <v>10</v>
      </c>
      <c r="D88" s="10" t="s">
        <v>74</v>
      </c>
      <c r="E88" s="57">
        <v>1.08</v>
      </c>
      <c r="F88" s="10" t="s">
        <v>12</v>
      </c>
      <c r="G88" s="10" t="s">
        <v>12</v>
      </c>
      <c r="H88" s="14" t="s">
        <v>13</v>
      </c>
    </row>
    <row r="89" spans="1:8" x14ac:dyDescent="0.25">
      <c r="A89" s="9" t="s">
        <v>18</v>
      </c>
      <c r="B89" s="38">
        <v>45765</v>
      </c>
      <c r="C89" s="10" t="s">
        <v>14</v>
      </c>
      <c r="D89" s="10" t="s">
        <v>18</v>
      </c>
      <c r="E89" s="57">
        <v>10</v>
      </c>
      <c r="F89" s="10" t="s">
        <v>12</v>
      </c>
      <c r="G89" s="10" t="s">
        <v>12</v>
      </c>
      <c r="H89" s="14" t="s">
        <v>13</v>
      </c>
    </row>
    <row r="90" spans="1:8" x14ac:dyDescent="0.25">
      <c r="A90" s="9" t="s">
        <v>108</v>
      </c>
      <c r="B90" s="38">
        <v>45775</v>
      </c>
      <c r="C90" s="10" t="s">
        <v>10</v>
      </c>
      <c r="D90" s="10" t="s">
        <v>18</v>
      </c>
      <c r="E90" s="57">
        <v>40</v>
      </c>
      <c r="F90" s="10" t="s">
        <v>12</v>
      </c>
      <c r="G90" s="10" t="s">
        <v>12</v>
      </c>
      <c r="H90" s="14" t="s">
        <v>13</v>
      </c>
    </row>
    <row r="91" spans="1:8" x14ac:dyDescent="0.25">
      <c r="A91" s="9" t="s">
        <v>106</v>
      </c>
      <c r="B91" s="38">
        <v>45776</v>
      </c>
      <c r="C91" s="10" t="s">
        <v>10</v>
      </c>
      <c r="D91" s="10" t="s">
        <v>18</v>
      </c>
      <c r="E91" s="57">
        <f>86.9+6.6+7.1+1.33+32.81+0.28</f>
        <v>135.02000000000001</v>
      </c>
      <c r="F91" s="10" t="s">
        <v>12</v>
      </c>
      <c r="G91" s="10" t="s">
        <v>12</v>
      </c>
      <c r="H91" s="14" t="s">
        <v>13</v>
      </c>
    </row>
    <row r="92" spans="1:8" x14ac:dyDescent="0.25">
      <c r="A92" s="9" t="s">
        <v>18</v>
      </c>
      <c r="B92" s="38">
        <v>45784</v>
      </c>
      <c r="C92" s="10" t="s">
        <v>14</v>
      </c>
      <c r="D92" s="10" t="s">
        <v>18</v>
      </c>
      <c r="E92" s="57">
        <v>253.12</v>
      </c>
      <c r="F92" s="10" t="s">
        <v>12</v>
      </c>
      <c r="G92" s="10" t="s">
        <v>12</v>
      </c>
      <c r="H92" s="14" t="s">
        <v>13</v>
      </c>
    </row>
    <row r="93" spans="1:8" x14ac:dyDescent="0.25">
      <c r="A93" s="9" t="s">
        <v>101</v>
      </c>
      <c r="B93" s="38">
        <v>45784</v>
      </c>
      <c r="C93" s="10" t="s">
        <v>10</v>
      </c>
      <c r="D93" s="10" t="s">
        <v>19</v>
      </c>
      <c r="E93" s="57">
        <v>1.5069999999999999</v>
      </c>
      <c r="F93" s="10" t="s">
        <v>12</v>
      </c>
      <c r="G93" s="10" t="s">
        <v>12</v>
      </c>
      <c r="H93" s="14" t="s">
        <v>13</v>
      </c>
    </row>
    <row r="94" spans="1:8" x14ac:dyDescent="0.25">
      <c r="A94" s="9" t="s">
        <v>56</v>
      </c>
      <c r="B94" s="38">
        <v>45792</v>
      </c>
      <c r="C94" s="10" t="s">
        <v>14</v>
      </c>
      <c r="D94" s="10" t="s">
        <v>67</v>
      </c>
      <c r="E94" s="57">
        <v>1.1000000000000001</v>
      </c>
      <c r="F94" s="10" t="s">
        <v>12</v>
      </c>
      <c r="G94" s="10" t="s">
        <v>12</v>
      </c>
      <c r="H94" s="14" t="s">
        <v>13</v>
      </c>
    </row>
    <row r="95" spans="1:8" x14ac:dyDescent="0.25">
      <c r="A95" s="9" t="s">
        <v>102</v>
      </c>
      <c r="B95" s="38">
        <v>45792</v>
      </c>
      <c r="C95" s="10" t="s">
        <v>14</v>
      </c>
      <c r="D95" s="10" t="s">
        <v>67</v>
      </c>
      <c r="E95" s="57">
        <v>0.38</v>
      </c>
      <c r="F95" s="10" t="s">
        <v>12</v>
      </c>
      <c r="G95" s="10" t="s">
        <v>12</v>
      </c>
      <c r="H95" s="14" t="s">
        <v>13</v>
      </c>
    </row>
    <row r="96" spans="1:8" x14ac:dyDescent="0.25">
      <c r="A96" s="9" t="s">
        <v>100</v>
      </c>
      <c r="B96" s="38">
        <v>45792</v>
      </c>
      <c r="C96" s="10" t="s">
        <v>10</v>
      </c>
      <c r="D96" s="10" t="s">
        <v>74</v>
      </c>
      <c r="E96" s="57">
        <v>1.48</v>
      </c>
      <c r="F96" s="10" t="s">
        <v>12</v>
      </c>
      <c r="G96" s="10" t="s">
        <v>12</v>
      </c>
      <c r="H96" s="14" t="s">
        <v>13</v>
      </c>
    </row>
    <row r="97" spans="1:8" x14ac:dyDescent="0.25">
      <c r="A97" s="9" t="s">
        <v>109</v>
      </c>
      <c r="B97" s="38">
        <v>45794</v>
      </c>
      <c r="C97" s="10" t="s">
        <v>10</v>
      </c>
      <c r="D97" s="10" t="s">
        <v>18</v>
      </c>
      <c r="E97" s="57">
        <f>30+105.14+4.87+40+40.8+1.14+8.66+1.54</f>
        <v>232.14999999999998</v>
      </c>
      <c r="F97" s="10" t="s">
        <v>12</v>
      </c>
      <c r="G97" s="10" t="s">
        <v>12</v>
      </c>
      <c r="H97" s="14" t="s">
        <v>13</v>
      </c>
    </row>
    <row r="98" spans="1:8" x14ac:dyDescent="0.25">
      <c r="A98" s="9" t="s">
        <v>18</v>
      </c>
      <c r="B98" s="38">
        <v>45797</v>
      </c>
      <c r="C98" s="10" t="s">
        <v>14</v>
      </c>
      <c r="D98" s="10" t="s">
        <v>18</v>
      </c>
      <c r="E98" s="57">
        <v>250</v>
      </c>
      <c r="F98" s="10" t="s">
        <v>12</v>
      </c>
      <c r="G98" s="10" t="s">
        <v>12</v>
      </c>
      <c r="H98" s="14" t="s">
        <v>13</v>
      </c>
    </row>
    <row r="99" spans="1:8" x14ac:dyDescent="0.25">
      <c r="A99" s="9" t="s">
        <v>78</v>
      </c>
      <c r="B99" s="38">
        <v>45797</v>
      </c>
      <c r="C99" s="10" t="s">
        <v>14</v>
      </c>
      <c r="D99" s="10" t="s">
        <v>67</v>
      </c>
      <c r="E99" s="57">
        <v>0.73</v>
      </c>
      <c r="F99" s="10" t="s">
        <v>12</v>
      </c>
      <c r="G99" s="10" t="s">
        <v>12</v>
      </c>
      <c r="H99" s="14" t="s">
        <v>13</v>
      </c>
    </row>
    <row r="100" spans="1:8" x14ac:dyDescent="0.25">
      <c r="A100" s="9" t="s">
        <v>100</v>
      </c>
      <c r="B100" s="38">
        <v>45797</v>
      </c>
      <c r="C100" s="10" t="s">
        <v>10</v>
      </c>
      <c r="D100" s="10" t="s">
        <v>74</v>
      </c>
      <c r="E100" s="57">
        <v>0.73</v>
      </c>
      <c r="F100" s="10" t="s">
        <v>12</v>
      </c>
      <c r="G100" s="10" t="s">
        <v>12</v>
      </c>
      <c r="H100" s="14" t="s">
        <v>13</v>
      </c>
    </row>
    <row r="101" spans="1:8" x14ac:dyDescent="0.25">
      <c r="A101" s="9" t="s">
        <v>18</v>
      </c>
      <c r="B101" s="38">
        <v>45802</v>
      </c>
      <c r="C101" s="10" t="s">
        <v>14</v>
      </c>
      <c r="D101" s="10" t="s">
        <v>18</v>
      </c>
      <c r="E101" s="57">
        <v>30</v>
      </c>
      <c r="F101" s="10" t="s">
        <v>12</v>
      </c>
      <c r="G101" s="10" t="s">
        <v>12</v>
      </c>
      <c r="H101" s="14" t="s">
        <v>13</v>
      </c>
    </row>
    <row r="102" spans="1:8" x14ac:dyDescent="0.25">
      <c r="A102" s="9">
        <v>282</v>
      </c>
      <c r="B102" s="38">
        <v>45802</v>
      </c>
      <c r="C102" s="10" t="s">
        <v>14</v>
      </c>
      <c r="D102" s="10" t="s">
        <v>73</v>
      </c>
      <c r="E102" s="57">
        <v>60</v>
      </c>
      <c r="F102" s="10" t="s">
        <v>12</v>
      </c>
      <c r="G102" s="10" t="s">
        <v>12</v>
      </c>
      <c r="H102" s="14" t="s">
        <v>13</v>
      </c>
    </row>
    <row r="103" spans="1:8" x14ac:dyDescent="0.25">
      <c r="A103" s="9" t="s">
        <v>100</v>
      </c>
      <c r="B103" s="38">
        <v>45802</v>
      </c>
      <c r="C103" s="10" t="s">
        <v>10</v>
      </c>
      <c r="D103" s="10" t="s">
        <v>73</v>
      </c>
      <c r="E103" s="57">
        <v>60</v>
      </c>
      <c r="F103" s="10" t="s">
        <v>12</v>
      </c>
      <c r="G103" s="10" t="s">
        <v>12</v>
      </c>
      <c r="H103" s="14" t="s">
        <v>13</v>
      </c>
    </row>
    <row r="104" spans="1:8" x14ac:dyDescent="0.25">
      <c r="A104" s="9" t="s">
        <v>18</v>
      </c>
      <c r="B104" s="38">
        <v>45805</v>
      </c>
      <c r="C104" s="10" t="s">
        <v>10</v>
      </c>
      <c r="D104" s="10" t="s">
        <v>18</v>
      </c>
      <c r="E104" s="57">
        <f>244.64+150</f>
        <v>394.64</v>
      </c>
      <c r="F104" s="10" t="s">
        <v>12</v>
      </c>
      <c r="G104" s="10" t="s">
        <v>12</v>
      </c>
      <c r="H104" s="14" t="s">
        <v>13</v>
      </c>
    </row>
    <row r="105" spans="1:8" x14ac:dyDescent="0.25">
      <c r="A105" s="9" t="s">
        <v>18</v>
      </c>
      <c r="B105" s="38">
        <v>45814</v>
      </c>
      <c r="C105" s="10" t="s">
        <v>14</v>
      </c>
      <c r="D105" s="10" t="s">
        <v>18</v>
      </c>
      <c r="E105" s="57">
        <v>551.69000000000005</v>
      </c>
      <c r="F105" s="10" t="s">
        <v>12</v>
      </c>
      <c r="G105" s="10" t="s">
        <v>12</v>
      </c>
      <c r="H105" s="14" t="s">
        <v>13</v>
      </c>
    </row>
    <row r="106" spans="1:8" x14ac:dyDescent="0.25">
      <c r="A106" s="9" t="s">
        <v>101</v>
      </c>
      <c r="B106" s="38">
        <v>45816</v>
      </c>
      <c r="C106" s="10" t="s">
        <v>10</v>
      </c>
      <c r="D106" s="10" t="s">
        <v>19</v>
      </c>
      <c r="E106" s="57">
        <v>1.661</v>
      </c>
      <c r="F106" s="10" t="s">
        <v>12</v>
      </c>
      <c r="G106" s="10" t="s">
        <v>12</v>
      </c>
      <c r="H106" s="14" t="s">
        <v>13</v>
      </c>
    </row>
    <row r="107" spans="1:8" x14ac:dyDescent="0.25">
      <c r="A107" s="9" t="s">
        <v>100</v>
      </c>
      <c r="B107" s="38">
        <v>45817</v>
      </c>
      <c r="C107" s="10" t="s">
        <v>10</v>
      </c>
      <c r="D107" s="10" t="s">
        <v>74</v>
      </c>
      <c r="E107" s="57">
        <v>12</v>
      </c>
      <c r="F107" s="10" t="s">
        <v>12</v>
      </c>
      <c r="G107" s="10" t="s">
        <v>12</v>
      </c>
      <c r="H107" s="14" t="s">
        <v>13</v>
      </c>
    </row>
    <row r="108" spans="1:8" x14ac:dyDescent="0.25">
      <c r="A108" s="9">
        <v>1794</v>
      </c>
      <c r="B108" s="38">
        <v>45818</v>
      </c>
      <c r="C108" s="10" t="s">
        <v>10</v>
      </c>
      <c r="D108" s="10" t="s">
        <v>73</v>
      </c>
      <c r="E108" s="57">
        <v>500.54</v>
      </c>
      <c r="F108" s="10" t="s">
        <v>12</v>
      </c>
      <c r="G108" s="10" t="s">
        <v>12</v>
      </c>
      <c r="H108" s="14" t="s">
        <v>13</v>
      </c>
    </row>
    <row r="109" spans="1:8" x14ac:dyDescent="0.25">
      <c r="A109" s="9" t="s">
        <v>107</v>
      </c>
      <c r="B109" s="38">
        <v>45818</v>
      </c>
      <c r="C109" s="10" t="s">
        <v>10</v>
      </c>
      <c r="D109" s="10" t="s">
        <v>18</v>
      </c>
      <c r="E109" s="57">
        <v>22.17</v>
      </c>
      <c r="F109" s="10" t="s">
        <v>12</v>
      </c>
      <c r="G109" s="10" t="s">
        <v>12</v>
      </c>
      <c r="H109" s="14" t="s">
        <v>13</v>
      </c>
    </row>
    <row r="110" spans="1:8" x14ac:dyDescent="0.25">
      <c r="A110" s="9" t="s">
        <v>104</v>
      </c>
      <c r="B110" s="38">
        <v>45819</v>
      </c>
      <c r="C110" s="10" t="s">
        <v>14</v>
      </c>
      <c r="D110" s="10" t="s">
        <v>67</v>
      </c>
      <c r="E110" s="57">
        <v>0.05</v>
      </c>
      <c r="F110" s="10" t="s">
        <v>12</v>
      </c>
      <c r="G110" s="10" t="s">
        <v>12</v>
      </c>
      <c r="H110" s="14" t="s">
        <v>13</v>
      </c>
    </row>
    <row r="111" spans="1:8" x14ac:dyDescent="0.25">
      <c r="A111" s="9" t="s">
        <v>100</v>
      </c>
      <c r="B111" s="38">
        <v>45819</v>
      </c>
      <c r="C111" s="10" t="s">
        <v>10</v>
      </c>
      <c r="D111" s="10" t="s">
        <v>74</v>
      </c>
      <c r="E111" s="57">
        <v>0.05</v>
      </c>
      <c r="F111" s="10" t="s">
        <v>12</v>
      </c>
      <c r="G111" s="10" t="s">
        <v>12</v>
      </c>
      <c r="H111" s="14" t="s">
        <v>13</v>
      </c>
    </row>
    <row r="112" spans="1:8" x14ac:dyDescent="0.25">
      <c r="A112" s="9" t="s">
        <v>56</v>
      </c>
      <c r="B112" s="38">
        <v>45821</v>
      </c>
      <c r="C112" s="10" t="s">
        <v>14</v>
      </c>
      <c r="D112" s="10" t="s">
        <v>67</v>
      </c>
      <c r="E112" s="57">
        <v>1.1000000000000001</v>
      </c>
      <c r="F112" s="10" t="s">
        <v>12</v>
      </c>
      <c r="G112" s="10" t="s">
        <v>12</v>
      </c>
      <c r="H112" s="14" t="s">
        <v>13</v>
      </c>
    </row>
    <row r="113" spans="1:8" x14ac:dyDescent="0.25">
      <c r="A113" s="9" t="s">
        <v>102</v>
      </c>
      <c r="B113" s="38">
        <v>45821</v>
      </c>
      <c r="C113" s="10" t="s">
        <v>14</v>
      </c>
      <c r="D113" s="10" t="s">
        <v>67</v>
      </c>
      <c r="E113" s="57">
        <v>0.38</v>
      </c>
      <c r="F113" s="10" t="s">
        <v>12</v>
      </c>
      <c r="G113" s="10" t="s">
        <v>12</v>
      </c>
      <c r="H113" s="14" t="s">
        <v>13</v>
      </c>
    </row>
    <row r="114" spans="1:8" x14ac:dyDescent="0.25">
      <c r="A114" s="9" t="s">
        <v>100</v>
      </c>
      <c r="B114" s="38">
        <v>45823</v>
      </c>
      <c r="C114" s="10" t="s">
        <v>10</v>
      </c>
      <c r="D114" s="10" t="s">
        <v>74</v>
      </c>
      <c r="E114" s="57">
        <v>1.48</v>
      </c>
      <c r="F114" s="10" t="s">
        <v>12</v>
      </c>
      <c r="G114" s="10" t="s">
        <v>75</v>
      </c>
      <c r="H114" s="14" t="s">
        <v>13</v>
      </c>
    </row>
    <row r="115" spans="1:8" x14ac:dyDescent="0.25">
      <c r="A115" s="9">
        <v>679</v>
      </c>
      <c r="B115" s="38">
        <v>45830</v>
      </c>
      <c r="C115" s="10" t="s">
        <v>14</v>
      </c>
      <c r="D115" s="10" t="s">
        <v>73</v>
      </c>
      <c r="E115" s="57">
        <v>102</v>
      </c>
      <c r="F115" s="10" t="s">
        <v>12</v>
      </c>
      <c r="G115" s="10" t="s">
        <v>76</v>
      </c>
      <c r="H115" s="14" t="s">
        <v>13</v>
      </c>
    </row>
    <row r="116" spans="1:8" x14ac:dyDescent="0.25">
      <c r="A116" s="9" t="s">
        <v>18</v>
      </c>
      <c r="B116" s="38">
        <v>45840</v>
      </c>
      <c r="C116" s="10" t="s">
        <v>10</v>
      </c>
      <c r="D116" s="10" t="s">
        <v>18</v>
      </c>
      <c r="E116" s="57">
        <v>155</v>
      </c>
      <c r="F116" s="10" t="s">
        <v>12</v>
      </c>
      <c r="G116" s="10" t="s">
        <v>12</v>
      </c>
      <c r="H116" s="14" t="s">
        <v>13</v>
      </c>
    </row>
    <row r="117" spans="1:8" x14ac:dyDescent="0.25">
      <c r="A117" s="9" t="s">
        <v>18</v>
      </c>
      <c r="B117" s="38">
        <v>45842</v>
      </c>
      <c r="C117" s="10" t="s">
        <v>14</v>
      </c>
      <c r="D117" s="10" t="s">
        <v>18</v>
      </c>
      <c r="E117" s="57">
        <v>196.55</v>
      </c>
      <c r="F117" s="10" t="s">
        <v>12</v>
      </c>
      <c r="G117" s="10" t="s">
        <v>12</v>
      </c>
      <c r="H117" s="14" t="s">
        <v>13</v>
      </c>
    </row>
    <row r="118" spans="1:8" x14ac:dyDescent="0.25">
      <c r="A118" s="9">
        <v>544</v>
      </c>
      <c r="B118" s="38">
        <v>45842</v>
      </c>
      <c r="C118" s="10" t="s">
        <v>14</v>
      </c>
      <c r="D118" s="10" t="s">
        <v>73</v>
      </c>
      <c r="E118" s="57">
        <v>102</v>
      </c>
      <c r="F118" s="10" t="s">
        <v>12</v>
      </c>
      <c r="G118" s="10" t="s">
        <v>12</v>
      </c>
      <c r="H118" s="14" t="s">
        <v>13</v>
      </c>
    </row>
    <row r="119" spans="1:8" x14ac:dyDescent="0.25">
      <c r="A119" s="9" t="s">
        <v>105</v>
      </c>
      <c r="B119" s="38">
        <v>45839</v>
      </c>
      <c r="C119" s="10" t="s">
        <v>14</v>
      </c>
      <c r="D119" s="10" t="s">
        <v>67</v>
      </c>
      <c r="E119" s="57">
        <v>0.05</v>
      </c>
      <c r="F119" s="10" t="s">
        <v>12</v>
      </c>
      <c r="G119" s="10" t="s">
        <v>12</v>
      </c>
      <c r="H119" s="14" t="s">
        <v>13</v>
      </c>
    </row>
    <row r="120" spans="1:8" x14ac:dyDescent="0.25">
      <c r="A120" s="9" t="s">
        <v>112</v>
      </c>
      <c r="B120" s="38">
        <v>45838</v>
      </c>
      <c r="C120" s="10" t="s">
        <v>14</v>
      </c>
      <c r="D120" s="10" t="s">
        <v>99</v>
      </c>
      <c r="E120" s="57">
        <v>0.19</v>
      </c>
      <c r="F120" s="10" t="s">
        <v>12</v>
      </c>
      <c r="G120" s="10" t="s">
        <v>12</v>
      </c>
      <c r="H120" s="14" t="s">
        <v>13</v>
      </c>
    </row>
    <row r="121" spans="1:8" x14ac:dyDescent="0.25">
      <c r="A121" s="9" t="s">
        <v>78</v>
      </c>
      <c r="B121" s="38">
        <v>45828</v>
      </c>
      <c r="C121" s="10" t="s">
        <v>14</v>
      </c>
      <c r="D121" s="10" t="s">
        <v>67</v>
      </c>
      <c r="E121" s="57">
        <v>0.74</v>
      </c>
      <c r="F121" s="10" t="s">
        <v>12</v>
      </c>
      <c r="G121" s="10" t="s">
        <v>12</v>
      </c>
      <c r="H121" s="14" t="s">
        <v>13</v>
      </c>
    </row>
    <row r="122" spans="1:8" x14ac:dyDescent="0.25">
      <c r="A122" s="9" t="s">
        <v>86</v>
      </c>
      <c r="B122" s="38">
        <v>45838</v>
      </c>
      <c r="C122" s="10" t="s">
        <v>14</v>
      </c>
      <c r="D122" s="10" t="s">
        <v>83</v>
      </c>
      <c r="E122" s="57">
        <f>0.05+2.44</f>
        <v>2.4899999999999998</v>
      </c>
      <c r="F122" s="10" t="s">
        <v>12</v>
      </c>
      <c r="G122" s="10" t="s">
        <v>12</v>
      </c>
      <c r="H122" s="14" t="s">
        <v>13</v>
      </c>
    </row>
    <row r="123" spans="1:8" x14ac:dyDescent="0.25">
      <c r="A123" s="9" t="s">
        <v>100</v>
      </c>
      <c r="B123" s="38">
        <v>45842</v>
      </c>
      <c r="C123" s="10" t="s">
        <v>10</v>
      </c>
      <c r="D123" s="10" t="s">
        <v>74</v>
      </c>
      <c r="E123" s="57">
        <v>3.47</v>
      </c>
      <c r="F123" s="10" t="s">
        <v>12</v>
      </c>
      <c r="G123" s="10" t="s">
        <v>75</v>
      </c>
      <c r="H123" s="14" t="s">
        <v>13</v>
      </c>
    </row>
    <row r="124" spans="1:8" x14ac:dyDescent="0.25">
      <c r="A124" s="9" t="s">
        <v>103</v>
      </c>
      <c r="B124" s="38">
        <v>45839</v>
      </c>
      <c r="C124" s="10" t="s">
        <v>14</v>
      </c>
      <c r="D124" s="35" t="s">
        <v>99</v>
      </c>
      <c r="E124" s="57">
        <v>0.06</v>
      </c>
      <c r="F124" s="10" t="s">
        <v>12</v>
      </c>
      <c r="G124" s="10" t="s">
        <v>12</v>
      </c>
      <c r="H124" s="14" t="s">
        <v>13</v>
      </c>
    </row>
    <row r="125" spans="1:8" x14ac:dyDescent="0.25">
      <c r="A125" s="9" t="s">
        <v>105</v>
      </c>
      <c r="B125" s="38">
        <v>45839</v>
      </c>
      <c r="C125" s="10" t="s">
        <v>14</v>
      </c>
      <c r="D125" s="10" t="s">
        <v>99</v>
      </c>
      <c r="E125" s="57">
        <v>0.05</v>
      </c>
      <c r="F125" s="10" t="s">
        <v>12</v>
      </c>
      <c r="G125" s="10" t="s">
        <v>12</v>
      </c>
      <c r="H125" s="14" t="s">
        <v>13</v>
      </c>
    </row>
    <row r="126" spans="1:8" x14ac:dyDescent="0.25">
      <c r="A126" s="9" t="s">
        <v>56</v>
      </c>
      <c r="B126" s="38">
        <v>45852</v>
      </c>
      <c r="C126" s="10" t="s">
        <v>14</v>
      </c>
      <c r="D126" s="10" t="s">
        <v>67</v>
      </c>
      <c r="E126" s="57">
        <v>1.1000000000000001</v>
      </c>
      <c r="F126" s="10" t="s">
        <v>12</v>
      </c>
      <c r="G126" s="10" t="s">
        <v>12</v>
      </c>
      <c r="H126" s="14" t="s">
        <v>13</v>
      </c>
    </row>
    <row r="127" spans="1:8" x14ac:dyDescent="0.25">
      <c r="A127" s="9" t="s">
        <v>102</v>
      </c>
      <c r="B127" s="38">
        <v>45852</v>
      </c>
      <c r="C127" s="10" t="s">
        <v>14</v>
      </c>
      <c r="D127" s="10" t="s">
        <v>67</v>
      </c>
      <c r="E127" s="57">
        <v>0.54</v>
      </c>
      <c r="F127" s="10" t="s">
        <v>12</v>
      </c>
      <c r="G127" s="10" t="s">
        <v>12</v>
      </c>
      <c r="H127" s="14" t="s">
        <v>13</v>
      </c>
    </row>
    <row r="128" spans="1:8" x14ac:dyDescent="0.25">
      <c r="A128" s="9" t="s">
        <v>56</v>
      </c>
      <c r="B128" s="38">
        <v>45852</v>
      </c>
      <c r="C128" s="10" t="s">
        <v>14</v>
      </c>
      <c r="D128" s="10" t="s">
        <v>67</v>
      </c>
      <c r="E128" s="57">
        <v>0.9</v>
      </c>
      <c r="F128" s="10" t="s">
        <v>12</v>
      </c>
      <c r="G128" s="10" t="s">
        <v>12</v>
      </c>
      <c r="H128" s="14" t="s">
        <v>13</v>
      </c>
    </row>
    <row r="129" spans="1:8" x14ac:dyDescent="0.25">
      <c r="A129" s="9" t="s">
        <v>100</v>
      </c>
      <c r="B129" s="38">
        <v>45852</v>
      </c>
      <c r="C129" s="10" t="s">
        <v>10</v>
      </c>
      <c r="D129" s="10" t="s">
        <v>74</v>
      </c>
      <c r="E129" s="57">
        <f>SUM(E124:E128)</f>
        <v>2.6500000000000004</v>
      </c>
      <c r="F129" s="10" t="s">
        <v>12</v>
      </c>
      <c r="G129" s="10" t="s">
        <v>12</v>
      </c>
      <c r="H129" s="14" t="s">
        <v>13</v>
      </c>
    </row>
    <row r="130" spans="1:8" x14ac:dyDescent="0.25">
      <c r="A130" s="9" t="s">
        <v>106</v>
      </c>
      <c r="B130" s="38">
        <v>45843</v>
      </c>
      <c r="C130" s="10" t="s">
        <v>10</v>
      </c>
      <c r="D130" s="10" t="s">
        <v>18</v>
      </c>
      <c r="E130" s="57">
        <f>102.01+174.37+570</f>
        <v>846.38</v>
      </c>
      <c r="F130" s="10" t="s">
        <v>12</v>
      </c>
      <c r="G130" s="10" t="s">
        <v>12</v>
      </c>
      <c r="H130" s="14" t="s">
        <v>13</v>
      </c>
    </row>
    <row r="131" spans="1:8" x14ac:dyDescent="0.25">
      <c r="A131" s="9" t="s">
        <v>18</v>
      </c>
      <c r="B131" s="38">
        <v>45936</v>
      </c>
      <c r="C131" s="10" t="s">
        <v>14</v>
      </c>
      <c r="D131" s="10" t="s">
        <v>18</v>
      </c>
      <c r="E131" s="57">
        <v>170.57</v>
      </c>
      <c r="F131" s="10" t="s">
        <v>12</v>
      </c>
      <c r="G131" s="10" t="s">
        <v>76</v>
      </c>
      <c r="H131" s="14" t="s">
        <v>13</v>
      </c>
    </row>
    <row r="132" spans="1:8" x14ac:dyDescent="0.25">
      <c r="A132" s="9">
        <v>1777</v>
      </c>
      <c r="B132" s="38">
        <v>45970</v>
      </c>
      <c r="C132" s="10" t="s">
        <v>14</v>
      </c>
      <c r="D132" s="10" t="s">
        <v>73</v>
      </c>
      <c r="E132" s="57">
        <v>87.43</v>
      </c>
      <c r="F132" s="10" t="s">
        <v>12</v>
      </c>
      <c r="G132" s="10" t="s">
        <v>76</v>
      </c>
      <c r="H132" s="14" t="s">
        <v>13</v>
      </c>
    </row>
    <row r="133" spans="1:8" x14ac:dyDescent="0.25">
      <c r="A133" s="9" t="s">
        <v>108</v>
      </c>
      <c r="B133" s="38">
        <v>45981</v>
      </c>
      <c r="C133" s="10" t="s">
        <v>10</v>
      </c>
      <c r="D133" s="10" t="s">
        <v>18</v>
      </c>
      <c r="E133" s="57">
        <f>20+80+50+29.32+20.7+10</f>
        <v>210.01999999999998</v>
      </c>
      <c r="F133" s="10" t="s">
        <v>12</v>
      </c>
      <c r="G133" s="10" t="s">
        <v>76</v>
      </c>
      <c r="H133" s="14" t="s">
        <v>13</v>
      </c>
    </row>
    <row r="134" spans="1:8" x14ac:dyDescent="0.25">
      <c r="A134" s="9" t="s">
        <v>18</v>
      </c>
      <c r="B134" s="38">
        <v>45997</v>
      </c>
      <c r="C134" s="10" t="s">
        <v>14</v>
      </c>
      <c r="D134" s="10" t="s">
        <v>18</v>
      </c>
      <c r="E134" s="57">
        <v>215.42</v>
      </c>
      <c r="F134" s="10" t="s">
        <v>12</v>
      </c>
      <c r="G134" s="10" t="s">
        <v>76</v>
      </c>
      <c r="H134" s="14" t="s">
        <v>13</v>
      </c>
    </row>
    <row r="135" spans="1:8" x14ac:dyDescent="0.25">
      <c r="A135" s="9" t="s">
        <v>111</v>
      </c>
      <c r="B135" s="38">
        <v>45998</v>
      </c>
      <c r="C135" s="10" t="s">
        <v>14</v>
      </c>
      <c r="D135" s="10" t="s">
        <v>18</v>
      </c>
      <c r="E135" s="57">
        <v>57.26</v>
      </c>
      <c r="F135" s="10" t="s">
        <v>87</v>
      </c>
      <c r="G135" s="10" t="s">
        <v>87</v>
      </c>
      <c r="H135" s="14" t="s">
        <v>13</v>
      </c>
    </row>
    <row r="136" spans="1:8" x14ac:dyDescent="0.25">
      <c r="A136" s="9" t="s">
        <v>16</v>
      </c>
      <c r="B136" s="38">
        <v>46002</v>
      </c>
      <c r="C136" s="10" t="s">
        <v>14</v>
      </c>
      <c r="D136" s="10" t="s">
        <v>15</v>
      </c>
      <c r="E136" s="57">
        <v>0.41</v>
      </c>
      <c r="F136" s="10" t="s">
        <v>76</v>
      </c>
      <c r="G136" s="10" t="s">
        <v>87</v>
      </c>
      <c r="H136" s="14" t="s">
        <v>13</v>
      </c>
    </row>
    <row r="137" spans="1:8" x14ac:dyDescent="0.25">
      <c r="A137" s="9" t="s">
        <v>16</v>
      </c>
      <c r="B137" s="38">
        <v>45973</v>
      </c>
      <c r="C137" s="10" t="s">
        <v>14</v>
      </c>
      <c r="D137" s="10" t="s">
        <v>15</v>
      </c>
      <c r="E137" s="57">
        <v>0.2</v>
      </c>
      <c r="F137" s="10" t="s">
        <v>76</v>
      </c>
      <c r="G137" s="10" t="s">
        <v>87</v>
      </c>
      <c r="H137" s="14" t="s">
        <v>13</v>
      </c>
    </row>
    <row r="138" spans="1:8" x14ac:dyDescent="0.25">
      <c r="A138" s="9" t="s">
        <v>56</v>
      </c>
      <c r="B138" s="38">
        <v>45973</v>
      </c>
      <c r="C138" s="10" t="s">
        <v>14</v>
      </c>
      <c r="D138" s="10" t="s">
        <v>67</v>
      </c>
      <c r="E138" s="57">
        <v>0.1</v>
      </c>
      <c r="F138" s="10" t="s">
        <v>76</v>
      </c>
      <c r="G138" s="10" t="s">
        <v>87</v>
      </c>
      <c r="H138" s="14" t="s">
        <v>13</v>
      </c>
    </row>
    <row r="139" spans="1:8" x14ac:dyDescent="0.25">
      <c r="A139" s="9" t="s">
        <v>102</v>
      </c>
      <c r="B139" s="38">
        <v>45973</v>
      </c>
      <c r="C139" s="10" t="s">
        <v>14</v>
      </c>
      <c r="D139" s="10" t="s">
        <v>67</v>
      </c>
      <c r="E139" s="57">
        <v>0.12</v>
      </c>
      <c r="F139" s="10" t="s">
        <v>76</v>
      </c>
      <c r="G139" s="10" t="s">
        <v>87</v>
      </c>
      <c r="H139" s="14" t="s">
        <v>13</v>
      </c>
    </row>
    <row r="140" spans="1:8" x14ac:dyDescent="0.25">
      <c r="A140" s="9" t="s">
        <v>16</v>
      </c>
      <c r="B140" s="38">
        <v>46005</v>
      </c>
      <c r="C140" s="10" t="s">
        <v>14</v>
      </c>
      <c r="D140" s="10" t="s">
        <v>15</v>
      </c>
      <c r="E140" s="57">
        <v>0.24</v>
      </c>
      <c r="F140" s="10" t="s">
        <v>76</v>
      </c>
      <c r="G140" s="10" t="s">
        <v>87</v>
      </c>
      <c r="H140" s="14" t="s">
        <v>13</v>
      </c>
    </row>
    <row r="141" spans="1:8" x14ac:dyDescent="0.25">
      <c r="A141" s="9" t="s">
        <v>16</v>
      </c>
      <c r="B141" s="38">
        <v>46008</v>
      </c>
      <c r="C141" s="10" t="s">
        <v>14</v>
      </c>
      <c r="D141" s="10" t="s">
        <v>15</v>
      </c>
      <c r="E141" s="57">
        <v>0.42</v>
      </c>
      <c r="F141" s="10" t="s">
        <v>76</v>
      </c>
      <c r="G141" s="10" t="s">
        <v>87</v>
      </c>
      <c r="H141" s="14" t="s">
        <v>13</v>
      </c>
    </row>
    <row r="142" spans="1:8" x14ac:dyDescent="0.25">
      <c r="A142" s="9" t="s">
        <v>16</v>
      </c>
      <c r="B142" s="38">
        <v>46017</v>
      </c>
      <c r="C142" s="10" t="s">
        <v>14</v>
      </c>
      <c r="D142" s="10" t="s">
        <v>15</v>
      </c>
      <c r="E142" s="57">
        <v>2.94</v>
      </c>
      <c r="F142" s="10" t="s">
        <v>76</v>
      </c>
      <c r="G142" s="10" t="s">
        <v>87</v>
      </c>
      <c r="H142" s="14" t="s">
        <v>13</v>
      </c>
    </row>
    <row r="143" spans="1:8" x14ac:dyDescent="0.25">
      <c r="A143" s="9" t="s">
        <v>106</v>
      </c>
      <c r="B143" s="38">
        <v>46018</v>
      </c>
      <c r="C143" s="10" t="s">
        <v>10</v>
      </c>
      <c r="D143" s="10" t="s">
        <v>18</v>
      </c>
      <c r="E143" s="57">
        <v>550</v>
      </c>
      <c r="F143" s="10" t="s">
        <v>76</v>
      </c>
      <c r="G143" s="10" t="s">
        <v>12</v>
      </c>
      <c r="H143" s="14" t="s">
        <v>13</v>
      </c>
    </row>
    <row r="144" spans="1:8" x14ac:dyDescent="0.25">
      <c r="A144" s="9" t="s">
        <v>120</v>
      </c>
      <c r="B144" s="38">
        <v>45665</v>
      </c>
      <c r="C144" s="10" t="s">
        <v>10</v>
      </c>
      <c r="D144" s="10" t="s">
        <v>18</v>
      </c>
      <c r="E144" s="57">
        <v>170</v>
      </c>
      <c r="F144" s="10" t="s">
        <v>76</v>
      </c>
      <c r="G144" s="10" t="s">
        <v>12</v>
      </c>
      <c r="H144" s="14" t="s">
        <v>13</v>
      </c>
    </row>
    <row r="145" spans="1:8" x14ac:dyDescent="0.25">
      <c r="A145" s="9" t="s">
        <v>18</v>
      </c>
      <c r="B145" s="38">
        <v>45665</v>
      </c>
      <c r="C145" s="10" t="s">
        <v>14</v>
      </c>
      <c r="D145" s="10" t="s">
        <v>18</v>
      </c>
      <c r="E145" s="57">
        <v>396.07</v>
      </c>
      <c r="F145" s="10" t="s">
        <v>76</v>
      </c>
      <c r="G145" s="10" t="s">
        <v>76</v>
      </c>
      <c r="H145" s="14" t="s">
        <v>13</v>
      </c>
    </row>
    <row r="146" spans="1:8" x14ac:dyDescent="0.25">
      <c r="A146" s="9" t="s">
        <v>56</v>
      </c>
      <c r="B146" s="38">
        <v>46033</v>
      </c>
      <c r="C146" s="10" t="s">
        <v>14</v>
      </c>
      <c r="D146" s="10" t="s">
        <v>67</v>
      </c>
      <c r="E146" s="57">
        <v>0.1</v>
      </c>
      <c r="F146" s="10" t="s">
        <v>12</v>
      </c>
      <c r="G146" s="10" t="s">
        <v>12</v>
      </c>
      <c r="H146" s="14" t="s">
        <v>13</v>
      </c>
    </row>
    <row r="147" spans="1:8" x14ac:dyDescent="0.25">
      <c r="A147" s="9" t="s">
        <v>102</v>
      </c>
      <c r="B147" s="38">
        <v>46033</v>
      </c>
      <c r="C147" s="10" t="s">
        <v>14</v>
      </c>
      <c r="D147" s="10" t="s">
        <v>67</v>
      </c>
      <c r="E147" s="57">
        <v>0.12</v>
      </c>
      <c r="F147" s="10" t="s">
        <v>12</v>
      </c>
      <c r="G147" s="10" t="s">
        <v>125</v>
      </c>
      <c r="H147" s="14" t="s">
        <v>13</v>
      </c>
    </row>
    <row r="148" spans="1:8" x14ac:dyDescent="0.25">
      <c r="A148" s="9" t="s">
        <v>112</v>
      </c>
      <c r="B148" s="38">
        <v>46033</v>
      </c>
      <c r="C148" s="10" t="s">
        <v>14</v>
      </c>
      <c r="D148" s="10" t="s">
        <v>99</v>
      </c>
      <c r="E148" s="57">
        <v>0.19</v>
      </c>
      <c r="F148" s="10" t="s">
        <v>12</v>
      </c>
      <c r="G148" s="10" t="s">
        <v>12</v>
      </c>
      <c r="H148" s="14" t="s">
        <v>13</v>
      </c>
    </row>
    <row r="149" spans="1:8" x14ac:dyDescent="0.25">
      <c r="A149" s="9" t="s">
        <v>111</v>
      </c>
      <c r="B149" s="38">
        <v>46033</v>
      </c>
      <c r="C149" s="10" t="s">
        <v>10</v>
      </c>
      <c r="D149" s="10" t="s">
        <v>111</v>
      </c>
      <c r="E149" s="57">
        <v>63.53</v>
      </c>
      <c r="F149" s="10" t="s">
        <v>76</v>
      </c>
      <c r="G149" s="10" t="s">
        <v>87</v>
      </c>
      <c r="H149" s="14" t="s">
        <v>13</v>
      </c>
    </row>
    <row r="150" spans="1:8" x14ac:dyDescent="0.25">
      <c r="A150" s="9" t="s">
        <v>122</v>
      </c>
      <c r="B150" s="38">
        <v>46039</v>
      </c>
      <c r="C150" s="10" t="s">
        <v>14</v>
      </c>
      <c r="D150" s="10" t="s">
        <v>15</v>
      </c>
      <c r="E150" s="57">
        <v>0.03</v>
      </c>
      <c r="F150" s="10" t="s">
        <v>76</v>
      </c>
      <c r="G150" s="10" t="s">
        <v>76</v>
      </c>
      <c r="H150" s="14" t="s">
        <v>13</v>
      </c>
    </row>
    <row r="151" spans="1:8" x14ac:dyDescent="0.25">
      <c r="A151" s="9" t="s">
        <v>129</v>
      </c>
      <c r="B151" s="38">
        <v>46040</v>
      </c>
      <c r="C151" s="10" t="s">
        <v>10</v>
      </c>
      <c r="D151" s="10" t="s">
        <v>18</v>
      </c>
      <c r="E151" s="57">
        <v>100</v>
      </c>
      <c r="F151" s="10" t="s">
        <v>76</v>
      </c>
      <c r="G151" s="10" t="s">
        <v>76</v>
      </c>
      <c r="H151" s="14" t="s">
        <v>13</v>
      </c>
    </row>
    <row r="152" spans="1:8" x14ac:dyDescent="0.25">
      <c r="A152" s="9">
        <v>30.83</v>
      </c>
      <c r="B152" s="38">
        <v>46052</v>
      </c>
      <c r="C152" s="10" t="s">
        <v>14</v>
      </c>
      <c r="D152" s="10" t="s">
        <v>73</v>
      </c>
      <c r="E152" s="57">
        <v>50</v>
      </c>
      <c r="F152" s="10" t="s">
        <v>76</v>
      </c>
      <c r="G152" s="10" t="s">
        <v>76</v>
      </c>
      <c r="H152" s="14" t="s">
        <v>13</v>
      </c>
    </row>
    <row r="153" spans="1:8" x14ac:dyDescent="0.25">
      <c r="A153" s="9" t="s">
        <v>111</v>
      </c>
      <c r="B153" s="38">
        <v>46054</v>
      </c>
      <c r="C153" s="10" t="s">
        <v>10</v>
      </c>
      <c r="D153" s="10" t="s">
        <v>111</v>
      </c>
      <c r="E153" s="57">
        <v>497.79</v>
      </c>
      <c r="F153" s="10" t="s">
        <v>76</v>
      </c>
      <c r="G153" s="10" t="s">
        <v>87</v>
      </c>
      <c r="H153" s="14" t="s">
        <v>13</v>
      </c>
    </row>
    <row r="154" spans="1:8" x14ac:dyDescent="0.25">
      <c r="A154" s="9" t="s">
        <v>122</v>
      </c>
      <c r="B154" s="38">
        <v>46084</v>
      </c>
      <c r="C154" s="10" t="s">
        <v>14</v>
      </c>
      <c r="D154" s="10" t="s">
        <v>15</v>
      </c>
      <c r="E154" s="57">
        <v>0.05</v>
      </c>
      <c r="F154" s="10" t="s">
        <v>76</v>
      </c>
      <c r="G154" s="10" t="s">
        <v>76</v>
      </c>
      <c r="H154" s="14" t="s">
        <v>13</v>
      </c>
    </row>
    <row r="155" spans="1:8" x14ac:dyDescent="0.25">
      <c r="A155" s="9" t="s">
        <v>16</v>
      </c>
      <c r="B155" s="38">
        <v>46057</v>
      </c>
      <c r="C155" s="10" t="s">
        <v>14</v>
      </c>
      <c r="D155" s="10" t="s">
        <v>15</v>
      </c>
      <c r="E155" s="57">
        <v>0.02</v>
      </c>
      <c r="F155" s="10" t="s">
        <v>76</v>
      </c>
      <c r="G155" s="10" t="s">
        <v>76</v>
      </c>
      <c r="H155" s="14" t="s">
        <v>13</v>
      </c>
    </row>
    <row r="156" spans="1:8" x14ac:dyDescent="0.25">
      <c r="A156" s="9" t="s">
        <v>18</v>
      </c>
      <c r="B156" s="38">
        <v>46059</v>
      </c>
      <c r="C156" s="10" t="s">
        <v>14</v>
      </c>
      <c r="D156" s="10" t="s">
        <v>18</v>
      </c>
      <c r="E156" s="57">
        <v>683.22</v>
      </c>
      <c r="F156" s="10" t="s">
        <v>76</v>
      </c>
      <c r="G156" s="10" t="s">
        <v>76</v>
      </c>
      <c r="H156" s="14" t="s">
        <v>13</v>
      </c>
    </row>
    <row r="157" spans="1:8" x14ac:dyDescent="0.25">
      <c r="A157" s="9" t="s">
        <v>10</v>
      </c>
      <c r="B157" s="38">
        <v>46059</v>
      </c>
      <c r="C157" s="10" t="s">
        <v>10</v>
      </c>
      <c r="D157" s="10" t="s">
        <v>18</v>
      </c>
      <c r="E157" s="57">
        <v>421.25</v>
      </c>
      <c r="F157" s="10" t="s">
        <v>76</v>
      </c>
      <c r="G157" s="10" t="s">
        <v>134</v>
      </c>
      <c r="H157" s="14" t="s">
        <v>13</v>
      </c>
    </row>
    <row r="158" spans="1:8" x14ac:dyDescent="0.25">
      <c r="A158" s="9">
        <v>32.89</v>
      </c>
      <c r="B158" s="38">
        <v>46061</v>
      </c>
      <c r="C158" s="10" t="s">
        <v>14</v>
      </c>
      <c r="D158" s="10" t="s">
        <v>73</v>
      </c>
      <c r="E158" s="57">
        <v>50</v>
      </c>
      <c r="F158" s="10" t="s">
        <v>76</v>
      </c>
      <c r="G158" s="10" t="s">
        <v>76</v>
      </c>
      <c r="H158" s="14" t="s">
        <v>13</v>
      </c>
    </row>
    <row r="159" spans="1:8" x14ac:dyDescent="0.25">
      <c r="A159" s="9" t="s">
        <v>135</v>
      </c>
      <c r="B159" s="38">
        <v>46061</v>
      </c>
      <c r="C159" s="10" t="s">
        <v>10</v>
      </c>
      <c r="D159" s="10" t="s">
        <v>18</v>
      </c>
      <c r="E159" s="57">
        <v>200</v>
      </c>
      <c r="F159" s="10" t="s">
        <v>76</v>
      </c>
      <c r="G159" s="10" t="s">
        <v>76</v>
      </c>
      <c r="H159" s="14" t="s">
        <v>13</v>
      </c>
    </row>
    <row r="160" spans="1:8" x14ac:dyDescent="0.25">
      <c r="A160" s="9" t="s">
        <v>122</v>
      </c>
      <c r="B160" s="38">
        <v>46061</v>
      </c>
      <c r="C160" s="10" t="s">
        <v>14</v>
      </c>
      <c r="D160" s="10" t="s">
        <v>15</v>
      </c>
      <c r="E160" s="57">
        <v>0.47</v>
      </c>
      <c r="F160" s="10" t="s">
        <v>76</v>
      </c>
      <c r="G160" s="10" t="s">
        <v>76</v>
      </c>
      <c r="H160" s="14" t="s">
        <v>13</v>
      </c>
    </row>
    <row r="161" spans="1:8" x14ac:dyDescent="0.25">
      <c r="A161" s="9" t="s">
        <v>122</v>
      </c>
      <c r="B161" s="38">
        <v>46063</v>
      </c>
      <c r="C161" s="10" t="s">
        <v>14</v>
      </c>
      <c r="D161" s="10" t="s">
        <v>15</v>
      </c>
      <c r="E161" s="57">
        <v>0.02</v>
      </c>
      <c r="F161" s="10" t="s">
        <v>76</v>
      </c>
      <c r="G161" s="10" t="s">
        <v>76</v>
      </c>
      <c r="H161" s="14" t="s">
        <v>13</v>
      </c>
    </row>
    <row r="162" spans="1:8" x14ac:dyDescent="0.25">
      <c r="A162" s="9" t="s">
        <v>122</v>
      </c>
      <c r="B162" s="38">
        <v>46064</v>
      </c>
      <c r="C162" s="10" t="s">
        <v>14</v>
      </c>
      <c r="D162" s="10" t="s">
        <v>15</v>
      </c>
      <c r="E162" s="57">
        <v>0.02</v>
      </c>
      <c r="F162" s="10" t="s">
        <v>76</v>
      </c>
      <c r="G162" s="10" t="s">
        <v>76</v>
      </c>
      <c r="H162" s="14" t="s">
        <v>13</v>
      </c>
    </row>
    <row r="163" spans="1:8" x14ac:dyDescent="0.25">
      <c r="A163" s="9">
        <v>43.41</v>
      </c>
      <c r="B163" s="38">
        <v>46065</v>
      </c>
      <c r="C163" s="10" t="s">
        <v>10</v>
      </c>
      <c r="D163" s="10" t="s">
        <v>73</v>
      </c>
      <c r="E163" s="57">
        <v>120</v>
      </c>
      <c r="F163" s="10" t="s">
        <v>76</v>
      </c>
      <c r="G163" s="10" t="s">
        <v>76</v>
      </c>
      <c r="H163" s="14" t="s">
        <v>13</v>
      </c>
    </row>
    <row r="164" spans="1:8" x14ac:dyDescent="0.25">
      <c r="A164" s="9" t="s">
        <v>102</v>
      </c>
      <c r="B164" s="9" t="s">
        <v>136</v>
      </c>
      <c r="C164" s="10" t="s">
        <v>14</v>
      </c>
      <c r="D164" s="10" t="s">
        <v>67</v>
      </c>
      <c r="E164" s="57">
        <v>0.31</v>
      </c>
      <c r="F164" s="10" t="s">
        <v>76</v>
      </c>
      <c r="G164" s="10" t="s">
        <v>76</v>
      </c>
      <c r="H164" s="14" t="s">
        <v>13</v>
      </c>
    </row>
    <row r="165" spans="1:8" x14ac:dyDescent="0.25">
      <c r="A165" s="9" t="s">
        <v>56</v>
      </c>
      <c r="B165" s="38">
        <v>46066</v>
      </c>
      <c r="C165" s="10" t="s">
        <v>14</v>
      </c>
      <c r="D165" s="10" t="s">
        <v>67</v>
      </c>
      <c r="E165" s="57">
        <v>0.1</v>
      </c>
      <c r="F165" s="10" t="s">
        <v>76</v>
      </c>
      <c r="G165" s="10" t="s">
        <v>76</v>
      </c>
      <c r="H165" s="14" t="s">
        <v>13</v>
      </c>
    </row>
    <row r="166" spans="1:8" x14ac:dyDescent="0.25">
      <c r="A166" s="9" t="s">
        <v>18</v>
      </c>
      <c r="B166" s="38">
        <v>46066</v>
      </c>
      <c r="C166" s="10" t="s">
        <v>14</v>
      </c>
      <c r="D166" s="10" t="s">
        <v>18</v>
      </c>
      <c r="E166" s="57">
        <v>105.23</v>
      </c>
      <c r="F166" s="10" t="s">
        <v>12</v>
      </c>
      <c r="G166" s="10" t="s">
        <v>76</v>
      </c>
      <c r="H166" s="14" t="s">
        <v>13</v>
      </c>
    </row>
    <row r="167" spans="1:8" x14ac:dyDescent="0.25">
      <c r="A167" s="9">
        <v>65.12</v>
      </c>
      <c r="B167" s="38">
        <v>46079</v>
      </c>
      <c r="C167" s="10" t="s">
        <v>14</v>
      </c>
      <c r="D167" s="10" t="s">
        <v>73</v>
      </c>
      <c r="E167" s="57">
        <f>129.79+50</f>
        <v>179.79</v>
      </c>
      <c r="F167" s="10" t="s">
        <v>12</v>
      </c>
      <c r="G167" s="10" t="s">
        <v>76</v>
      </c>
      <c r="H167" s="14" t="s">
        <v>137</v>
      </c>
    </row>
    <row r="168" spans="1:8" x14ac:dyDescent="0.25">
      <c r="A168" s="9">
        <v>65.06</v>
      </c>
      <c r="B168" s="38">
        <v>46079</v>
      </c>
      <c r="C168" s="10" t="s">
        <v>10</v>
      </c>
      <c r="D168" s="10" t="s">
        <v>73</v>
      </c>
      <c r="E168" s="57">
        <v>179.72</v>
      </c>
      <c r="F168" s="10" t="s">
        <v>76</v>
      </c>
      <c r="G168" s="10" t="s">
        <v>138</v>
      </c>
      <c r="H168" s="14" t="s">
        <v>138</v>
      </c>
    </row>
    <row r="169" spans="1:8" x14ac:dyDescent="0.25">
      <c r="A169" s="9">
        <v>36.36</v>
      </c>
      <c r="B169" s="38">
        <v>46084</v>
      </c>
      <c r="C169" s="10" t="s">
        <v>14</v>
      </c>
      <c r="D169" s="10" t="s">
        <v>73</v>
      </c>
      <c r="E169" s="57">
        <v>100</v>
      </c>
      <c r="F169" s="10" t="s">
        <v>76</v>
      </c>
      <c r="G169" s="10" t="s">
        <v>88</v>
      </c>
      <c r="H169" s="14" t="s">
        <v>137</v>
      </c>
    </row>
    <row r="170" spans="1:8" x14ac:dyDescent="0.25">
      <c r="A170" s="9">
        <v>72.430000000000007</v>
      </c>
      <c r="B170" s="38">
        <v>46088</v>
      </c>
      <c r="C170" s="10" t="s">
        <v>10</v>
      </c>
      <c r="D170" s="10" t="s">
        <v>73</v>
      </c>
      <c r="E170" s="130">
        <v>200</v>
      </c>
      <c r="F170" s="10" t="s">
        <v>76</v>
      </c>
      <c r="G170" s="10" t="s">
        <v>88</v>
      </c>
      <c r="H170" s="14" t="s">
        <v>137</v>
      </c>
    </row>
    <row r="171" spans="1:8" x14ac:dyDescent="0.25">
      <c r="A171" s="9">
        <v>2.3199999999999998</v>
      </c>
      <c r="B171" s="38">
        <v>46088</v>
      </c>
      <c r="C171" s="10" t="s">
        <v>14</v>
      </c>
      <c r="D171" s="10" t="s">
        <v>73</v>
      </c>
      <c r="E171" s="130">
        <v>6.37</v>
      </c>
      <c r="F171" s="10" t="s">
        <v>76</v>
      </c>
      <c r="G171" s="10" t="s">
        <v>88</v>
      </c>
      <c r="H171" s="14" t="s">
        <v>13</v>
      </c>
    </row>
    <row r="172" spans="1:8" x14ac:dyDescent="0.25">
      <c r="A172" s="9" t="s">
        <v>122</v>
      </c>
      <c r="B172" s="38">
        <v>46088</v>
      </c>
      <c r="C172" s="10" t="s">
        <v>14</v>
      </c>
      <c r="D172" s="10" t="s">
        <v>15</v>
      </c>
      <c r="E172" s="130">
        <v>0.3</v>
      </c>
      <c r="F172" s="10" t="s">
        <v>76</v>
      </c>
      <c r="G172" s="10" t="s">
        <v>76</v>
      </c>
      <c r="H172" s="14" t="s">
        <v>13</v>
      </c>
    </row>
    <row r="173" spans="1:8" x14ac:dyDescent="0.25">
      <c r="A173" s="9" t="s">
        <v>18</v>
      </c>
      <c r="B173" s="38">
        <v>46088</v>
      </c>
      <c r="C173" s="10" t="s">
        <v>14</v>
      </c>
      <c r="D173" s="10" t="s">
        <v>18</v>
      </c>
      <c r="E173" s="130">
        <v>905.73</v>
      </c>
      <c r="F173" s="10" t="s">
        <v>76</v>
      </c>
      <c r="G173" s="10" t="s">
        <v>76</v>
      </c>
      <c r="H173" s="14" t="s">
        <v>13</v>
      </c>
    </row>
    <row r="174" spans="1:8" x14ac:dyDescent="0.25">
      <c r="A174" s="9" t="s">
        <v>139</v>
      </c>
      <c r="B174" s="38">
        <v>46088</v>
      </c>
      <c r="C174" s="10" t="s">
        <v>10</v>
      </c>
      <c r="D174" s="10" t="s">
        <v>140</v>
      </c>
      <c r="E174" s="130">
        <v>219.01249999999999</v>
      </c>
      <c r="F174" s="10" t="s">
        <v>76</v>
      </c>
      <c r="G174" s="10" t="s">
        <v>76</v>
      </c>
      <c r="H174" s="14" t="s">
        <v>13</v>
      </c>
    </row>
    <row r="175" spans="1:8" x14ac:dyDescent="0.25">
      <c r="A175" s="9" t="s">
        <v>10</v>
      </c>
      <c r="B175" s="38">
        <v>46088</v>
      </c>
      <c r="C175" s="10" t="s">
        <v>10</v>
      </c>
      <c r="D175" s="10" t="s">
        <v>18</v>
      </c>
      <c r="E175" s="130">
        <v>421.55</v>
      </c>
      <c r="F175" s="10" t="s">
        <v>76</v>
      </c>
      <c r="G175" s="10" t="s">
        <v>134</v>
      </c>
      <c r="H175" s="14" t="s">
        <v>13</v>
      </c>
    </row>
    <row r="176" spans="1:8" x14ac:dyDescent="0.25">
      <c r="A176" s="9" t="s">
        <v>72</v>
      </c>
      <c r="B176" s="38">
        <v>46088</v>
      </c>
      <c r="C176" s="10" t="s">
        <v>14</v>
      </c>
      <c r="D176" s="10"/>
      <c r="E176" s="130"/>
      <c r="F176" s="10"/>
      <c r="G176" s="10"/>
      <c r="H176" s="14"/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0671-C29D-4899-A6F2-32E2ABC076E2}">
  <dimension ref="A1:E23"/>
  <sheetViews>
    <sheetView tabSelected="1" topLeftCell="C1" zoomScaleNormal="100" workbookViewId="0">
      <selection activeCell="X5" sqref="X5"/>
    </sheetView>
  </sheetViews>
  <sheetFormatPr defaultRowHeight="15" x14ac:dyDescent="0.25"/>
  <cols>
    <col min="1" max="1" width="21.140625" bestFit="1" customWidth="1"/>
    <col min="2" max="3" width="13.28515625" bestFit="1" customWidth="1"/>
    <col min="4" max="4" width="8.5703125" bestFit="1" customWidth="1"/>
    <col min="5" max="5" width="13.28515625" bestFit="1" customWidth="1"/>
  </cols>
  <sheetData>
    <row r="1" spans="1:5" x14ac:dyDescent="0.25">
      <c r="A1" t="s">
        <v>113</v>
      </c>
      <c r="B1" t="s">
        <v>114</v>
      </c>
      <c r="C1" t="s">
        <v>115</v>
      </c>
      <c r="D1" s="106" t="s">
        <v>20</v>
      </c>
      <c r="E1" t="s">
        <v>15</v>
      </c>
    </row>
    <row r="2" spans="1:5" x14ac:dyDescent="0.25">
      <c r="A2" t="s">
        <v>123</v>
      </c>
      <c r="B2" s="17">
        <f>SUM(CDB[Valor])</f>
        <v>966.2723343999445</v>
      </c>
      <c r="C2" s="17">
        <f>SUM(CDB[Valor])+Tabela14[[#This Row],[Rendimento]]</f>
        <v>972.68233439994447</v>
      </c>
      <c r="D2" s="106">
        <f ca="1">Geral[[#This Row],[Atual]]*1/(SUM($C$2:$C$10))</f>
        <v>0.47507148157095791</v>
      </c>
      <c r="E2" s="76">
        <f>Geral[[#This Row],[Atual]]-Geral[[#This Row],[Investido]]</f>
        <v>6.4099999999999682</v>
      </c>
    </row>
    <row r="3" spans="1:5" x14ac:dyDescent="0.25">
      <c r="A3" t="s">
        <v>122</v>
      </c>
      <c r="B3" s="17" cm="1">
        <f t="array" ref="B3">SUM(CDB_3[Valor])-Tabela144[Rendimento]</f>
        <v>138.04291585635286</v>
      </c>
      <c r="C3" s="17">
        <f>SUM(CDB_3[Valor])</f>
        <v>138.93291585635285</v>
      </c>
      <c r="D3" s="106">
        <f ca="1">Geral[[#This Row],[Atual]]*1/(SUM($C$2:$C$10))</f>
        <v>6.7856754297453747E-2</v>
      </c>
      <c r="E3" s="76">
        <f>Geral[[#This Row],[Atual]]-Geral[[#This Row],[Investido]]</f>
        <v>0.88999999999998636</v>
      </c>
    </row>
    <row r="4" spans="1:5" x14ac:dyDescent="0.25">
      <c r="A4" t="s">
        <v>60</v>
      </c>
      <c r="B4" s="17">
        <f>SUMIFS(BDR[Valor da compra],BDR[Tipo],"BDR",BDR[Em posse],"Sim")</f>
        <v>167.32999999999998</v>
      </c>
      <c r="C4" s="17">
        <f ca="1">SUMIFS(BDR[Total],BDR[Tipo],"BDR",BDR[Em posse],"Sim")</f>
        <v>238.97000000000003</v>
      </c>
      <c r="D4" s="106">
        <f ca="1">Geral[[#This Row],[Atual]]*1/(SUM($C$2:$C$10))</f>
        <v>0.11671624736666782</v>
      </c>
      <c r="E4" s="76">
        <f ca="1">Geral[[#This Row],[Atual]]-Geral[[#This Row],[Investido]]</f>
        <v>71.640000000000043</v>
      </c>
    </row>
    <row r="5" spans="1:5" x14ac:dyDescent="0.25">
      <c r="A5" t="e" vm="1">
        <v>#VALUE!</v>
      </c>
      <c r="B5" s="17">
        <f>SUM(Dolar[Valor de depósito])</f>
        <v>296.74</v>
      </c>
      <c r="C5" s="17" cm="1">
        <f t="array" aca="1" ref="C5" ca="1">_FV(Geral[[#This Row],[Descrição]],"Preço")*SUM(Dolar[Valor em dólar])</f>
        <v>262.18842298024146</v>
      </c>
      <c r="D5" s="106">
        <f ca="1">Geral[[#This Row],[Atual]]*1/(SUM($C$2:$C$10))</f>
        <v>0.12805644571803318</v>
      </c>
      <c r="E5" s="76">
        <f ca="1">Geral[[#This Row],[Atual]]-Geral[[#This Row],[Investido]]</f>
        <v>-34.551577019758554</v>
      </c>
    </row>
    <row r="6" spans="1:5" x14ac:dyDescent="0.25">
      <c r="A6" t="s">
        <v>17</v>
      </c>
      <c r="B6" s="17">
        <f>SUMIFS(BDR[Valor da compra],BDR[Tipo],"FII",BDR[Em posse],"Sim")</f>
        <v>208.06999999999996</v>
      </c>
      <c r="C6" s="17">
        <f ca="1">SUMIFS(BDR[Total],BDR[Tipo],"FII",BDR[Em posse],"Sim")</f>
        <v>221.11</v>
      </c>
      <c r="D6" s="106">
        <f ca="1">Geral[[#This Row],[Atual]]*1/(SUM($C$2:$C$10))</f>
        <v>0.10799317678053279</v>
      </c>
      <c r="E6" s="76">
        <f ca="1">Geral[[#This Row],[Atual]]-Geral[[#This Row],[Investido]]</f>
        <v>13.040000000000049</v>
      </c>
    </row>
    <row r="7" spans="1:5" x14ac:dyDescent="0.25">
      <c r="A7" t="s">
        <v>93</v>
      </c>
      <c r="B7" s="17">
        <f>SUM(Crypto[Valor Compra])</f>
        <v>36.002111310000004</v>
      </c>
      <c r="C7" s="17">
        <f ca="1">SUM(Crypto[Valor Venda])</f>
        <v>24.33049492</v>
      </c>
      <c r="D7" s="106">
        <f ca="1">Geral[[#This Row],[Atual]]*1/(SUM($C$2:$C$10))</f>
        <v>1.188334964069203E-2</v>
      </c>
      <c r="E7" s="76">
        <f ca="1">Geral[[#This Row],[Atual]]-Geral[[#This Row],[Investido]]</f>
        <v>-11.671616390000004</v>
      </c>
    </row>
    <row r="8" spans="1:5" x14ac:dyDescent="0.25">
      <c r="A8" t="s">
        <v>77</v>
      </c>
      <c r="B8" s="76">
        <f>SUMIFS(BDR[Valor da compra],BDR[Tipo],"ETF",BDR[Em posse],"Sim")</f>
        <v>34.75</v>
      </c>
      <c r="C8" s="76">
        <f ca="1">SUMIFS(BDR[Total],BDR[Tipo],"ETF",BDR[Em posse],"Sim")</f>
        <v>39.29</v>
      </c>
      <c r="D8" s="106">
        <f ca="1">Geral[[#This Row],[Atual]]*1/(SUM($C$2:$C$10))</f>
        <v>1.9189778461883827E-2</v>
      </c>
      <c r="E8" s="76">
        <f ca="1">Geral[[#This Row],[Atual]]-Geral[[#This Row],[Investido]]</f>
        <v>4.5399999999999991</v>
      </c>
    </row>
    <row r="9" spans="1:5" x14ac:dyDescent="0.25">
      <c r="A9" t="s">
        <v>117</v>
      </c>
      <c r="B9" s="17">
        <f>SUMIF(Tesouro[Em posse],"Sim",Tesouro[Valor investido])</f>
        <v>42.02</v>
      </c>
      <c r="C9" s="17">
        <f>SUMIF(Tesouro[Em posse],"Sim",Tesouro[Valor atual])+SUMIF(Tesouro[Em posse],"Sim",Tesouro[Lucro])</f>
        <v>43.67</v>
      </c>
      <c r="D9" s="106">
        <f ca="1">Geral[[#This Row],[Atual]]*1/(SUM($C$2:$C$10))</f>
        <v>2.1329030934855352E-2</v>
      </c>
      <c r="E9" s="76">
        <f>Geral[[#This Row],[Atual]]-Geral[[#This Row],[Investido]]</f>
        <v>1.6499999999999986</v>
      </c>
    </row>
    <row r="10" spans="1:5" x14ac:dyDescent="0.25">
      <c r="A10" t="s">
        <v>116</v>
      </c>
      <c r="B10" s="17">
        <f>SUM(Fundo[Valor])</f>
        <v>102</v>
      </c>
      <c r="C10" s="17">
        <f>SUM(Fundo[Total])</f>
        <v>106.27</v>
      </c>
      <c r="D10" s="106">
        <f ca="1">Geral[[#This Row],[Atual]]*1/(SUM($C$2:$C$10))</f>
        <v>5.1903735228923241E-2</v>
      </c>
      <c r="E10" s="76">
        <f>Geral[[#This Row],[Atual]]-Geral[[#This Row],[Investido]]</f>
        <v>4.269999999999996</v>
      </c>
    </row>
    <row r="11" spans="1:5" x14ac:dyDescent="0.25">
      <c r="A11" t="s">
        <v>118</v>
      </c>
      <c r="B11" s="17">
        <f>SUM(B2:B10)</f>
        <v>1991.2273615662971</v>
      </c>
      <c r="C11" s="17">
        <f>Geral[[#This Row],[Investido]]+Extrato!K3-Extrato!J3</f>
        <v>488.89686156629978</v>
      </c>
      <c r="D11" s="106">
        <v>1</v>
      </c>
      <c r="E11" s="76">
        <f>Geral[[#This Row],[Atual]]-Geral[[#This Row],[Investido]]</f>
        <v>-1502.3304999999973</v>
      </c>
    </row>
    <row r="12" spans="1:5" x14ac:dyDescent="0.25">
      <c r="A12" t="s">
        <v>119</v>
      </c>
      <c r="B12" s="17">
        <f>B11</f>
        <v>1991.2273615662971</v>
      </c>
      <c r="C12" s="17">
        <f>SUMIFS(Tabela4[Valor],Tabela4[Tipo],"Entrada",Tabela4[Categoria],"Lucro")+SUMIFS(Tabela4[Valor],Tabela4[Tipo],"Entrada",Tabela4[Categoria],"Dividendos")+SUMIFS(Tabela4[Valor],Tabela4[Tipo],"Entrada",Tabela4[Categoria],"JCP")</f>
        <v>17.579999999999995</v>
      </c>
      <c r="D12" s="108">
        <f ca="1">Geral[[#This Row],[Atual]]*1/(SUM(Geral[Atual]))</f>
        <v>2.5398990631497341E-4</v>
      </c>
      <c r="E12" s="76">
        <f>Geral[[#This Row],[Atual]]-Geral[[#This Row],[Investido]]</f>
        <v>-1973.6473615662971</v>
      </c>
    </row>
    <row r="13" spans="1:5" x14ac:dyDescent="0.25">
      <c r="A13" t="s">
        <v>18</v>
      </c>
      <c r="B13" s="17">
        <f ca="1">[1]Clientes!$C$25+[1]Clientes!$C$28</f>
        <v>11914.752387333334</v>
      </c>
      <c r="C13" s="17">
        <f ca="1">[1]Clientes!$Q$32</f>
        <v>20831.761563719145</v>
      </c>
      <c r="D13" s="108">
        <f ca="1">Geral[[#This Row],[Atual]]*1/(SUM(Geral[Atual]))</f>
        <v>0.3009702598375934</v>
      </c>
      <c r="E13" s="76">
        <f ca="1">Geral[[#This Row],[Atual]]-Geral[[#This Row],[Investido]]</f>
        <v>8917.0091763858109</v>
      </c>
    </row>
    <row r="14" spans="1:5" x14ac:dyDescent="0.25">
      <c r="A14" t="s">
        <v>40</v>
      </c>
      <c r="B14" s="17">
        <f ca="1">B13+C11</f>
        <v>12403.649248899634</v>
      </c>
      <c r="C14" s="17">
        <f ca="1">C13+C11</f>
        <v>21320.658425285445</v>
      </c>
      <c r="D14" s="106">
        <f ca="1">Geral[[#This Row],[Atual]]*1/(SUM(Geral[Atual]))</f>
        <v>0.30803367667871451</v>
      </c>
      <c r="E14" s="76">
        <f ca="1">Geral[[#This Row],[Atual]]-Geral[[#This Row],[Investido]]</f>
        <v>8917.0091763858109</v>
      </c>
    </row>
    <row r="15" spans="1:5" x14ac:dyDescent="0.25">
      <c r="A15" t="s">
        <v>126</v>
      </c>
      <c r="B15" s="17">
        <v>2000</v>
      </c>
      <c r="C15" s="17">
        <v>3182.19</v>
      </c>
      <c r="D15" s="106">
        <f>(Geral[[#This Row],[Lucro]]*100/Geral[[#This Row],[Investido]])/100</f>
        <v>0.59109499999999993</v>
      </c>
      <c r="E15" s="76">
        <f>Geral[[#This Row],[Atual]]-Geral[[#This Row],[Investido]]</f>
        <v>1182.19</v>
      </c>
    </row>
    <row r="16" spans="1:5" x14ac:dyDescent="0.25">
      <c r="A16" t="s">
        <v>127</v>
      </c>
      <c r="B16" s="17">
        <v>12000</v>
      </c>
      <c r="C16" s="17">
        <f ca="1">C14</f>
        <v>21320.658425285445</v>
      </c>
      <c r="D16" s="106">
        <f ca="1">Geral[[#This Row],[Atual]]*1/(SUM(Geral[Atual]))</f>
        <v>0.30803367667871451</v>
      </c>
      <c r="E16" s="76">
        <f ca="1">Geral[[#This Row],[Atual]]-Geral[[#This Row],[Investido]]</f>
        <v>9320.6584252854445</v>
      </c>
    </row>
    <row r="17" spans="1:5" x14ac:dyDescent="0.25">
      <c r="A17" t="s">
        <v>133</v>
      </c>
      <c r="B17" s="17">
        <f>[2]Geral!$B$2</f>
        <v>350</v>
      </c>
      <c r="C17" s="17">
        <f ca="1">[2]Geral!$B$3</f>
        <v>6.1595242213035837</v>
      </c>
      <c r="D17" s="106">
        <f ca="1">Geral[[#This Row],[Atual]]*1/(SUM(Geral[Atual]))</f>
        <v>8.8990726957548764E-5</v>
      </c>
      <c r="E17" s="76">
        <f ca="1">Geral[[#This Row],[Atual]]-Geral[[#This Row],[Investido]]</f>
        <v>-343.84047577869643</v>
      </c>
    </row>
    <row r="18" spans="1:5" x14ac:dyDescent="0.25">
      <c r="B18" s="17"/>
    </row>
    <row r="19" spans="1:5" x14ac:dyDescent="0.25">
      <c r="C19" s="17"/>
    </row>
    <row r="21" spans="1:5" x14ac:dyDescent="0.25">
      <c r="A21" s="17">
        <f ca="1">C14/8000</f>
        <v>2.6650823031606805</v>
      </c>
      <c r="C21" s="17"/>
    </row>
    <row r="22" spans="1:5" x14ac:dyDescent="0.25">
      <c r="C22" t="s">
        <v>128</v>
      </c>
    </row>
    <row r="23" spans="1:5" x14ac:dyDescent="0.25">
      <c r="A23">
        <f>129.72+50</f>
        <v>179.72</v>
      </c>
      <c r="C23" s="17">
        <f ca="1">A23/A21</f>
        <v>67.435065621372857</v>
      </c>
    </row>
  </sheetData>
  <pageMargins left="0.511811024" right="0.511811024" top="0.78740157499999996" bottom="0.78740157499999996" header="0.31496062000000002" footer="0.31496062000000002"/>
  <ignoredErrors>
    <ignoredError sqref="D4:D11 B4:C12 C2:D2 B3:D3 B15:B16 C15:C16 B14:C14 D15 B13:C13 B17:C17" calculatedColumn="1"/>
  </ignoredErrors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6FC-7C65-42DA-A789-F08BFDED0824}">
  <dimension ref="A1:H5"/>
  <sheetViews>
    <sheetView workbookViewId="0">
      <selection activeCell="B17" sqref="B17"/>
    </sheetView>
  </sheetViews>
  <sheetFormatPr defaultRowHeight="15" x14ac:dyDescent="0.25"/>
  <cols>
    <col min="1" max="1" width="15.5703125" bestFit="1" customWidth="1"/>
    <col min="2" max="4" width="10.5703125" bestFit="1" customWidth="1"/>
    <col min="6" max="6" width="10.5703125" bestFit="1" customWidth="1"/>
    <col min="8" max="8" width="9.5703125" bestFit="1" customWidth="1"/>
  </cols>
  <sheetData>
    <row r="1" spans="1:8" x14ac:dyDescent="0.25">
      <c r="A1" s="76" t="s">
        <v>33</v>
      </c>
      <c r="B1" s="76" t="s">
        <v>6</v>
      </c>
      <c r="C1" s="76" t="s">
        <v>90</v>
      </c>
      <c r="D1" s="76" t="s">
        <v>40</v>
      </c>
      <c r="F1" t="s">
        <v>40</v>
      </c>
      <c r="H1" t="s">
        <v>15</v>
      </c>
    </row>
    <row r="2" spans="1:8" x14ac:dyDescent="0.25">
      <c r="A2" s="76" t="s">
        <v>89</v>
      </c>
      <c r="B2" s="76">
        <v>102</v>
      </c>
      <c r="C2" s="76">
        <v>4.2699999999999996</v>
      </c>
      <c r="D2" s="17">
        <f>B2+C2</f>
        <v>106.27</v>
      </c>
      <c r="F2" s="17">
        <f>SUM(Fundo[[#This Row],[Total]])</f>
        <v>106.27</v>
      </c>
      <c r="H2" s="17">
        <f>Fundo[[#This Row],[lucro]]</f>
        <v>4.2699999999999996</v>
      </c>
    </row>
    <row r="4" spans="1:8" x14ac:dyDescent="0.25">
      <c r="F4" t="s">
        <v>52</v>
      </c>
    </row>
    <row r="5" spans="1:8" x14ac:dyDescent="0.25">
      <c r="F5" s="17" cm="1">
        <f t="array" ref="F5">Fundo[Valor]</f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9"/>
  <sheetViews>
    <sheetView topLeftCell="A357" workbookViewId="0">
      <selection activeCell="A370" sqref="A370"/>
    </sheetView>
  </sheetViews>
  <sheetFormatPr defaultRowHeight="15" x14ac:dyDescent="0.25"/>
  <cols>
    <col min="1" max="1" width="15.85546875" customWidth="1"/>
    <col min="2" max="2" width="11.5703125" bestFit="1" customWidth="1"/>
    <col min="3" max="3" width="13.7109375" style="1" customWidth="1"/>
    <col min="4" max="4" width="10.5703125" style="1" customWidth="1"/>
    <col min="5" max="5" width="11.140625" style="17" customWidth="1"/>
    <col min="6" max="6" width="10.28515625" style="18" bestFit="1" customWidth="1"/>
    <col min="7" max="7" width="14.42578125" customWidth="1"/>
    <col min="8" max="8" width="10.28515625" bestFit="1" customWidth="1"/>
    <col min="10" max="10" width="13.28515625" bestFit="1" customWidth="1"/>
    <col min="11" max="11" width="9.5703125" bestFit="1" customWidth="1"/>
    <col min="12" max="12" width="16.7109375" bestFit="1" customWidth="1"/>
  </cols>
  <sheetData>
    <row r="1" spans="1:13" ht="30" x14ac:dyDescent="0.25">
      <c r="J1" s="104" t="s">
        <v>26</v>
      </c>
      <c r="K1" s="15" t="s">
        <v>30</v>
      </c>
      <c r="L1" s="15" t="s">
        <v>32</v>
      </c>
    </row>
    <row r="2" spans="1:13" x14ac:dyDescent="0.25">
      <c r="J2" s="105">
        <f ca="1">SUMIFS(CDB[Valor],CDB[Futuro],"Não")</f>
        <v>966.2723343999445</v>
      </c>
      <c r="K2" s="16">
        <f>COUNTA(CDB[Instituição])</f>
        <v>366</v>
      </c>
      <c r="L2" s="16">
        <f>SUMIFS(Tabela4[Valor],Tabela4[Tipo],"Entrada",Tabela4[Categoria],"Lucro",Tabela4[[Descrição ]],"CDB")</f>
        <v>6.41</v>
      </c>
    </row>
    <row r="3" spans="1:13" ht="30" x14ac:dyDescent="0.25">
      <c r="A3" s="2" t="s">
        <v>21</v>
      </c>
      <c r="B3" s="4" t="s">
        <v>6</v>
      </c>
      <c r="C3" s="4" t="s">
        <v>23</v>
      </c>
      <c r="D3" s="5" t="s">
        <v>24</v>
      </c>
      <c r="E3" s="6" t="s">
        <v>4</v>
      </c>
      <c r="F3" s="3" t="s">
        <v>25</v>
      </c>
    </row>
    <row r="4" spans="1:13" x14ac:dyDescent="0.25">
      <c r="A4" s="9" t="s">
        <v>28</v>
      </c>
      <c r="B4" s="11">
        <v>1</v>
      </c>
      <c r="C4" s="12">
        <v>4.5999999999999999E-3</v>
      </c>
      <c r="D4" s="11">
        <f t="shared" ref="D4:D25" si="0">B4+(C4*B4)</f>
        <v>1.0045999999999999</v>
      </c>
      <c r="E4" s="13">
        <v>45663</v>
      </c>
      <c r="F4" s="26" t="str">
        <f ca="1">IF(CDB[[#This Row],[Data]]-TODAY()&lt;1,"Não","Sim")</f>
        <v>Não</v>
      </c>
      <c r="I4" s="17"/>
    </row>
    <row r="5" spans="1:13" x14ac:dyDescent="0.25">
      <c r="A5" s="9" t="s">
        <v>28</v>
      </c>
      <c r="B5" s="11">
        <f>D4</f>
        <v>1.0045999999999999</v>
      </c>
      <c r="C5" s="12">
        <v>3.8999999999999998E-3</v>
      </c>
      <c r="D5" s="11">
        <f t="shared" si="0"/>
        <v>1.0085179399999999</v>
      </c>
      <c r="E5" s="13">
        <v>45664</v>
      </c>
      <c r="F5" s="26" t="str">
        <f ca="1">IF(CDB[[#This Row],[Data]]-TODAY()&lt;1,"Não","Sim")</f>
        <v>Não</v>
      </c>
      <c r="J5" s="115" t="s">
        <v>27</v>
      </c>
      <c r="K5" s="114"/>
      <c r="L5" s="114"/>
      <c r="M5" s="8"/>
    </row>
    <row r="6" spans="1:13" x14ac:dyDescent="0.25">
      <c r="A6" s="9" t="s">
        <v>28</v>
      </c>
      <c r="B6" s="11">
        <f>D5</f>
        <v>1.0085179399999999</v>
      </c>
      <c r="C6" s="12">
        <v>3.8999999999999998E-3</v>
      </c>
      <c r="D6" s="11">
        <f t="shared" si="0"/>
        <v>1.012451159966</v>
      </c>
      <c r="E6" s="13">
        <v>45665</v>
      </c>
      <c r="F6" s="26" t="str">
        <f ca="1">IF(CDB[[#This Row],[Data]]-TODAY()&lt;1,"Não","Sim")</f>
        <v>Não</v>
      </c>
      <c r="H6" s="17"/>
      <c r="J6" s="113" t="s">
        <v>29</v>
      </c>
      <c r="K6" s="114"/>
      <c r="L6" s="114"/>
      <c r="M6" s="8"/>
    </row>
    <row r="7" spans="1:13" x14ac:dyDescent="0.25">
      <c r="A7" s="9" t="s">
        <v>28</v>
      </c>
      <c r="B7" s="11">
        <v>1.03</v>
      </c>
      <c r="C7" s="12">
        <v>3.8999999999999998E-3</v>
      </c>
      <c r="D7" s="11">
        <f t="shared" si="0"/>
        <v>1.034017</v>
      </c>
      <c r="E7" s="13">
        <v>45666</v>
      </c>
      <c r="F7" s="26" t="str">
        <f ca="1">IF(CDB[[#This Row],[Data]]-TODAY()&lt;1,"Não","Sim")</f>
        <v>Não</v>
      </c>
      <c r="J7" s="114"/>
      <c r="K7" s="114"/>
      <c r="L7" s="114"/>
      <c r="M7" s="8"/>
    </row>
    <row r="8" spans="1:13" x14ac:dyDescent="0.25">
      <c r="A8" s="9" t="s">
        <v>28</v>
      </c>
      <c r="B8" s="11">
        <v>1.06</v>
      </c>
      <c r="C8" s="12">
        <v>3.8999999999999998E-3</v>
      </c>
      <c r="D8" s="11">
        <f t="shared" si="0"/>
        <v>1.0641340000000001</v>
      </c>
      <c r="E8" s="13">
        <v>45667</v>
      </c>
      <c r="F8" s="26" t="str">
        <f ca="1">IF(CDB[[#This Row],[Data]]-TODAY()&lt;1,"Não","Sim")</f>
        <v>Não</v>
      </c>
      <c r="J8" s="115" t="s">
        <v>31</v>
      </c>
      <c r="K8" s="114"/>
      <c r="L8" s="114"/>
      <c r="M8" s="8"/>
    </row>
    <row r="9" spans="1:13" x14ac:dyDescent="0.25">
      <c r="A9" s="9" t="s">
        <v>28</v>
      </c>
      <c r="B9" s="11">
        <f t="shared" ref="B9:B25" si="1">D8</f>
        <v>1.0641340000000001</v>
      </c>
      <c r="C9" s="12">
        <v>3.8999999999999998E-3</v>
      </c>
      <c r="D9" s="11">
        <f t="shared" si="0"/>
        <v>1.0682841226000002</v>
      </c>
      <c r="E9" s="13">
        <v>45668</v>
      </c>
      <c r="F9" s="26" t="str">
        <f ca="1">IF(CDB[[#This Row],[Data]]-TODAY()&lt;1,"Não","Sim")</f>
        <v>Não</v>
      </c>
      <c r="H9" s="17"/>
      <c r="J9" s="114"/>
      <c r="K9" s="114"/>
      <c r="L9" s="114"/>
      <c r="M9" s="8"/>
    </row>
    <row r="10" spans="1:13" x14ac:dyDescent="0.25">
      <c r="A10" s="9" t="s">
        <v>28</v>
      </c>
      <c r="B10" s="11">
        <f t="shared" si="1"/>
        <v>1.0682841226000002</v>
      </c>
      <c r="C10" s="12">
        <v>3.8999999999999998E-3</v>
      </c>
      <c r="D10" s="11">
        <f t="shared" si="0"/>
        <v>1.0724504306781402</v>
      </c>
      <c r="E10" s="13">
        <v>45669</v>
      </c>
      <c r="F10" s="26" t="str">
        <f ca="1">IF(CDB[[#This Row],[Data]]-TODAY()&lt;1,"Não","Sim")</f>
        <v>Não</v>
      </c>
      <c r="H10" s="17"/>
      <c r="J10" s="8"/>
      <c r="K10" s="8"/>
      <c r="L10" s="8"/>
      <c r="M10" s="8"/>
    </row>
    <row r="11" spans="1:13" ht="15" customHeight="1" x14ac:dyDescent="0.25">
      <c r="A11" s="9" t="s">
        <v>28</v>
      </c>
      <c r="B11" s="11">
        <f t="shared" si="1"/>
        <v>1.0724504306781402</v>
      </c>
      <c r="C11" s="12">
        <v>3.8999999999999998E-3</v>
      </c>
      <c r="D11" s="11">
        <f t="shared" si="0"/>
        <v>1.0766329873577849</v>
      </c>
      <c r="E11" s="13">
        <v>45670</v>
      </c>
      <c r="F11" s="26" t="str">
        <f ca="1">IF(CDB[[#This Row],[Data]]-TODAY()&lt;1,"Não","Sim")</f>
        <v>Não</v>
      </c>
      <c r="J11" s="115" t="s">
        <v>121</v>
      </c>
      <c r="K11" s="115"/>
      <c r="L11" s="115"/>
      <c r="M11" s="8"/>
    </row>
    <row r="12" spans="1:13" x14ac:dyDescent="0.25">
      <c r="A12" s="9" t="s">
        <v>11</v>
      </c>
      <c r="B12" s="11">
        <f t="shared" si="1"/>
        <v>1.0766329873577849</v>
      </c>
      <c r="C12" s="12">
        <v>3.8999999999999998E-3</v>
      </c>
      <c r="D12" s="11">
        <f t="shared" si="0"/>
        <v>1.0808318560084802</v>
      </c>
      <c r="E12" s="13">
        <v>45671</v>
      </c>
      <c r="F12" s="26" t="str">
        <f ca="1">IF(CDB[[#This Row],[Data]]-TODAY()&lt;1,"Não","Sim")</f>
        <v>Não</v>
      </c>
      <c r="J12" s="115"/>
      <c r="K12" s="115"/>
      <c r="L12" s="115"/>
      <c r="M12" s="8"/>
    </row>
    <row r="13" spans="1:13" x14ac:dyDescent="0.25">
      <c r="A13" s="9" t="s">
        <v>11</v>
      </c>
      <c r="B13" s="11">
        <f t="shared" si="1"/>
        <v>1.0808318560084802</v>
      </c>
      <c r="C13" s="12">
        <v>3.8999999999999998E-3</v>
      </c>
      <c r="D13" s="11">
        <f t="shared" si="0"/>
        <v>1.0850471002469133</v>
      </c>
      <c r="E13" s="13">
        <v>45672</v>
      </c>
      <c r="F13" s="26" t="str">
        <f ca="1">IF(CDB[[#This Row],[Data]]-TODAY()&lt;1,"Não","Sim")</f>
        <v>Não</v>
      </c>
      <c r="J13" s="115"/>
      <c r="K13" s="115"/>
      <c r="L13" s="115"/>
      <c r="M13" s="8"/>
    </row>
    <row r="14" spans="1:13" x14ac:dyDescent="0.25">
      <c r="A14" s="9" t="s">
        <v>28</v>
      </c>
      <c r="B14" s="11">
        <f t="shared" si="1"/>
        <v>1.0850471002469133</v>
      </c>
      <c r="C14" s="12">
        <v>4.5999999999999999E-3</v>
      </c>
      <c r="D14" s="11">
        <f t="shared" si="0"/>
        <v>1.0900383169080492</v>
      </c>
      <c r="E14" s="13">
        <v>45673</v>
      </c>
      <c r="F14" s="26" t="str">
        <f ca="1">IF(CDB[[#This Row],[Data]]-TODAY()&lt;1,"Não","Sim")</f>
        <v>Não</v>
      </c>
      <c r="J14" s="115"/>
      <c r="K14" s="115"/>
      <c r="L14" s="115"/>
    </row>
    <row r="15" spans="1:13" x14ac:dyDescent="0.25">
      <c r="A15" s="9" t="s">
        <v>11</v>
      </c>
      <c r="B15" s="11">
        <f t="shared" si="1"/>
        <v>1.0900383169080492</v>
      </c>
      <c r="C15" s="12">
        <v>4.5999999999999999E-3</v>
      </c>
      <c r="D15" s="11">
        <f t="shared" si="0"/>
        <v>1.0950524931658263</v>
      </c>
      <c r="E15" s="13">
        <v>45674</v>
      </c>
      <c r="F15" s="26" t="str">
        <f ca="1">IF(CDB[[#This Row],[Data]]-TODAY()&lt;1,"Não","Sim")</f>
        <v>Não</v>
      </c>
      <c r="J15" s="115"/>
      <c r="K15" s="115"/>
      <c r="L15" s="115"/>
    </row>
    <row r="16" spans="1:13" x14ac:dyDescent="0.25">
      <c r="A16" s="9" t="s">
        <v>11</v>
      </c>
      <c r="B16" s="11">
        <f t="shared" si="1"/>
        <v>1.0950524931658263</v>
      </c>
      <c r="C16" s="12">
        <v>4.5999999999999999E-3</v>
      </c>
      <c r="D16" s="11">
        <f t="shared" si="0"/>
        <v>1.1000897346343892</v>
      </c>
      <c r="E16" s="13">
        <v>45675</v>
      </c>
      <c r="F16" s="26" t="str">
        <f ca="1">IF(CDB[[#This Row],[Data]]-TODAY()&lt;1,"Não","Sim")</f>
        <v>Não</v>
      </c>
      <c r="J16" s="115"/>
      <c r="K16" s="115"/>
      <c r="L16" s="115"/>
    </row>
    <row r="17" spans="1:8" x14ac:dyDescent="0.25">
      <c r="A17" s="27" t="s">
        <v>28</v>
      </c>
      <c r="B17" s="30">
        <f t="shared" si="1"/>
        <v>1.1000897346343892</v>
      </c>
      <c r="C17" s="41">
        <v>4.5999999999999999E-3</v>
      </c>
      <c r="D17" s="30">
        <f t="shared" si="0"/>
        <v>1.1051501474137073</v>
      </c>
      <c r="E17" s="42">
        <v>45676</v>
      </c>
      <c r="F17" s="26" t="str">
        <f ca="1">IF(CDB[[#This Row],[Data]]-TODAY()&lt;1,"Não","Sim")</f>
        <v>Não</v>
      </c>
      <c r="H17" s="17"/>
    </row>
    <row r="18" spans="1:8" x14ac:dyDescent="0.25">
      <c r="A18" s="27" t="s">
        <v>28</v>
      </c>
      <c r="B18" s="30">
        <f t="shared" si="1"/>
        <v>1.1051501474137073</v>
      </c>
      <c r="C18" s="41">
        <v>4.5999999999999999E-3</v>
      </c>
      <c r="D18" s="30">
        <f t="shared" si="0"/>
        <v>1.1102338380918104</v>
      </c>
      <c r="E18" s="42">
        <v>45677</v>
      </c>
      <c r="F18" s="26" t="str">
        <f ca="1">IF(CDB[[#This Row],[Data]]-TODAY()&lt;1,"Não","Sim")</f>
        <v>Não</v>
      </c>
    </row>
    <row r="19" spans="1:8" x14ac:dyDescent="0.25">
      <c r="A19" s="9" t="s">
        <v>28</v>
      </c>
      <c r="B19" s="11">
        <f t="shared" si="1"/>
        <v>1.1102338380918104</v>
      </c>
      <c r="C19" s="12">
        <v>4.5999999999999999E-3</v>
      </c>
      <c r="D19" s="11">
        <f t="shared" si="0"/>
        <v>1.1153409137470327</v>
      </c>
      <c r="E19" s="13">
        <v>45678</v>
      </c>
      <c r="F19" s="26" t="str">
        <f ca="1">IF(CDB[[#This Row],[Data]]-TODAY()&lt;1,"Não","Sim")</f>
        <v>Não</v>
      </c>
    </row>
    <row r="20" spans="1:8" x14ac:dyDescent="0.25">
      <c r="A20" s="9" t="s">
        <v>28</v>
      </c>
      <c r="B20" s="11">
        <f t="shared" si="1"/>
        <v>1.1153409137470327</v>
      </c>
      <c r="C20" s="12">
        <v>4.5999999999999999E-3</v>
      </c>
      <c r="D20" s="11">
        <f t="shared" si="0"/>
        <v>1.120471481950269</v>
      </c>
      <c r="E20" s="13">
        <v>45679</v>
      </c>
      <c r="F20" s="26" t="str">
        <f ca="1">IF(CDB[[#This Row],[Data]]-TODAY()&lt;1,"Não","Sim")</f>
        <v>Não</v>
      </c>
    </row>
    <row r="21" spans="1:8" x14ac:dyDescent="0.25">
      <c r="A21" s="9" t="s">
        <v>11</v>
      </c>
      <c r="B21" s="11">
        <f t="shared" si="1"/>
        <v>1.120471481950269</v>
      </c>
      <c r="C21" s="12">
        <v>4.5999999999999999E-3</v>
      </c>
      <c r="D21" s="11">
        <f t="shared" si="0"/>
        <v>1.1256256507672402</v>
      </c>
      <c r="E21" s="13">
        <v>45680</v>
      </c>
      <c r="F21" s="26" t="str">
        <f ca="1">IF(CDB[[#This Row],[Data]]-TODAY()&lt;1,"Não","Sim")</f>
        <v>Não</v>
      </c>
    </row>
    <row r="22" spans="1:8" x14ac:dyDescent="0.25">
      <c r="A22" s="9" t="s">
        <v>28</v>
      </c>
      <c r="B22" s="11">
        <f t="shared" si="1"/>
        <v>1.1256256507672402</v>
      </c>
      <c r="C22" s="12">
        <v>4.5999999999999999E-3</v>
      </c>
      <c r="D22" s="11">
        <f t="shared" si="0"/>
        <v>1.1308035287607694</v>
      </c>
      <c r="E22" s="13">
        <v>45681</v>
      </c>
      <c r="F22" s="26" t="str">
        <f ca="1">IF(CDB[[#This Row],[Data]]-TODAY()&lt;1,"Não","Sim")</f>
        <v>Não</v>
      </c>
    </row>
    <row r="23" spans="1:8" x14ac:dyDescent="0.25">
      <c r="A23" s="9" t="s">
        <v>28</v>
      </c>
      <c r="B23" s="11">
        <f t="shared" si="1"/>
        <v>1.1308035287607694</v>
      </c>
      <c r="C23" s="12">
        <v>4.5999999999999999E-3</v>
      </c>
      <c r="D23" s="11">
        <f t="shared" si="0"/>
        <v>1.136005224993069</v>
      </c>
      <c r="E23" s="13">
        <v>45682</v>
      </c>
      <c r="F23" s="26" t="str">
        <f ca="1">IF(CDB[[#This Row],[Data]]-TODAY()&lt;1,"Não","Sim")</f>
        <v>Não</v>
      </c>
    </row>
    <row r="24" spans="1:8" x14ac:dyDescent="0.25">
      <c r="A24" s="9" t="s">
        <v>28</v>
      </c>
      <c r="B24" s="11">
        <f t="shared" si="1"/>
        <v>1.136005224993069</v>
      </c>
      <c r="C24" s="12">
        <v>4.5999999999999999E-3</v>
      </c>
      <c r="D24" s="11">
        <f t="shared" si="0"/>
        <v>1.1412308490280372</v>
      </c>
      <c r="E24" s="13">
        <v>45683</v>
      </c>
      <c r="F24" s="26" t="str">
        <f ca="1">IF(CDB[[#This Row],[Data]]-TODAY()&lt;1,"Não","Sim")</f>
        <v>Não</v>
      </c>
    </row>
    <row r="25" spans="1:8" x14ac:dyDescent="0.25">
      <c r="A25" s="9" t="s">
        <v>28</v>
      </c>
      <c r="B25" s="11">
        <f t="shared" si="1"/>
        <v>1.1412308490280372</v>
      </c>
      <c r="C25" s="12">
        <v>4.5999999999999999E-3</v>
      </c>
      <c r="D25" s="11">
        <f t="shared" si="0"/>
        <v>1.1464805109335661</v>
      </c>
      <c r="E25" s="13">
        <v>45684</v>
      </c>
      <c r="F25" s="10" t="str">
        <f ca="1">IF(CDB[[#This Row],[Data]]-TODAY()&lt;1,"Não","Sim")</f>
        <v>Não</v>
      </c>
    </row>
    <row r="26" spans="1:8" x14ac:dyDescent="0.25">
      <c r="A26" s="9" t="s">
        <v>28</v>
      </c>
      <c r="B26" s="11">
        <f t="shared" ref="B26:B30" si="2">D25</f>
        <v>1.1464805109335661</v>
      </c>
      <c r="C26" s="12">
        <v>1.1000000000000001E-3</v>
      </c>
      <c r="D26" s="11">
        <f t="shared" ref="D26:D30" si="3">B26+(C26*B26)</f>
        <v>1.147741639495593</v>
      </c>
      <c r="E26" s="13">
        <v>45685</v>
      </c>
      <c r="F26" s="10" t="str">
        <f ca="1">IF(CDB[[#This Row],[Data]]-TODAY()&lt;1,"Não","Sim")</f>
        <v>Não</v>
      </c>
    </row>
    <row r="27" spans="1:8" x14ac:dyDescent="0.25">
      <c r="A27" s="9" t="s">
        <v>28</v>
      </c>
      <c r="B27" s="11">
        <f t="shared" si="2"/>
        <v>1.147741639495593</v>
      </c>
      <c r="C27" s="12">
        <v>1.1000000000000001E-3</v>
      </c>
      <c r="D27" s="11">
        <f t="shared" si="3"/>
        <v>1.1490041552990382</v>
      </c>
      <c r="E27" s="13">
        <v>45686</v>
      </c>
      <c r="F27" s="10" t="str">
        <f ca="1">IF(CDB[[#This Row],[Data]]-TODAY()&lt;1,"Não","Sim")</f>
        <v>Não</v>
      </c>
    </row>
    <row r="28" spans="1:8" x14ac:dyDescent="0.25">
      <c r="A28" s="9" t="s">
        <v>28</v>
      </c>
      <c r="B28" s="11">
        <f t="shared" si="2"/>
        <v>1.1490041552990382</v>
      </c>
      <c r="C28" s="12">
        <v>1.1000000000000001E-3</v>
      </c>
      <c r="D28" s="11">
        <f t="shared" si="3"/>
        <v>1.1502680598698671</v>
      </c>
      <c r="E28" s="13">
        <v>45687</v>
      </c>
      <c r="F28" s="10" t="str">
        <f ca="1">IF(CDB[[#This Row],[Data]]-TODAY()&lt;1,"Não","Sim")</f>
        <v>Não</v>
      </c>
    </row>
    <row r="29" spans="1:8" x14ac:dyDescent="0.25">
      <c r="A29" s="9" t="s">
        <v>28</v>
      </c>
      <c r="B29" s="11">
        <f t="shared" si="2"/>
        <v>1.1502680598698671</v>
      </c>
      <c r="C29" s="12">
        <v>1.1000000000000001E-3</v>
      </c>
      <c r="D29" s="11">
        <f t="shared" si="3"/>
        <v>1.151533354735724</v>
      </c>
      <c r="E29" s="13">
        <v>45688</v>
      </c>
      <c r="F29" s="10" t="str">
        <f ca="1">IF(CDB[[#This Row],[Data]]-TODAY()&lt;1,"Não","Sim")</f>
        <v>Não</v>
      </c>
    </row>
    <row r="30" spans="1:8" x14ac:dyDescent="0.25">
      <c r="A30" s="9" t="s">
        <v>28</v>
      </c>
      <c r="B30" s="11">
        <f t="shared" si="2"/>
        <v>1.151533354735724</v>
      </c>
      <c r="C30" s="12">
        <v>1.1000000000000001E-3</v>
      </c>
      <c r="D30" s="11">
        <f t="shared" si="3"/>
        <v>1.1528000414259334</v>
      </c>
      <c r="E30" s="13">
        <v>45689</v>
      </c>
      <c r="F30" s="10" t="str">
        <f ca="1">IF(CDB[[#This Row],[Data]]-TODAY()&lt;1,"Não","Sim")</f>
        <v>Não</v>
      </c>
    </row>
    <row r="31" spans="1:8" x14ac:dyDescent="0.25">
      <c r="A31" s="9" t="s">
        <v>28</v>
      </c>
      <c r="B31" s="11">
        <f t="shared" ref="B31:B40" si="4">D30</f>
        <v>1.1528000414259334</v>
      </c>
      <c r="C31" s="12">
        <v>1.1000000000000001E-3</v>
      </c>
      <c r="D31" s="11">
        <f t="shared" ref="D31:D40" si="5">B31+(C31*B31)</f>
        <v>1.1540681214715018</v>
      </c>
      <c r="E31" s="13">
        <v>45690</v>
      </c>
      <c r="F31" s="10" t="str">
        <f ca="1">IF(CDB[[#This Row],[Data]]-TODAY()&lt;1,"Não","Sim")</f>
        <v>Não</v>
      </c>
    </row>
    <row r="32" spans="1:8" x14ac:dyDescent="0.25">
      <c r="A32" s="9" t="s">
        <v>28</v>
      </c>
      <c r="B32" s="11">
        <f t="shared" si="4"/>
        <v>1.1540681214715018</v>
      </c>
      <c r="C32" s="12">
        <v>1.1000000000000001E-3</v>
      </c>
      <c r="D32" s="11">
        <f t="shared" si="5"/>
        <v>1.1553375964051205</v>
      </c>
      <c r="E32" s="13">
        <v>45691</v>
      </c>
      <c r="F32" s="10" t="str">
        <f ca="1">IF(CDB[[#This Row],[Data]]-TODAY()&lt;1,"Não","Sim")</f>
        <v>Não</v>
      </c>
    </row>
    <row r="33" spans="1:9" x14ac:dyDescent="0.25">
      <c r="A33" s="9" t="s">
        <v>28</v>
      </c>
      <c r="B33" s="11">
        <f t="shared" si="4"/>
        <v>1.1553375964051205</v>
      </c>
      <c r="C33" s="12">
        <v>1.1000000000000001E-3</v>
      </c>
      <c r="D33" s="11">
        <f t="shared" si="5"/>
        <v>1.1566084677611661</v>
      </c>
      <c r="E33" s="13">
        <v>45692</v>
      </c>
      <c r="F33" s="10" t="str">
        <f ca="1">IF(CDB[[#This Row],[Data]]-TODAY()&lt;1,"Não","Sim")</f>
        <v>Não</v>
      </c>
    </row>
    <row r="34" spans="1:9" x14ac:dyDescent="0.25">
      <c r="A34" s="9" t="s">
        <v>28</v>
      </c>
      <c r="B34" s="11">
        <f t="shared" si="4"/>
        <v>1.1566084677611661</v>
      </c>
      <c r="C34" s="12">
        <v>1.1000000000000001E-3</v>
      </c>
      <c r="D34" s="11">
        <f t="shared" si="5"/>
        <v>1.1578807370757034</v>
      </c>
      <c r="E34" s="13">
        <v>45693</v>
      </c>
      <c r="F34" s="10" t="str">
        <f ca="1">IF(CDB[[#This Row],[Data]]-TODAY()&lt;1,"Não","Sim")</f>
        <v>Não</v>
      </c>
    </row>
    <row r="35" spans="1:9" x14ac:dyDescent="0.25">
      <c r="A35" s="9" t="s">
        <v>28</v>
      </c>
      <c r="B35" s="11">
        <f t="shared" si="4"/>
        <v>1.1578807370757034</v>
      </c>
      <c r="C35" s="12">
        <v>1.1000000000000001E-3</v>
      </c>
      <c r="D35" s="11">
        <f t="shared" si="5"/>
        <v>1.1591544058864867</v>
      </c>
      <c r="E35" s="13">
        <v>45694</v>
      </c>
      <c r="F35" s="10" t="str">
        <f ca="1">IF(CDB[[#This Row],[Data]]-TODAY()&lt;1,"Não","Sim")</f>
        <v>Não</v>
      </c>
    </row>
    <row r="36" spans="1:9" x14ac:dyDescent="0.25">
      <c r="A36" s="9" t="s">
        <v>28</v>
      </c>
      <c r="B36" s="11">
        <f t="shared" si="4"/>
        <v>1.1591544058864867</v>
      </c>
      <c r="C36" s="12">
        <v>1.1000000000000001E-3</v>
      </c>
      <c r="D36" s="11">
        <f t="shared" si="5"/>
        <v>1.1604294757329618</v>
      </c>
      <c r="E36" s="13">
        <v>45695</v>
      </c>
      <c r="F36" s="10" t="str">
        <f ca="1">IF(CDB[[#This Row],[Data]]-TODAY()&lt;1,"Não","Sim")</f>
        <v>Não</v>
      </c>
    </row>
    <row r="37" spans="1:9" x14ac:dyDescent="0.25">
      <c r="A37" s="9" t="s">
        <v>28</v>
      </c>
      <c r="B37" s="11">
        <f t="shared" si="4"/>
        <v>1.1604294757329618</v>
      </c>
      <c r="C37" s="12">
        <v>1.1000000000000001E-3</v>
      </c>
      <c r="D37" s="11">
        <f t="shared" si="5"/>
        <v>1.1617059481562682</v>
      </c>
      <c r="E37" s="13">
        <v>45696</v>
      </c>
      <c r="F37" s="10" t="str">
        <f ca="1">IF(CDB[[#This Row],[Data]]-TODAY()&lt;1,"Não","Sim")</f>
        <v>Não</v>
      </c>
    </row>
    <row r="38" spans="1:9" x14ac:dyDescent="0.25">
      <c r="A38" s="9" t="s">
        <v>28</v>
      </c>
      <c r="B38" s="11">
        <f t="shared" si="4"/>
        <v>1.1617059481562682</v>
      </c>
      <c r="C38" s="12">
        <v>1.1000000000000001E-3</v>
      </c>
      <c r="D38" s="11">
        <f t="shared" si="5"/>
        <v>1.1629838246992401</v>
      </c>
      <c r="E38" s="13">
        <v>45697</v>
      </c>
      <c r="F38" s="10" t="str">
        <f ca="1">IF(CDB[[#This Row],[Data]]-TODAY()&lt;1,"Não","Sim")</f>
        <v>Não</v>
      </c>
    </row>
    <row r="39" spans="1:9" x14ac:dyDescent="0.25">
      <c r="A39" s="9" t="s">
        <v>28</v>
      </c>
      <c r="B39" s="11">
        <f t="shared" si="4"/>
        <v>1.1629838246992401</v>
      </c>
      <c r="C39" s="12">
        <v>1.1000000000000001E-3</v>
      </c>
      <c r="D39" s="11">
        <f t="shared" si="5"/>
        <v>1.1642631069064093</v>
      </c>
      <c r="E39" s="13">
        <v>45698</v>
      </c>
      <c r="F39" s="10" t="str">
        <f ca="1">IF(CDB[[#This Row],[Data]]-TODAY()&lt;1,"Não","Sim")</f>
        <v>Não</v>
      </c>
    </row>
    <row r="40" spans="1:9" x14ac:dyDescent="0.25">
      <c r="A40" s="9" t="s">
        <v>28</v>
      </c>
      <c r="B40" s="11">
        <f t="shared" si="4"/>
        <v>1.1642631069064093</v>
      </c>
      <c r="C40" s="12">
        <v>1.1000000000000001E-3</v>
      </c>
      <c r="D40" s="11">
        <f t="shared" si="5"/>
        <v>1.1655437963240063</v>
      </c>
      <c r="E40" s="13">
        <v>45699</v>
      </c>
      <c r="F40" s="10" t="str">
        <f ca="1">IF(CDB[[#This Row],[Data]]-TODAY()&lt;1,"Não","Sim")</f>
        <v>Não</v>
      </c>
    </row>
    <row r="41" spans="1:9" x14ac:dyDescent="0.25">
      <c r="A41" s="9" t="s">
        <v>28</v>
      </c>
      <c r="B41" s="11">
        <f t="shared" ref="B41:B46" si="6">D40</f>
        <v>1.1655437963240063</v>
      </c>
      <c r="C41" s="12">
        <v>1.06E-2</v>
      </c>
      <c r="D41" s="11">
        <f t="shared" ref="D41:D59" si="7">B41+(C41*B41)</f>
        <v>1.1778985605650407</v>
      </c>
      <c r="E41" s="13">
        <v>45700</v>
      </c>
      <c r="F41" s="10" t="str">
        <f ca="1">IF(CDB[[#This Row],[Data]]-TODAY()&lt;1,"Não","Sim")</f>
        <v>Não</v>
      </c>
    </row>
    <row r="42" spans="1:9" x14ac:dyDescent="0.25">
      <c r="A42" s="9" t="s">
        <v>28</v>
      </c>
      <c r="B42" s="11">
        <f t="shared" si="6"/>
        <v>1.1778985605650407</v>
      </c>
      <c r="C42" s="12">
        <v>1.06E-2</v>
      </c>
      <c r="D42" s="11">
        <f t="shared" si="7"/>
        <v>1.1903842853070301</v>
      </c>
      <c r="E42" s="13">
        <v>45701</v>
      </c>
      <c r="F42" s="10" t="str">
        <f ca="1">IF(CDB[[#This Row],[Data]]-TODAY()&lt;1,"Não","Sim")</f>
        <v>Não</v>
      </c>
      <c r="G42" s="17"/>
    </row>
    <row r="43" spans="1:9" x14ac:dyDescent="0.25">
      <c r="A43" s="9" t="s">
        <v>28</v>
      </c>
      <c r="B43" s="11">
        <f t="shared" si="6"/>
        <v>1.1903842853070301</v>
      </c>
      <c r="C43" s="12">
        <v>1.06E-2</v>
      </c>
      <c r="D43" s="11">
        <f t="shared" si="7"/>
        <v>1.2030023587312846</v>
      </c>
      <c r="E43" s="13">
        <v>45702</v>
      </c>
      <c r="F43" s="10" t="str">
        <f ca="1">IF(CDB[[#This Row],[Data]]-TODAY()&lt;1,"Não","Sim")</f>
        <v>Não</v>
      </c>
      <c r="G43" s="64"/>
    </row>
    <row r="44" spans="1:9" x14ac:dyDescent="0.25">
      <c r="A44" s="9" t="s">
        <v>28</v>
      </c>
      <c r="B44" s="11">
        <f t="shared" si="6"/>
        <v>1.2030023587312846</v>
      </c>
      <c r="C44" s="12">
        <v>1.06E-2</v>
      </c>
      <c r="D44" s="11">
        <f t="shared" si="7"/>
        <v>1.2157541837338361</v>
      </c>
      <c r="E44" s="13">
        <v>45703</v>
      </c>
      <c r="F44" s="10" t="str">
        <f ca="1">IF(CDB[[#This Row],[Data]]-TODAY()&lt;1,"Não","Sim")</f>
        <v>Não</v>
      </c>
    </row>
    <row r="45" spans="1:9" x14ac:dyDescent="0.25">
      <c r="A45" s="9" t="s">
        <v>28</v>
      </c>
      <c r="B45" s="11">
        <f t="shared" si="6"/>
        <v>1.2157541837338361</v>
      </c>
      <c r="C45" s="12">
        <v>1.06E-2</v>
      </c>
      <c r="D45" s="11">
        <f t="shared" si="7"/>
        <v>1.2286411780814148</v>
      </c>
      <c r="E45" s="13">
        <v>45704</v>
      </c>
      <c r="F45" s="10" t="str">
        <f ca="1">IF(CDB[[#This Row],[Data]]-TODAY()&lt;1,"Não","Sim")</f>
        <v>Não</v>
      </c>
    </row>
    <row r="46" spans="1:9" x14ac:dyDescent="0.25">
      <c r="A46" s="9" t="s">
        <v>28</v>
      </c>
      <c r="B46" s="11">
        <f t="shared" si="6"/>
        <v>1.2286411780814148</v>
      </c>
      <c r="C46" s="12">
        <v>1.06E-2</v>
      </c>
      <c r="D46" s="11">
        <f t="shared" si="7"/>
        <v>1.2416647745690779</v>
      </c>
      <c r="E46" s="13">
        <v>45705</v>
      </c>
      <c r="F46" s="10" t="str">
        <f ca="1">IF(CDB[[#This Row],[Data]]-TODAY()&lt;1,"Não","Sim")</f>
        <v>Não</v>
      </c>
      <c r="I46" s="17"/>
    </row>
    <row r="47" spans="1:9" x14ac:dyDescent="0.25">
      <c r="A47" s="9" t="s">
        <v>28</v>
      </c>
      <c r="B47" s="11">
        <v>1.24</v>
      </c>
      <c r="C47" s="12">
        <v>1.06E-2</v>
      </c>
      <c r="D47" s="11">
        <f t="shared" si="7"/>
        <v>1.253144</v>
      </c>
      <c r="E47" s="13">
        <v>45706</v>
      </c>
      <c r="F47" s="10" t="str">
        <f ca="1">IF(CDB[[#This Row],[Data]]-TODAY()&lt;1,"Não","Sim")</f>
        <v>Não</v>
      </c>
    </row>
    <row r="48" spans="1:9" x14ac:dyDescent="0.25">
      <c r="A48" s="9" t="s">
        <v>28</v>
      </c>
      <c r="B48" s="11">
        <f t="shared" ref="B48:B59" si="8">D47</f>
        <v>1.253144</v>
      </c>
      <c r="C48" s="12">
        <v>1.06E-2</v>
      </c>
      <c r="D48" s="11">
        <f t="shared" si="7"/>
        <v>1.2664273264000001</v>
      </c>
      <c r="E48" s="13">
        <v>45707</v>
      </c>
      <c r="F48" s="10" t="str">
        <f ca="1">IF(CDB[[#This Row],[Data]]-TODAY()&lt;1,"Não","Sim")</f>
        <v>Não</v>
      </c>
    </row>
    <row r="49" spans="1:6" x14ac:dyDescent="0.25">
      <c r="A49" s="9" t="s">
        <v>28</v>
      </c>
      <c r="B49" s="11">
        <f t="shared" si="8"/>
        <v>1.2664273264000001</v>
      </c>
      <c r="C49" s="12">
        <v>1.06E-2</v>
      </c>
      <c r="D49" s="11">
        <f t="shared" si="7"/>
        <v>1.2798514560598402</v>
      </c>
      <c r="E49" s="13">
        <v>45708</v>
      </c>
      <c r="F49" s="10" t="str">
        <f ca="1">IF(CDB[[#This Row],[Data]]-TODAY()&lt;1,"Não","Sim")</f>
        <v>Não</v>
      </c>
    </row>
    <row r="50" spans="1:6" x14ac:dyDescent="0.25">
      <c r="A50" s="9" t="s">
        <v>28</v>
      </c>
      <c r="B50" s="11">
        <f t="shared" si="8"/>
        <v>1.2798514560598402</v>
      </c>
      <c r="C50" s="12">
        <v>1.06E-2</v>
      </c>
      <c r="D50" s="11">
        <f t="shared" si="7"/>
        <v>1.2934178814940744</v>
      </c>
      <c r="E50" s="13">
        <v>45709</v>
      </c>
      <c r="F50" s="10" t="str">
        <f ca="1">IF(CDB[[#This Row],[Data]]-TODAY()&lt;1,"Não","Sim")</f>
        <v>Não</v>
      </c>
    </row>
    <row r="51" spans="1:6" x14ac:dyDescent="0.25">
      <c r="A51" s="9" t="s">
        <v>28</v>
      </c>
      <c r="B51" s="11">
        <f t="shared" si="8"/>
        <v>1.2934178814940744</v>
      </c>
      <c r="C51" s="12">
        <v>1.06E-2</v>
      </c>
      <c r="D51" s="11">
        <f t="shared" si="7"/>
        <v>1.3071281110379116</v>
      </c>
      <c r="E51" s="13">
        <v>45710</v>
      </c>
      <c r="F51" s="10" t="str">
        <f ca="1">IF(CDB[[#This Row],[Data]]-TODAY()&lt;1,"Não","Sim")</f>
        <v>Não</v>
      </c>
    </row>
    <row r="52" spans="1:6" x14ac:dyDescent="0.25">
      <c r="A52" s="9" t="s">
        <v>28</v>
      </c>
      <c r="B52" s="11">
        <f t="shared" si="8"/>
        <v>1.3071281110379116</v>
      </c>
      <c r="C52" s="12">
        <v>1.06E-2</v>
      </c>
      <c r="D52" s="11">
        <f t="shared" si="7"/>
        <v>1.3209836690149135</v>
      </c>
      <c r="E52" s="13">
        <v>45711</v>
      </c>
      <c r="F52" s="10" t="str">
        <f ca="1">IF(CDB[[#This Row],[Data]]-TODAY()&lt;1,"Não","Sim")</f>
        <v>Não</v>
      </c>
    </row>
    <row r="53" spans="1:6" x14ac:dyDescent="0.25">
      <c r="A53" s="9" t="s">
        <v>28</v>
      </c>
      <c r="B53" s="11">
        <f t="shared" si="8"/>
        <v>1.3209836690149135</v>
      </c>
      <c r="C53" s="12">
        <v>1.06E-2</v>
      </c>
      <c r="D53" s="11">
        <f t="shared" si="7"/>
        <v>1.3349860959064717</v>
      </c>
      <c r="E53" s="13">
        <v>45712</v>
      </c>
      <c r="F53" s="10" t="str">
        <f ca="1">IF(CDB[[#This Row],[Data]]-TODAY()&lt;1,"Não","Sim")</f>
        <v>Não</v>
      </c>
    </row>
    <row r="54" spans="1:6" x14ac:dyDescent="0.25">
      <c r="A54" s="9" t="s">
        <v>28</v>
      </c>
      <c r="B54" s="11">
        <f t="shared" si="8"/>
        <v>1.3349860959064717</v>
      </c>
      <c r="C54" s="12">
        <v>1.06E-2</v>
      </c>
      <c r="D54" s="11">
        <f t="shared" si="7"/>
        <v>1.3491369485230802</v>
      </c>
      <c r="E54" s="13">
        <v>45713</v>
      </c>
      <c r="F54" s="10" t="str">
        <f ca="1">IF(CDB[[#This Row],[Data]]-TODAY()&lt;1,"Não","Sim")</f>
        <v>Não</v>
      </c>
    </row>
    <row r="55" spans="1:6" x14ac:dyDescent="0.25">
      <c r="A55" s="9" t="s">
        <v>28</v>
      </c>
      <c r="B55" s="11">
        <f t="shared" si="8"/>
        <v>1.3491369485230802</v>
      </c>
      <c r="C55" s="12">
        <v>1.06E-2</v>
      </c>
      <c r="D55" s="11">
        <f t="shared" si="7"/>
        <v>1.3634378001774248</v>
      </c>
      <c r="E55" s="13">
        <v>45714</v>
      </c>
      <c r="F55" s="10" t="str">
        <f ca="1">IF(CDB[[#This Row],[Data]]-TODAY()&lt;1,"Não","Sim")</f>
        <v>Não</v>
      </c>
    </row>
    <row r="56" spans="1:6" x14ac:dyDescent="0.25">
      <c r="A56" s="9" t="s">
        <v>28</v>
      </c>
      <c r="B56" s="11">
        <f t="shared" si="8"/>
        <v>1.3634378001774248</v>
      </c>
      <c r="C56" s="12">
        <v>1.06E-2</v>
      </c>
      <c r="D56" s="11">
        <f t="shared" si="7"/>
        <v>1.3778902408593054</v>
      </c>
      <c r="E56" s="13">
        <v>45715</v>
      </c>
      <c r="F56" s="10" t="str">
        <f ca="1">IF(CDB[[#This Row],[Data]]-TODAY()&lt;1,"Não","Sim")</f>
        <v>Não</v>
      </c>
    </row>
    <row r="57" spans="1:6" x14ac:dyDescent="0.25">
      <c r="A57" s="9" t="s">
        <v>28</v>
      </c>
      <c r="B57" s="11">
        <f t="shared" si="8"/>
        <v>1.3778902408593054</v>
      </c>
      <c r="C57" s="12">
        <v>1.06E-2</v>
      </c>
      <c r="D57" s="11">
        <f t="shared" si="7"/>
        <v>1.3924958774124141</v>
      </c>
      <c r="E57" s="13">
        <v>45716</v>
      </c>
      <c r="F57" s="10" t="str">
        <f ca="1">IF(CDB[[#This Row],[Data]]-TODAY()&lt;1,"Não","Sim")</f>
        <v>Não</v>
      </c>
    </row>
    <row r="58" spans="1:6" x14ac:dyDescent="0.25">
      <c r="A58" s="9" t="s">
        <v>28</v>
      </c>
      <c r="B58" s="11">
        <f t="shared" si="8"/>
        <v>1.3924958774124141</v>
      </c>
      <c r="C58" s="12">
        <v>1.06E-2</v>
      </c>
      <c r="D58" s="11">
        <f t="shared" si="7"/>
        <v>1.4072563337129858</v>
      </c>
      <c r="E58" s="13">
        <v>45717</v>
      </c>
      <c r="F58" s="10" t="str">
        <f ca="1">IF(CDB[[#This Row],[Data]]-TODAY()&lt;1,"Não","Sim")</f>
        <v>Não</v>
      </c>
    </row>
    <row r="59" spans="1:6" x14ac:dyDescent="0.25">
      <c r="A59" s="9" t="s">
        <v>28</v>
      </c>
      <c r="B59" s="11">
        <f t="shared" si="8"/>
        <v>1.4072563337129858</v>
      </c>
      <c r="C59" s="12">
        <v>1.06E-2</v>
      </c>
      <c r="D59" s="11">
        <f t="shared" si="7"/>
        <v>1.4221732508503433</v>
      </c>
      <c r="E59" s="13">
        <v>45718</v>
      </c>
      <c r="F59" s="10" t="str">
        <f ca="1">IF(CDB[[#This Row],[Data]]-TODAY()&lt;1,"Não","Sim")</f>
        <v>Não</v>
      </c>
    </row>
    <row r="60" spans="1:6" x14ac:dyDescent="0.25">
      <c r="A60" s="9" t="s">
        <v>28</v>
      </c>
      <c r="B60" s="11">
        <f t="shared" ref="B60:B77" si="9">D59</f>
        <v>1.4221732508503433</v>
      </c>
      <c r="C60" s="12">
        <v>1.06E-2</v>
      </c>
      <c r="D60" s="11">
        <f t="shared" ref="D60:D77" si="10">B60+(C60*B60)</f>
        <v>1.4372482873093568</v>
      </c>
      <c r="E60" s="13">
        <v>45719</v>
      </c>
      <c r="F60" s="10" t="str">
        <f ca="1">IF(CDB[[#This Row],[Data]]-TODAY()&lt;1,"Não","Sim")</f>
        <v>Não</v>
      </c>
    </row>
    <row r="61" spans="1:6" x14ac:dyDescent="0.25">
      <c r="A61" s="9" t="s">
        <v>28</v>
      </c>
      <c r="B61" s="11">
        <f t="shared" si="9"/>
        <v>1.4372482873093568</v>
      </c>
      <c r="C61" s="12">
        <v>1.06E-2</v>
      </c>
      <c r="D61" s="11">
        <f t="shared" si="10"/>
        <v>1.452483119154836</v>
      </c>
      <c r="E61" s="13">
        <v>45720</v>
      </c>
      <c r="F61" s="10" t="str">
        <f ca="1">IF(CDB[[#This Row],[Data]]-TODAY()&lt;1,"Não","Sim")</f>
        <v>Não</v>
      </c>
    </row>
    <row r="62" spans="1:6" x14ac:dyDescent="0.25">
      <c r="A62" s="9" t="s">
        <v>28</v>
      </c>
      <c r="B62" s="11">
        <f t="shared" si="9"/>
        <v>1.452483119154836</v>
      </c>
      <c r="C62" s="12">
        <v>1.06E-2</v>
      </c>
      <c r="D62" s="11">
        <f t="shared" si="10"/>
        <v>1.4678794402178772</v>
      </c>
      <c r="E62" s="13">
        <v>45721</v>
      </c>
      <c r="F62" s="10" t="str">
        <f ca="1">IF(CDB[[#This Row],[Data]]-TODAY()&lt;1,"Não","Sim")</f>
        <v>Não</v>
      </c>
    </row>
    <row r="63" spans="1:6" x14ac:dyDescent="0.25">
      <c r="A63" s="9" t="s">
        <v>28</v>
      </c>
      <c r="B63" s="11">
        <f t="shared" si="9"/>
        <v>1.4678794402178772</v>
      </c>
      <c r="C63" s="12">
        <v>1.06E-2</v>
      </c>
      <c r="D63" s="11">
        <f t="shared" si="10"/>
        <v>1.4834389622841866</v>
      </c>
      <c r="E63" s="13">
        <v>45722</v>
      </c>
      <c r="F63" s="10" t="str">
        <f ca="1">IF(CDB[[#This Row],[Data]]-TODAY()&lt;1,"Não","Sim")</f>
        <v>Não</v>
      </c>
    </row>
    <row r="64" spans="1:6" x14ac:dyDescent="0.25">
      <c r="A64" s="9" t="s">
        <v>28</v>
      </c>
      <c r="B64" s="11">
        <f t="shared" si="9"/>
        <v>1.4834389622841866</v>
      </c>
      <c r="C64" s="12">
        <v>1.06E-2</v>
      </c>
      <c r="D64" s="11">
        <f t="shared" si="10"/>
        <v>1.4991634152843989</v>
      </c>
      <c r="E64" s="13">
        <v>45723</v>
      </c>
      <c r="F64" s="10" t="str">
        <f ca="1">IF(CDB[[#This Row],[Data]]-TODAY()&lt;1,"Não","Sim")</f>
        <v>Não</v>
      </c>
    </row>
    <row r="65" spans="1:8" x14ac:dyDescent="0.25">
      <c r="A65" s="9" t="s">
        <v>28</v>
      </c>
      <c r="B65" s="11">
        <f t="shared" si="9"/>
        <v>1.4991634152843989</v>
      </c>
      <c r="C65" s="12">
        <v>1.06E-2</v>
      </c>
      <c r="D65" s="11">
        <f t="shared" si="10"/>
        <v>1.5150545474864134</v>
      </c>
      <c r="E65" s="13">
        <v>45724</v>
      </c>
      <c r="F65" s="10" t="str">
        <f ca="1">IF(CDB[[#This Row],[Data]]-TODAY()&lt;1,"Não","Sim")</f>
        <v>Não</v>
      </c>
    </row>
    <row r="66" spans="1:8" x14ac:dyDescent="0.25">
      <c r="A66" s="9" t="s">
        <v>28</v>
      </c>
      <c r="B66" s="11">
        <f t="shared" si="9"/>
        <v>1.5150545474864134</v>
      </c>
      <c r="C66" s="12">
        <v>1.06E-2</v>
      </c>
      <c r="D66" s="11">
        <f t="shared" si="10"/>
        <v>1.5311141256897693</v>
      </c>
      <c r="E66" s="13">
        <v>45725</v>
      </c>
      <c r="F66" s="10" t="str">
        <f ca="1">IF(CDB[[#This Row],[Data]]-TODAY()&lt;1,"Não","Sim")</f>
        <v>Não</v>
      </c>
    </row>
    <row r="67" spans="1:8" x14ac:dyDescent="0.25">
      <c r="A67" s="9" t="s">
        <v>28</v>
      </c>
      <c r="B67" s="11">
        <f t="shared" si="9"/>
        <v>1.5311141256897693</v>
      </c>
      <c r="C67" s="12">
        <v>1.06E-2</v>
      </c>
      <c r="D67" s="11">
        <f t="shared" si="10"/>
        <v>1.5473439354220808</v>
      </c>
      <c r="E67" s="13">
        <v>45726</v>
      </c>
      <c r="F67" s="10" t="str">
        <f ca="1">IF(CDB[[#This Row],[Data]]-TODAY()&lt;1,"Não","Sim")</f>
        <v>Não</v>
      </c>
    </row>
    <row r="68" spans="1:8" x14ac:dyDescent="0.25">
      <c r="A68" s="9" t="s">
        <v>28</v>
      </c>
      <c r="B68" s="11">
        <f t="shared" si="9"/>
        <v>1.5473439354220808</v>
      </c>
      <c r="C68" s="12">
        <v>1.06E-2</v>
      </c>
      <c r="D68" s="11">
        <f t="shared" si="10"/>
        <v>1.5637457811375548</v>
      </c>
      <c r="E68" s="13">
        <v>45727</v>
      </c>
      <c r="F68" s="10" t="str">
        <f ca="1">IF(CDB[[#This Row],[Data]]-TODAY()&lt;1,"Não","Sim")</f>
        <v>Não</v>
      </c>
    </row>
    <row r="69" spans="1:8" x14ac:dyDescent="0.25">
      <c r="A69" s="9" t="s">
        <v>28</v>
      </c>
      <c r="B69" s="11">
        <f t="shared" si="9"/>
        <v>1.5637457811375548</v>
      </c>
      <c r="C69" s="12">
        <v>1.06E-2</v>
      </c>
      <c r="D69" s="11">
        <f t="shared" si="10"/>
        <v>1.5803214864176129</v>
      </c>
      <c r="E69" s="13">
        <v>45728</v>
      </c>
      <c r="F69" s="10" t="str">
        <f ca="1">IF(CDB[[#This Row],[Data]]-TODAY()&lt;1,"Não","Sim")</f>
        <v>Não</v>
      </c>
    </row>
    <row r="70" spans="1:8" x14ac:dyDescent="0.25">
      <c r="A70" s="9" t="s">
        <v>28</v>
      </c>
      <c r="B70" s="11">
        <f t="shared" si="9"/>
        <v>1.5803214864176129</v>
      </c>
      <c r="C70" s="12">
        <v>1.06E-2</v>
      </c>
      <c r="D70" s="11">
        <f t="shared" si="10"/>
        <v>1.5970728941736396</v>
      </c>
      <c r="E70" s="13">
        <v>45729</v>
      </c>
      <c r="F70" s="10" t="str">
        <f ca="1">IF(CDB[[#This Row],[Data]]-TODAY()&lt;1,"Não","Sim")</f>
        <v>Não</v>
      </c>
    </row>
    <row r="71" spans="1:8" x14ac:dyDescent="0.25">
      <c r="A71" s="9" t="s">
        <v>28</v>
      </c>
      <c r="B71" s="11">
        <f t="shared" si="9"/>
        <v>1.5970728941736396</v>
      </c>
      <c r="C71" s="12">
        <v>1.06E-2</v>
      </c>
      <c r="D71" s="11">
        <f t="shared" si="10"/>
        <v>1.6140018668518803</v>
      </c>
      <c r="E71" s="13">
        <v>45730</v>
      </c>
      <c r="F71" s="10" t="str">
        <f ca="1">IF(CDB[[#This Row],[Data]]-TODAY()&lt;1,"Não","Sim")</f>
        <v>Não</v>
      </c>
    </row>
    <row r="72" spans="1:8" x14ac:dyDescent="0.25">
      <c r="A72" s="9" t="s">
        <v>28</v>
      </c>
      <c r="B72" s="11">
        <f t="shared" si="9"/>
        <v>1.6140018668518803</v>
      </c>
      <c r="C72" s="12">
        <v>1.06E-2</v>
      </c>
      <c r="D72" s="11">
        <f t="shared" si="10"/>
        <v>1.6311102866405103</v>
      </c>
      <c r="E72" s="13">
        <v>45731</v>
      </c>
      <c r="F72" s="10" t="str">
        <f ca="1">IF(CDB[[#This Row],[Data]]-TODAY()&lt;1,"Não","Sim")</f>
        <v>Não</v>
      </c>
    </row>
    <row r="73" spans="1:8" x14ac:dyDescent="0.25">
      <c r="A73" s="9" t="s">
        <v>28</v>
      </c>
      <c r="B73" s="11">
        <f t="shared" si="9"/>
        <v>1.6311102866405103</v>
      </c>
      <c r="C73" s="12">
        <v>1.06E-2</v>
      </c>
      <c r="D73" s="11">
        <f t="shared" si="10"/>
        <v>1.6484000556788996</v>
      </c>
      <c r="E73" s="13">
        <v>45732</v>
      </c>
      <c r="F73" s="10" t="str">
        <f ca="1">IF(CDB[[#This Row],[Data]]-TODAY()&lt;1,"Não","Sim")</f>
        <v>Não</v>
      </c>
    </row>
    <row r="74" spans="1:8" x14ac:dyDescent="0.25">
      <c r="A74" s="9" t="s">
        <v>28</v>
      </c>
      <c r="B74" s="11">
        <f t="shared" si="9"/>
        <v>1.6484000556788996</v>
      </c>
      <c r="C74" s="12">
        <v>1.06E-2</v>
      </c>
      <c r="D74" s="11">
        <f t="shared" si="10"/>
        <v>1.665873096269096</v>
      </c>
      <c r="E74" s="13">
        <v>45733</v>
      </c>
      <c r="F74" s="10" t="str">
        <f ca="1">IF(CDB[[#This Row],[Data]]-TODAY()&lt;1,"Não","Sim")</f>
        <v>Não</v>
      </c>
    </row>
    <row r="75" spans="1:8" x14ac:dyDescent="0.25">
      <c r="A75" s="9" t="s">
        <v>28</v>
      </c>
      <c r="B75" s="11">
        <f t="shared" si="9"/>
        <v>1.665873096269096</v>
      </c>
      <c r="C75" s="12">
        <v>1.06E-2</v>
      </c>
      <c r="D75" s="11">
        <f t="shared" si="10"/>
        <v>1.6835313510895484</v>
      </c>
      <c r="E75" s="13">
        <v>45734</v>
      </c>
      <c r="F75" s="10" t="str">
        <f ca="1">IF(CDB[[#This Row],[Data]]-TODAY()&lt;1,"Não","Sim")</f>
        <v>Não</v>
      </c>
    </row>
    <row r="76" spans="1:8" x14ac:dyDescent="0.25">
      <c r="A76" s="9" t="s">
        <v>28</v>
      </c>
      <c r="B76" s="11">
        <f t="shared" si="9"/>
        <v>1.6835313510895484</v>
      </c>
      <c r="C76" s="12">
        <v>1.06E-2</v>
      </c>
      <c r="D76" s="11">
        <f t="shared" si="10"/>
        <v>1.7013767834110975</v>
      </c>
      <c r="E76" s="13">
        <v>45735</v>
      </c>
      <c r="F76" s="10" t="str">
        <f ca="1">IF(CDB[[#This Row],[Data]]-TODAY()&lt;1,"Não","Sim")</f>
        <v>Não</v>
      </c>
    </row>
    <row r="77" spans="1:8" x14ac:dyDescent="0.25">
      <c r="A77" s="9" t="s">
        <v>28</v>
      </c>
      <c r="B77" s="11">
        <f t="shared" si="9"/>
        <v>1.7013767834110975</v>
      </c>
      <c r="C77" s="12">
        <v>1.06E-2</v>
      </c>
      <c r="D77" s="11">
        <f t="shared" si="10"/>
        <v>1.7194113773152553</v>
      </c>
      <c r="E77" s="13">
        <v>45736</v>
      </c>
      <c r="F77" s="10" t="str">
        <f ca="1">IF(CDB[[#This Row],[Data]]-TODAY()&lt;1,"Não","Sim")</f>
        <v>Não</v>
      </c>
    </row>
    <row r="78" spans="1:8" x14ac:dyDescent="0.25">
      <c r="A78" s="9" t="s">
        <v>28</v>
      </c>
      <c r="B78" s="11">
        <f t="shared" ref="B78:B91" si="11">D77</f>
        <v>1.7194113773152553</v>
      </c>
      <c r="C78" s="12">
        <v>1.06E-2</v>
      </c>
      <c r="D78" s="11">
        <f t="shared" ref="D78:D92" si="12">B78+(C78*B78)</f>
        <v>1.737637137914797</v>
      </c>
      <c r="E78" s="13">
        <v>45737</v>
      </c>
      <c r="F78" s="10" t="str">
        <f ca="1">IF(CDB[[#This Row],[Data]]-TODAY()&lt;1,"Não","Sim")</f>
        <v>Não</v>
      </c>
    </row>
    <row r="79" spans="1:8" x14ac:dyDescent="0.25">
      <c r="A79" s="9" t="s">
        <v>28</v>
      </c>
      <c r="B79" s="11">
        <f t="shared" si="11"/>
        <v>1.737637137914797</v>
      </c>
      <c r="C79" s="12">
        <v>1.06E-2</v>
      </c>
      <c r="D79" s="11">
        <f t="shared" si="12"/>
        <v>1.7560560915766938</v>
      </c>
      <c r="E79" s="13">
        <v>45738</v>
      </c>
      <c r="F79" s="10" t="str">
        <f ca="1">IF(CDB[[#This Row],[Data]]-TODAY()&lt;1,"Não","Sim")</f>
        <v>Não</v>
      </c>
    </row>
    <row r="80" spans="1:8" x14ac:dyDescent="0.25">
      <c r="A80" s="9" t="s">
        <v>28</v>
      </c>
      <c r="B80" s="11">
        <f t="shared" si="11"/>
        <v>1.7560560915766938</v>
      </c>
      <c r="C80" s="12">
        <v>1.06E-2</v>
      </c>
      <c r="D80" s="11">
        <f t="shared" si="12"/>
        <v>1.7746702861474069</v>
      </c>
      <c r="E80" s="13">
        <v>45739</v>
      </c>
      <c r="F80" s="10" t="str">
        <f ca="1">IF(CDB[[#This Row],[Data]]-TODAY()&lt;1,"Não","Sim")</f>
        <v>Não</v>
      </c>
      <c r="H80" s="17"/>
    </row>
    <row r="81" spans="1:8" x14ac:dyDescent="0.25">
      <c r="A81" s="9" t="s">
        <v>28</v>
      </c>
      <c r="B81" s="11">
        <f t="shared" si="11"/>
        <v>1.7746702861474069</v>
      </c>
      <c r="C81" s="12">
        <v>1.06E-2</v>
      </c>
      <c r="D81" s="11">
        <f t="shared" si="12"/>
        <v>1.7934817911805694</v>
      </c>
      <c r="E81" s="13">
        <v>45740</v>
      </c>
      <c r="F81" s="10" t="str">
        <f ca="1">IF(CDB[[#This Row],[Data]]-TODAY()&lt;1,"Não","Sim")</f>
        <v>Não</v>
      </c>
    </row>
    <row r="82" spans="1:8" x14ac:dyDescent="0.25">
      <c r="A82" s="9" t="s">
        <v>28</v>
      </c>
      <c r="B82" s="11">
        <f t="shared" si="11"/>
        <v>1.7934817911805694</v>
      </c>
      <c r="C82" s="12">
        <v>1.06E-2</v>
      </c>
      <c r="D82" s="11">
        <f t="shared" si="12"/>
        <v>1.8124926981670835</v>
      </c>
      <c r="E82" s="13">
        <v>45741</v>
      </c>
      <c r="F82" s="10" t="str">
        <f ca="1">IF(CDB[[#This Row],[Data]]-TODAY()&lt;1,"Não","Sim")</f>
        <v>Não</v>
      </c>
    </row>
    <row r="83" spans="1:8" x14ac:dyDescent="0.25">
      <c r="A83" s="9" t="s">
        <v>28</v>
      </c>
      <c r="B83" s="11">
        <f t="shared" si="11"/>
        <v>1.8124926981670835</v>
      </c>
      <c r="C83" s="12">
        <v>1.06E-2</v>
      </c>
      <c r="D83" s="11">
        <f t="shared" si="12"/>
        <v>1.8317051207676545</v>
      </c>
      <c r="E83" s="13">
        <v>45742</v>
      </c>
      <c r="F83" s="10" t="str">
        <f ca="1">IF(CDB[[#This Row],[Data]]-TODAY()&lt;1,"Não","Sim")</f>
        <v>Não</v>
      </c>
    </row>
    <row r="84" spans="1:8" x14ac:dyDescent="0.25">
      <c r="A84" s="9" t="s">
        <v>28</v>
      </c>
      <c r="B84" s="11">
        <f t="shared" si="11"/>
        <v>1.8317051207676545</v>
      </c>
      <c r="C84" s="12">
        <v>1.06E-2</v>
      </c>
      <c r="D84" s="11">
        <f t="shared" si="12"/>
        <v>1.8511211950477915</v>
      </c>
      <c r="E84" s="13">
        <v>45743</v>
      </c>
      <c r="F84" s="10" t="str">
        <f ca="1">IF(CDB[[#This Row],[Data]]-TODAY()&lt;1,"Não","Sim")</f>
        <v>Não</v>
      </c>
    </row>
    <row r="85" spans="1:8" x14ac:dyDescent="0.25">
      <c r="A85" s="9" t="s">
        <v>28</v>
      </c>
      <c r="B85" s="11">
        <f t="shared" si="11"/>
        <v>1.8511211950477915</v>
      </c>
      <c r="C85" s="12">
        <v>1.06E-2</v>
      </c>
      <c r="D85" s="11">
        <f t="shared" si="12"/>
        <v>1.8707430797152982</v>
      </c>
      <c r="E85" s="13">
        <v>45744</v>
      </c>
      <c r="F85" s="10" t="str">
        <f ca="1">IF(CDB[[#This Row],[Data]]-TODAY()&lt;1,"Não","Sim")</f>
        <v>Não</v>
      </c>
    </row>
    <row r="86" spans="1:8" x14ac:dyDescent="0.25">
      <c r="A86" s="9" t="s">
        <v>28</v>
      </c>
      <c r="B86" s="11">
        <f t="shared" si="11"/>
        <v>1.8707430797152982</v>
      </c>
      <c r="C86" s="12">
        <v>1.06E-2</v>
      </c>
      <c r="D86" s="11">
        <f t="shared" si="12"/>
        <v>1.8905729563602804</v>
      </c>
      <c r="E86" s="13">
        <v>45745</v>
      </c>
      <c r="F86" s="10" t="str">
        <f ca="1">IF(CDB[[#This Row],[Data]]-TODAY()&lt;1,"Não","Sim")</f>
        <v>Não</v>
      </c>
    </row>
    <row r="87" spans="1:8" x14ac:dyDescent="0.25">
      <c r="A87" s="9" t="s">
        <v>28</v>
      </c>
      <c r="B87" s="11">
        <f t="shared" si="11"/>
        <v>1.8905729563602804</v>
      </c>
      <c r="C87" s="12">
        <v>1.06E-2</v>
      </c>
      <c r="D87" s="11">
        <f t="shared" si="12"/>
        <v>1.9106130296976995</v>
      </c>
      <c r="E87" s="13">
        <v>45746</v>
      </c>
      <c r="F87" s="10" t="str">
        <f ca="1">IF(CDB[[#This Row],[Data]]-TODAY()&lt;1,"Não","Sim")</f>
        <v>Não</v>
      </c>
    </row>
    <row r="88" spans="1:8" x14ac:dyDescent="0.25">
      <c r="A88" s="9" t="s">
        <v>28</v>
      </c>
      <c r="B88" s="11">
        <f t="shared" si="11"/>
        <v>1.9106130296976995</v>
      </c>
      <c r="C88" s="12">
        <v>1.06E-2</v>
      </c>
      <c r="D88" s="11">
        <f t="shared" si="12"/>
        <v>1.9308655278124951</v>
      </c>
      <c r="E88" s="13">
        <v>45747</v>
      </c>
      <c r="F88" s="10" t="str">
        <f ca="1">IF(CDB[[#This Row],[Data]]-TODAY()&lt;1,"Não","Sim")</f>
        <v>Não</v>
      </c>
    </row>
    <row r="89" spans="1:8" x14ac:dyDescent="0.25">
      <c r="A89" s="9" t="s">
        <v>28</v>
      </c>
      <c r="B89" s="11">
        <f t="shared" si="11"/>
        <v>1.9308655278124951</v>
      </c>
      <c r="C89" s="12">
        <v>1.06E-2</v>
      </c>
      <c r="D89" s="11">
        <f t="shared" si="12"/>
        <v>1.9513327024073075</v>
      </c>
      <c r="E89" s="13">
        <v>45748</v>
      </c>
      <c r="F89" s="10" t="str">
        <f ca="1">IF(CDB[[#This Row],[Data]]-TODAY()&lt;1,"Não","Sim")</f>
        <v>Não</v>
      </c>
    </row>
    <row r="90" spans="1:8" x14ac:dyDescent="0.25">
      <c r="A90" s="9" t="s">
        <v>28</v>
      </c>
      <c r="B90" s="11">
        <f t="shared" si="11"/>
        <v>1.9513327024073075</v>
      </c>
      <c r="C90" s="12">
        <v>1.06E-2</v>
      </c>
      <c r="D90" s="11">
        <f t="shared" si="12"/>
        <v>1.972016829052825</v>
      </c>
      <c r="E90" s="13">
        <v>45749</v>
      </c>
      <c r="F90" s="10" t="str">
        <f ca="1">IF(CDB[[#This Row],[Data]]-TODAY()&lt;1,"Não","Sim")</f>
        <v>Não</v>
      </c>
      <c r="H90" s="17"/>
    </row>
    <row r="91" spans="1:8" x14ac:dyDescent="0.25">
      <c r="A91" s="9" t="s">
        <v>28</v>
      </c>
      <c r="B91" s="11">
        <f t="shared" si="11"/>
        <v>1.972016829052825</v>
      </c>
      <c r="C91" s="12">
        <v>1.06E-2</v>
      </c>
      <c r="D91" s="11">
        <f t="shared" si="12"/>
        <v>1.992920207440785</v>
      </c>
      <c r="E91" s="13">
        <v>45750</v>
      </c>
      <c r="F91" s="10" t="str">
        <f ca="1">IF(CDB[[#This Row],[Data]]-TODAY()&lt;1,"Não","Sim")</f>
        <v>Não</v>
      </c>
    </row>
    <row r="92" spans="1:8" x14ac:dyDescent="0.25">
      <c r="A92" s="9" t="s">
        <v>28</v>
      </c>
      <c r="B92" s="11">
        <f t="shared" ref="B92:B108" si="13">D91</f>
        <v>1.992920207440785</v>
      </c>
      <c r="C92" s="12">
        <v>1.06E-2</v>
      </c>
      <c r="D92" s="11">
        <f t="shared" si="12"/>
        <v>2.0140451616396575</v>
      </c>
      <c r="E92" s="13">
        <v>45751</v>
      </c>
      <c r="F92" s="10" t="str">
        <f ca="1">IF(CDB[[#This Row],[Data]]-TODAY()&lt;1,"Não","Sim")</f>
        <v>Não</v>
      </c>
    </row>
    <row r="93" spans="1:8" x14ac:dyDescent="0.25">
      <c r="A93" s="9" t="s">
        <v>28</v>
      </c>
      <c r="B93" s="11">
        <f t="shared" si="13"/>
        <v>2.0140451616396575</v>
      </c>
      <c r="C93" s="12">
        <v>5.5999999999999999E-3</v>
      </c>
      <c r="D93" s="11">
        <f t="shared" ref="D93:D108" si="14">B93+(C93*B93)</f>
        <v>2.0253238145448398</v>
      </c>
      <c r="E93" s="13">
        <v>45752</v>
      </c>
      <c r="F93" s="10" t="str">
        <f ca="1">IF(CDB[[#This Row],[Data]]-TODAY()&lt;1,"Não","Sim")</f>
        <v>Não</v>
      </c>
    </row>
    <row r="94" spans="1:8" x14ac:dyDescent="0.25">
      <c r="A94" s="9" t="s">
        <v>28</v>
      </c>
      <c r="B94" s="11">
        <f t="shared" si="13"/>
        <v>2.0253238145448398</v>
      </c>
      <c r="C94" s="12">
        <v>5.5999999999999999E-3</v>
      </c>
      <c r="D94" s="11">
        <f t="shared" si="14"/>
        <v>2.0366656279062907</v>
      </c>
      <c r="E94" s="13">
        <v>45753</v>
      </c>
      <c r="F94" s="10" t="str">
        <f ca="1">IF(CDB[[#This Row],[Data]]-TODAY()&lt;1,"Não","Sim")</f>
        <v>Não</v>
      </c>
    </row>
    <row r="95" spans="1:8" x14ac:dyDescent="0.25">
      <c r="A95" s="9" t="s">
        <v>28</v>
      </c>
      <c r="B95" s="11">
        <f t="shared" si="13"/>
        <v>2.0366656279062907</v>
      </c>
      <c r="C95" s="12">
        <v>5.5999999999999999E-3</v>
      </c>
      <c r="D95" s="11">
        <f t="shared" si="14"/>
        <v>2.048070955422566</v>
      </c>
      <c r="E95" s="13">
        <v>45754</v>
      </c>
      <c r="F95" s="10" t="str">
        <f ca="1">IF(CDB[[#This Row],[Data]]-TODAY()&lt;1,"Não","Sim")</f>
        <v>Não</v>
      </c>
    </row>
    <row r="96" spans="1:8" x14ac:dyDescent="0.25">
      <c r="A96" s="9" t="s">
        <v>28</v>
      </c>
      <c r="B96" s="11">
        <f t="shared" si="13"/>
        <v>2.048070955422566</v>
      </c>
      <c r="C96" s="12">
        <v>5.5999999999999999E-3</v>
      </c>
      <c r="D96" s="11">
        <f t="shared" si="14"/>
        <v>2.0595401527729322</v>
      </c>
      <c r="E96" s="13">
        <v>45755</v>
      </c>
      <c r="F96" s="10" t="str">
        <f ca="1">IF(CDB[[#This Row],[Data]]-TODAY()&lt;1,"Não","Sim")</f>
        <v>Não</v>
      </c>
    </row>
    <row r="97" spans="1:8" x14ac:dyDescent="0.25">
      <c r="A97" s="9" t="s">
        <v>28</v>
      </c>
      <c r="B97" s="11">
        <f t="shared" si="13"/>
        <v>2.0595401527729322</v>
      </c>
      <c r="C97" s="12">
        <v>5.5999999999999999E-3</v>
      </c>
      <c r="D97" s="11">
        <f t="shared" si="14"/>
        <v>2.0710735776284608</v>
      </c>
      <c r="E97" s="13">
        <v>45756</v>
      </c>
      <c r="F97" s="10" t="str">
        <f ca="1">IF(CDB[[#This Row],[Data]]-TODAY()&lt;1,"Não","Sim")</f>
        <v>Não</v>
      </c>
    </row>
    <row r="98" spans="1:8" x14ac:dyDescent="0.25">
      <c r="A98" s="9" t="s">
        <v>28</v>
      </c>
      <c r="B98" s="11">
        <f t="shared" si="13"/>
        <v>2.0710735776284608</v>
      </c>
      <c r="C98" s="12">
        <v>5.5999999999999999E-3</v>
      </c>
      <c r="D98" s="11">
        <f t="shared" si="14"/>
        <v>2.08267158966318</v>
      </c>
      <c r="E98" s="13">
        <v>45757</v>
      </c>
      <c r="F98" s="10" t="str">
        <f ca="1">IF(CDB[[#This Row],[Data]]-TODAY()&lt;1,"Não","Sim")</f>
        <v>Não</v>
      </c>
    </row>
    <row r="99" spans="1:8" x14ac:dyDescent="0.25">
      <c r="A99" s="9" t="s">
        <v>28</v>
      </c>
      <c r="B99" s="11">
        <f t="shared" si="13"/>
        <v>2.08267158966318</v>
      </c>
      <c r="C99" s="12">
        <v>5.5999999999999999E-3</v>
      </c>
      <c r="D99" s="11">
        <f t="shared" si="14"/>
        <v>2.0943345505652937</v>
      </c>
      <c r="E99" s="13">
        <v>45758</v>
      </c>
      <c r="F99" s="10" t="str">
        <f ca="1">IF(CDB[[#This Row],[Data]]-TODAY()&lt;1,"Não","Sim")</f>
        <v>Não</v>
      </c>
    </row>
    <row r="100" spans="1:8" x14ac:dyDescent="0.25">
      <c r="A100" s="9" t="s">
        <v>28</v>
      </c>
      <c r="B100" s="11">
        <f t="shared" si="13"/>
        <v>2.0943345505652937</v>
      </c>
      <c r="C100" s="12">
        <v>5.5999999999999999E-3</v>
      </c>
      <c r="D100" s="11">
        <f t="shared" si="14"/>
        <v>2.1060628240484593</v>
      </c>
      <c r="E100" s="13">
        <v>45759</v>
      </c>
      <c r="F100" s="10" t="str">
        <f ca="1">IF(CDB[[#This Row],[Data]]-TODAY()&lt;1,"Não","Sim")</f>
        <v>Não</v>
      </c>
    </row>
    <row r="101" spans="1:8" x14ac:dyDescent="0.25">
      <c r="A101" s="9" t="s">
        <v>28</v>
      </c>
      <c r="B101" s="11">
        <f t="shared" si="13"/>
        <v>2.1060628240484593</v>
      </c>
      <c r="C101" s="12">
        <v>5.5999999999999999E-3</v>
      </c>
      <c r="D101" s="11">
        <f t="shared" si="14"/>
        <v>2.1178567758631308</v>
      </c>
      <c r="E101" s="13">
        <v>45760</v>
      </c>
      <c r="F101" s="10" t="str">
        <f ca="1">IF(CDB[[#This Row],[Data]]-TODAY()&lt;1,"Não","Sim")</f>
        <v>Não</v>
      </c>
    </row>
    <row r="102" spans="1:8" x14ac:dyDescent="0.25">
      <c r="A102" s="9" t="s">
        <v>28</v>
      </c>
      <c r="B102" s="11">
        <f t="shared" si="13"/>
        <v>2.1178567758631308</v>
      </c>
      <c r="C102" s="12">
        <v>5.5999999999999999E-3</v>
      </c>
      <c r="D102" s="11">
        <f t="shared" si="14"/>
        <v>2.1297167738079645</v>
      </c>
      <c r="E102" s="13">
        <v>45761</v>
      </c>
      <c r="F102" s="10" t="str">
        <f ca="1">IF(CDB[[#This Row],[Data]]-TODAY()&lt;1,"Não","Sim")</f>
        <v>Não</v>
      </c>
    </row>
    <row r="103" spans="1:8" x14ac:dyDescent="0.25">
      <c r="A103" s="9" t="s">
        <v>28</v>
      </c>
      <c r="B103" s="11">
        <f t="shared" si="13"/>
        <v>2.1297167738079645</v>
      </c>
      <c r="C103" s="12">
        <v>5.5999999999999999E-3</v>
      </c>
      <c r="D103" s="11">
        <f t="shared" si="14"/>
        <v>2.1416431877412889</v>
      </c>
      <c r="E103" s="13">
        <v>45762</v>
      </c>
      <c r="F103" s="10" t="str">
        <f ca="1">IF(CDB[[#This Row],[Data]]-TODAY()&lt;1,"Não","Sim")</f>
        <v>Não</v>
      </c>
    </row>
    <row r="104" spans="1:8" x14ac:dyDescent="0.25">
      <c r="A104" s="9" t="s">
        <v>28</v>
      </c>
      <c r="B104" s="11">
        <f t="shared" si="13"/>
        <v>2.1416431877412889</v>
      </c>
      <c r="C104" s="12">
        <v>5.5999999999999999E-3</v>
      </c>
      <c r="D104" s="11">
        <f t="shared" si="14"/>
        <v>2.15363638959264</v>
      </c>
      <c r="E104" s="13">
        <v>45763</v>
      </c>
      <c r="F104" s="10" t="str">
        <f ca="1">IF(CDB[[#This Row],[Data]]-TODAY()&lt;1,"Não","Sim")</f>
        <v>Não</v>
      </c>
    </row>
    <row r="105" spans="1:8" x14ac:dyDescent="0.25">
      <c r="A105" s="9" t="s">
        <v>28</v>
      </c>
      <c r="B105" s="11">
        <f t="shared" si="13"/>
        <v>2.15363638959264</v>
      </c>
      <c r="C105" s="12">
        <v>5.5999999999999999E-3</v>
      </c>
      <c r="D105" s="11">
        <f t="shared" si="14"/>
        <v>2.165696753374359</v>
      </c>
      <c r="E105" s="13">
        <v>45764</v>
      </c>
      <c r="F105" s="10" t="str">
        <f ca="1">IF(CDB[[#This Row],[Data]]-TODAY()&lt;1,"Não","Sim")</f>
        <v>Não</v>
      </c>
    </row>
    <row r="106" spans="1:8" x14ac:dyDescent="0.25">
      <c r="A106" s="9" t="s">
        <v>28</v>
      </c>
      <c r="B106" s="11">
        <f t="shared" si="13"/>
        <v>2.165696753374359</v>
      </c>
      <c r="C106" s="12">
        <v>5.5999999999999999E-3</v>
      </c>
      <c r="D106" s="11">
        <f t="shared" si="14"/>
        <v>2.1778246551932554</v>
      </c>
      <c r="E106" s="13">
        <v>45765</v>
      </c>
      <c r="F106" s="10" t="str">
        <f ca="1">IF(CDB[[#This Row],[Data]]-TODAY()&lt;1,"Não","Sim")</f>
        <v>Não</v>
      </c>
    </row>
    <row r="107" spans="1:8" x14ac:dyDescent="0.25">
      <c r="A107" s="9" t="s">
        <v>28</v>
      </c>
      <c r="B107" s="11">
        <f t="shared" si="13"/>
        <v>2.1778246551932554</v>
      </c>
      <c r="C107" s="12">
        <v>5.5999999999999999E-3</v>
      </c>
      <c r="D107" s="11">
        <f t="shared" si="14"/>
        <v>2.1900204732623378</v>
      </c>
      <c r="E107" s="13">
        <v>45766</v>
      </c>
      <c r="F107" s="10" t="str">
        <f ca="1">IF(CDB[[#This Row],[Data]]-TODAY()&lt;1,"Não","Sim")</f>
        <v>Não</v>
      </c>
    </row>
    <row r="108" spans="1:8" x14ac:dyDescent="0.25">
      <c r="A108" s="9" t="s">
        <v>28</v>
      </c>
      <c r="B108" s="11">
        <f t="shared" si="13"/>
        <v>2.1900204732623378</v>
      </c>
      <c r="C108" s="12">
        <v>5.5999999999999999E-3</v>
      </c>
      <c r="D108" s="11">
        <f t="shared" si="14"/>
        <v>2.2022845879126067</v>
      </c>
      <c r="E108" s="13">
        <v>45767</v>
      </c>
      <c r="F108" s="10" t="str">
        <f ca="1">IF(CDB[[#This Row],[Data]]-TODAY()&lt;1,"Não","Sim")</f>
        <v>Não</v>
      </c>
    </row>
    <row r="109" spans="1:8" x14ac:dyDescent="0.25">
      <c r="A109" s="9" t="s">
        <v>28</v>
      </c>
      <c r="B109" s="11">
        <f t="shared" ref="B109:B127" si="15">D108</f>
        <v>2.2022845879126067</v>
      </c>
      <c r="C109" s="12">
        <v>4.3E-3</v>
      </c>
      <c r="D109" s="11">
        <f t="shared" ref="D109:D127" si="16">B109+(C109*B109)</f>
        <v>2.2117544116406309</v>
      </c>
      <c r="E109" s="13">
        <v>45768</v>
      </c>
      <c r="F109" s="10" t="str">
        <f ca="1">IF(CDB[[#This Row],[Data]]-TODAY()&lt;1,"Não","Sim")</f>
        <v>Não</v>
      </c>
    </row>
    <row r="110" spans="1:8" x14ac:dyDescent="0.25">
      <c r="A110" s="9" t="s">
        <v>28</v>
      </c>
      <c r="B110" s="11">
        <f t="shared" si="15"/>
        <v>2.2117544116406309</v>
      </c>
      <c r="C110" s="12">
        <v>4.3E-3</v>
      </c>
      <c r="D110" s="11">
        <f t="shared" si="16"/>
        <v>2.2212649556106858</v>
      </c>
      <c r="E110" s="13">
        <v>45769</v>
      </c>
      <c r="F110" s="10" t="str">
        <f ca="1">IF(CDB[[#This Row],[Data]]-TODAY()&lt;1,"Não","Sim")</f>
        <v>Não</v>
      </c>
      <c r="H110" s="17"/>
    </row>
    <row r="111" spans="1:8" x14ac:dyDescent="0.25">
      <c r="A111" s="9" t="s">
        <v>28</v>
      </c>
      <c r="B111" s="11">
        <f t="shared" si="15"/>
        <v>2.2212649556106858</v>
      </c>
      <c r="C111" s="12">
        <v>4.3E-3</v>
      </c>
      <c r="D111" s="11">
        <f t="shared" si="16"/>
        <v>2.2308163949198119</v>
      </c>
      <c r="E111" s="13">
        <v>45770</v>
      </c>
      <c r="F111" s="10" t="str">
        <f ca="1">IF(CDB[[#This Row],[Data]]-TODAY()&lt;1,"Não","Sim")</f>
        <v>Não</v>
      </c>
    </row>
    <row r="112" spans="1:8" x14ac:dyDescent="0.25">
      <c r="A112" s="9" t="s">
        <v>28</v>
      </c>
      <c r="B112" s="11">
        <f t="shared" si="15"/>
        <v>2.2308163949198119</v>
      </c>
      <c r="C112" s="12">
        <v>4.3E-3</v>
      </c>
      <c r="D112" s="11">
        <f t="shared" si="16"/>
        <v>2.2404089054179672</v>
      </c>
      <c r="E112" s="13">
        <v>45771</v>
      </c>
      <c r="F112" s="10" t="str">
        <f ca="1">IF(CDB[[#This Row],[Data]]-TODAY()&lt;1,"Não","Sim")</f>
        <v>Não</v>
      </c>
    </row>
    <row r="113" spans="1:9" x14ac:dyDescent="0.25">
      <c r="A113" s="9" t="s">
        <v>11</v>
      </c>
      <c r="B113" s="11">
        <f t="shared" si="15"/>
        <v>2.2404089054179672</v>
      </c>
      <c r="C113" s="12">
        <v>4.3E-3</v>
      </c>
      <c r="D113" s="11">
        <f t="shared" si="16"/>
        <v>2.2500426637112643</v>
      </c>
      <c r="E113" s="13">
        <v>45772</v>
      </c>
      <c r="F113" s="10" t="str">
        <f ca="1">IF(CDB[[#This Row],[Data]]-TODAY()&lt;1,"Não","Sim")</f>
        <v>Não</v>
      </c>
    </row>
    <row r="114" spans="1:9" x14ac:dyDescent="0.25">
      <c r="A114" s="9" t="s">
        <v>11</v>
      </c>
      <c r="B114" s="11">
        <f t="shared" si="15"/>
        <v>2.2500426637112643</v>
      </c>
      <c r="C114" s="12">
        <v>4.3E-3</v>
      </c>
      <c r="D114" s="11">
        <f t="shared" si="16"/>
        <v>2.2597178471652226</v>
      </c>
      <c r="E114" s="13">
        <v>45773</v>
      </c>
      <c r="F114" s="10" t="str">
        <f ca="1">IF(CDB[[#This Row],[Data]]-TODAY()&lt;1,"Não","Sim")</f>
        <v>Não</v>
      </c>
    </row>
    <row r="115" spans="1:9" x14ac:dyDescent="0.25">
      <c r="A115" s="9" t="s">
        <v>28</v>
      </c>
      <c r="B115" s="11">
        <f t="shared" si="15"/>
        <v>2.2597178471652226</v>
      </c>
      <c r="C115" s="12">
        <v>4.3E-3</v>
      </c>
      <c r="D115" s="11">
        <f t="shared" si="16"/>
        <v>2.2694346339080331</v>
      </c>
      <c r="E115" s="13">
        <v>45774</v>
      </c>
      <c r="F115" s="10" t="str">
        <f ca="1">IF(CDB[[#This Row],[Data]]-TODAY()&lt;1,"Não","Sim")</f>
        <v>Não</v>
      </c>
    </row>
    <row r="116" spans="1:9" x14ac:dyDescent="0.25">
      <c r="A116" s="9" t="s">
        <v>11</v>
      </c>
      <c r="B116" s="11">
        <f t="shared" si="15"/>
        <v>2.2694346339080331</v>
      </c>
      <c r="C116" s="12">
        <v>4.3E-3</v>
      </c>
      <c r="D116" s="11">
        <f t="shared" si="16"/>
        <v>2.2791932028338375</v>
      </c>
      <c r="E116" s="13">
        <v>45775</v>
      </c>
      <c r="F116" s="10" t="str">
        <f ca="1">IF(CDB[[#This Row],[Data]]-TODAY()&lt;1,"Não","Sim")</f>
        <v>Não</v>
      </c>
    </row>
    <row r="117" spans="1:9" x14ac:dyDescent="0.25">
      <c r="A117" s="9" t="s">
        <v>11</v>
      </c>
      <c r="B117" s="11">
        <f t="shared" si="15"/>
        <v>2.2791932028338375</v>
      </c>
      <c r="C117" s="12">
        <v>4.3E-3</v>
      </c>
      <c r="D117" s="11">
        <f t="shared" si="16"/>
        <v>2.2889937336060231</v>
      </c>
      <c r="E117" s="13">
        <v>45776</v>
      </c>
      <c r="F117" s="10" t="str">
        <f ca="1">IF(CDB[[#This Row],[Data]]-TODAY()&lt;1,"Não","Sim")</f>
        <v>Não</v>
      </c>
    </row>
    <row r="118" spans="1:9" x14ac:dyDescent="0.25">
      <c r="A118" s="9" t="s">
        <v>28</v>
      </c>
      <c r="B118" s="11">
        <f t="shared" si="15"/>
        <v>2.2889937336060231</v>
      </c>
      <c r="C118" s="12">
        <v>4.3E-3</v>
      </c>
      <c r="D118" s="11">
        <f t="shared" si="16"/>
        <v>2.2988364066605289</v>
      </c>
      <c r="E118" s="13">
        <v>45777</v>
      </c>
      <c r="F118" s="10" t="str">
        <f ca="1">IF(CDB[[#This Row],[Data]]-TODAY()&lt;1,"Não","Sim")</f>
        <v>Não</v>
      </c>
    </row>
    <row r="119" spans="1:9" x14ac:dyDescent="0.25">
      <c r="A119" s="9" t="s">
        <v>28</v>
      </c>
      <c r="B119" s="11">
        <f t="shared" si="15"/>
        <v>2.2988364066605289</v>
      </c>
      <c r="C119" s="12">
        <v>4.3E-3</v>
      </c>
      <c r="D119" s="11">
        <f t="shared" si="16"/>
        <v>2.308721403209169</v>
      </c>
      <c r="E119" s="13">
        <v>45778</v>
      </c>
      <c r="F119" s="10" t="str">
        <f ca="1">IF(CDB[[#This Row],[Data]]-TODAY()&lt;1,"Não","Sim")</f>
        <v>Não</v>
      </c>
    </row>
    <row r="120" spans="1:9" x14ac:dyDescent="0.25">
      <c r="A120" s="9" t="s">
        <v>28</v>
      </c>
      <c r="B120" s="11">
        <f t="shared" si="15"/>
        <v>2.308721403209169</v>
      </c>
      <c r="C120" s="12">
        <v>4.3E-3</v>
      </c>
      <c r="D120" s="11">
        <f t="shared" si="16"/>
        <v>2.3186489052429682</v>
      </c>
      <c r="E120" s="13">
        <v>45779</v>
      </c>
      <c r="F120" s="10" t="str">
        <f ca="1">IF(CDB[[#This Row],[Data]]-TODAY()&lt;1,"Não","Sim")</f>
        <v>Não</v>
      </c>
      <c r="I120" s="17"/>
    </row>
    <row r="121" spans="1:9" x14ac:dyDescent="0.25">
      <c r="A121" s="9" t="s">
        <v>28</v>
      </c>
      <c r="B121" s="11">
        <f t="shared" si="15"/>
        <v>2.3186489052429682</v>
      </c>
      <c r="C121" s="12">
        <v>4.3E-3</v>
      </c>
      <c r="D121" s="11">
        <f t="shared" si="16"/>
        <v>2.3286190955355131</v>
      </c>
      <c r="E121" s="13">
        <v>45780</v>
      </c>
      <c r="F121" s="10" t="str">
        <f ca="1">IF(CDB[[#This Row],[Data]]-TODAY()&lt;1,"Não","Sim")</f>
        <v>Não</v>
      </c>
    </row>
    <row r="122" spans="1:9" x14ac:dyDescent="0.25">
      <c r="A122" s="9" t="s">
        <v>11</v>
      </c>
      <c r="B122" s="11">
        <f t="shared" si="15"/>
        <v>2.3286190955355131</v>
      </c>
      <c r="C122" s="12">
        <v>4.3E-3</v>
      </c>
      <c r="D122" s="11">
        <f t="shared" si="16"/>
        <v>2.3386321576463156</v>
      </c>
      <c r="E122" s="13">
        <v>45781</v>
      </c>
      <c r="F122" s="10" t="str">
        <f ca="1">IF(CDB[[#This Row],[Data]]-TODAY()&lt;1,"Não","Sim")</f>
        <v>Não</v>
      </c>
    </row>
    <row r="123" spans="1:9" x14ac:dyDescent="0.25">
      <c r="A123" s="9" t="s">
        <v>28</v>
      </c>
      <c r="B123" s="11">
        <f t="shared" si="15"/>
        <v>2.3386321576463156</v>
      </c>
      <c r="C123" s="12">
        <v>4.3E-3</v>
      </c>
      <c r="D123" s="11">
        <f t="shared" si="16"/>
        <v>2.3486882759241947</v>
      </c>
      <c r="E123" s="13">
        <v>45782</v>
      </c>
      <c r="F123" s="10" t="str">
        <f ca="1">IF(CDB[[#This Row],[Data]]-TODAY()&lt;1,"Não","Sim")</f>
        <v>Não</v>
      </c>
    </row>
    <row r="124" spans="1:9" x14ac:dyDescent="0.25">
      <c r="A124" s="9" t="s">
        <v>28</v>
      </c>
      <c r="B124" s="11">
        <f t="shared" si="15"/>
        <v>2.3486882759241947</v>
      </c>
      <c r="C124" s="12">
        <v>4.3E-3</v>
      </c>
      <c r="D124" s="11">
        <f t="shared" si="16"/>
        <v>2.3587876355106689</v>
      </c>
      <c r="E124" s="13">
        <v>45783</v>
      </c>
      <c r="F124" s="10" t="str">
        <f ca="1">IF(CDB[[#This Row],[Data]]-TODAY()&lt;1,"Não","Sim")</f>
        <v>Não</v>
      </c>
    </row>
    <row r="125" spans="1:9" x14ac:dyDescent="0.25">
      <c r="A125" s="9" t="s">
        <v>28</v>
      </c>
      <c r="B125" s="11">
        <f t="shared" si="15"/>
        <v>2.3587876355106689</v>
      </c>
      <c r="C125" s="12">
        <v>4.3E-3</v>
      </c>
      <c r="D125" s="11">
        <f t="shared" si="16"/>
        <v>2.3689304223433649</v>
      </c>
      <c r="E125" s="13">
        <v>45784</v>
      </c>
      <c r="F125" s="10" t="str">
        <f ca="1">IF(CDB[[#This Row],[Data]]-TODAY()&lt;1,"Não","Sim")</f>
        <v>Não</v>
      </c>
    </row>
    <row r="126" spans="1:9" x14ac:dyDescent="0.25">
      <c r="A126" s="9" t="s">
        <v>28</v>
      </c>
      <c r="B126" s="11">
        <f t="shared" si="15"/>
        <v>2.3689304223433649</v>
      </c>
      <c r="C126" s="12">
        <v>4.3E-3</v>
      </c>
      <c r="D126" s="11">
        <f t="shared" si="16"/>
        <v>2.3791168231594413</v>
      </c>
      <c r="E126" s="13">
        <v>45785</v>
      </c>
      <c r="F126" s="10" t="str">
        <f ca="1">IF(CDB[[#This Row],[Data]]-TODAY()&lt;1,"Não","Sim")</f>
        <v>Não</v>
      </c>
    </row>
    <row r="127" spans="1:9" x14ac:dyDescent="0.25">
      <c r="A127" s="9" t="s">
        <v>28</v>
      </c>
      <c r="B127" s="11">
        <f t="shared" si="15"/>
        <v>2.3791168231594413</v>
      </c>
      <c r="C127" s="12">
        <v>4.3E-3</v>
      </c>
      <c r="D127" s="11">
        <f t="shared" si="16"/>
        <v>2.3893470254990268</v>
      </c>
      <c r="E127" s="13">
        <v>45786</v>
      </c>
      <c r="F127" s="10" t="str">
        <f ca="1">IF(CDB[[#This Row],[Data]]-TODAY()&lt;1,"Não","Sim")</f>
        <v>Não</v>
      </c>
    </row>
    <row r="128" spans="1:9" x14ac:dyDescent="0.25">
      <c r="A128" s="9" t="s">
        <v>28</v>
      </c>
      <c r="B128" s="11">
        <f t="shared" ref="B128:B139" si="17">D127</f>
        <v>2.3893470254990268</v>
      </c>
      <c r="C128" s="12">
        <v>4.3E-3</v>
      </c>
      <c r="D128" s="11">
        <f t="shared" ref="D128:D139" si="18">B128+(C128*B128)</f>
        <v>2.3996212177086726</v>
      </c>
      <c r="E128" s="13">
        <v>45787</v>
      </c>
      <c r="F128" s="10" t="str">
        <f ca="1">IF(CDB[[#This Row],[Data]]-TODAY()&lt;1,"Não","Sim")</f>
        <v>Não</v>
      </c>
    </row>
    <row r="129" spans="1:9" x14ac:dyDescent="0.25">
      <c r="A129" s="9" t="s">
        <v>28</v>
      </c>
      <c r="B129" s="11">
        <f t="shared" si="17"/>
        <v>2.3996212177086726</v>
      </c>
      <c r="C129" s="12">
        <v>4.3E-3</v>
      </c>
      <c r="D129" s="11">
        <f t="shared" si="18"/>
        <v>2.4099395889448201</v>
      </c>
      <c r="E129" s="13">
        <v>45788</v>
      </c>
      <c r="F129" s="10" t="str">
        <f ca="1">IF(CDB[[#This Row],[Data]]-TODAY()&lt;1,"Não","Sim")</f>
        <v>Não</v>
      </c>
    </row>
    <row r="130" spans="1:9" x14ac:dyDescent="0.25">
      <c r="A130" s="9" t="s">
        <v>28</v>
      </c>
      <c r="B130" s="11">
        <f t="shared" si="17"/>
        <v>2.4099395889448201</v>
      </c>
      <c r="C130" s="12">
        <v>4.3E-3</v>
      </c>
      <c r="D130" s="11">
        <f t="shared" si="18"/>
        <v>2.4203023291772827</v>
      </c>
      <c r="E130" s="13">
        <v>45789</v>
      </c>
      <c r="F130" s="10" t="str">
        <f ca="1">IF(CDB[[#This Row],[Data]]-TODAY()&lt;1,"Não","Sim")</f>
        <v>Não</v>
      </c>
    </row>
    <row r="131" spans="1:9" x14ac:dyDescent="0.25">
      <c r="A131" s="9" t="s">
        <v>28</v>
      </c>
      <c r="B131" s="11">
        <f t="shared" si="17"/>
        <v>2.4203023291772827</v>
      </c>
      <c r="C131" s="12">
        <v>4.3E-3</v>
      </c>
      <c r="D131" s="11">
        <f t="shared" si="18"/>
        <v>2.4307096291927452</v>
      </c>
      <c r="E131" s="13">
        <v>45790</v>
      </c>
      <c r="F131" s="10" t="str">
        <f ca="1">IF(CDB[[#This Row],[Data]]-TODAY()&lt;1,"Não","Sim")</f>
        <v>Não</v>
      </c>
    </row>
    <row r="132" spans="1:9" x14ac:dyDescent="0.25">
      <c r="A132" s="9" t="s">
        <v>28</v>
      </c>
      <c r="B132" s="11">
        <f t="shared" si="17"/>
        <v>2.4307096291927452</v>
      </c>
      <c r="C132" s="12">
        <v>4.3E-3</v>
      </c>
      <c r="D132" s="11">
        <f t="shared" si="18"/>
        <v>2.4411616805982739</v>
      </c>
      <c r="E132" s="13">
        <v>45791</v>
      </c>
      <c r="F132" s="10" t="str">
        <f ca="1">IF(CDB[[#This Row],[Data]]-TODAY()&lt;1,"Não","Sim")</f>
        <v>Não</v>
      </c>
    </row>
    <row r="133" spans="1:9" x14ac:dyDescent="0.25">
      <c r="A133" s="9" t="s">
        <v>28</v>
      </c>
      <c r="B133" s="11">
        <f t="shared" si="17"/>
        <v>2.4411616805982739</v>
      </c>
      <c r="C133" s="12">
        <v>4.3E-3</v>
      </c>
      <c r="D133" s="11">
        <f t="shared" si="18"/>
        <v>2.4516586758248464</v>
      </c>
      <c r="E133" s="13">
        <v>45792</v>
      </c>
      <c r="F133" s="10" t="str">
        <f ca="1">IF(CDB[[#This Row],[Data]]-TODAY()&lt;1,"Não","Sim")</f>
        <v>Não</v>
      </c>
    </row>
    <row r="134" spans="1:9" x14ac:dyDescent="0.25">
      <c r="A134" s="9" t="s">
        <v>28</v>
      </c>
      <c r="B134" s="11">
        <f t="shared" si="17"/>
        <v>2.4516586758248464</v>
      </c>
      <c r="C134" s="12">
        <v>4.3E-3</v>
      </c>
      <c r="D134" s="11">
        <f t="shared" si="18"/>
        <v>2.4622008081308935</v>
      </c>
      <c r="E134" s="13">
        <v>45793</v>
      </c>
      <c r="F134" s="10" t="str">
        <f ca="1">IF(CDB[[#This Row],[Data]]-TODAY()&lt;1,"Não","Sim")</f>
        <v>Não</v>
      </c>
    </row>
    <row r="135" spans="1:9" x14ac:dyDescent="0.25">
      <c r="A135" s="9" t="s">
        <v>28</v>
      </c>
      <c r="B135" s="11">
        <f t="shared" si="17"/>
        <v>2.4622008081308935</v>
      </c>
      <c r="C135" s="12">
        <v>4.3E-3</v>
      </c>
      <c r="D135" s="11">
        <f t="shared" si="18"/>
        <v>2.4727882716058565</v>
      </c>
      <c r="E135" s="13">
        <v>45794</v>
      </c>
      <c r="F135" s="10" t="str">
        <f ca="1">IF(CDB[[#This Row],[Data]]-TODAY()&lt;1,"Não","Sim")</f>
        <v>Não</v>
      </c>
    </row>
    <row r="136" spans="1:9" x14ac:dyDescent="0.25">
      <c r="A136" s="9" t="s">
        <v>28</v>
      </c>
      <c r="B136" s="11">
        <f t="shared" si="17"/>
        <v>2.4727882716058565</v>
      </c>
      <c r="C136" s="12">
        <v>4.3E-3</v>
      </c>
      <c r="D136" s="11">
        <f t="shared" si="18"/>
        <v>2.4834212611737616</v>
      </c>
      <c r="E136" s="13">
        <v>45795</v>
      </c>
      <c r="F136" s="10" t="str">
        <f ca="1">IF(CDB[[#This Row],[Data]]-TODAY()&lt;1,"Não","Sim")</f>
        <v>Não</v>
      </c>
      <c r="I136" s="17"/>
    </row>
    <row r="137" spans="1:9" x14ac:dyDescent="0.25">
      <c r="A137" s="9" t="s">
        <v>28</v>
      </c>
      <c r="B137" s="11">
        <f t="shared" si="17"/>
        <v>2.4834212611737616</v>
      </c>
      <c r="C137" s="12">
        <v>4.3E-3</v>
      </c>
      <c r="D137" s="11">
        <f t="shared" si="18"/>
        <v>2.4940999725968087</v>
      </c>
      <c r="E137" s="13">
        <v>45796</v>
      </c>
      <c r="F137" s="10" t="str">
        <f ca="1">IF(CDB[[#This Row],[Data]]-TODAY()&lt;1,"Não","Sim")</f>
        <v>Não</v>
      </c>
    </row>
    <row r="138" spans="1:9" x14ac:dyDescent="0.25">
      <c r="A138" s="9" t="s">
        <v>28</v>
      </c>
      <c r="B138" s="11">
        <f t="shared" si="17"/>
        <v>2.4940999725968087</v>
      </c>
      <c r="C138" s="12">
        <v>4.3E-3</v>
      </c>
      <c r="D138" s="11">
        <f t="shared" si="18"/>
        <v>2.5048246024789749</v>
      </c>
      <c r="E138" s="13">
        <v>45797</v>
      </c>
      <c r="F138" s="10" t="str">
        <f ca="1">IF(CDB[[#This Row],[Data]]-TODAY()&lt;1,"Não","Sim")</f>
        <v>Não</v>
      </c>
    </row>
    <row r="139" spans="1:9" x14ac:dyDescent="0.25">
      <c r="A139" s="9" t="s">
        <v>28</v>
      </c>
      <c r="B139" s="11">
        <f t="shared" si="17"/>
        <v>2.5048246024789749</v>
      </c>
      <c r="C139" s="12">
        <v>4.3E-3</v>
      </c>
      <c r="D139" s="11">
        <f t="shared" si="18"/>
        <v>2.5155953482696343</v>
      </c>
      <c r="E139" s="13">
        <v>45798</v>
      </c>
      <c r="F139" s="10" t="str">
        <f ca="1">IF(CDB[[#This Row],[Data]]-TODAY()&lt;1,"Não","Sim")</f>
        <v>Não</v>
      </c>
    </row>
    <row r="140" spans="1:9" x14ac:dyDescent="0.25">
      <c r="A140" s="9" t="s">
        <v>28</v>
      </c>
      <c r="B140" s="11">
        <f t="shared" ref="B140:B188" si="19">D139</f>
        <v>2.5155953482696343</v>
      </c>
      <c r="C140" s="12">
        <v>4.3E-3</v>
      </c>
      <c r="D140" s="11">
        <f t="shared" ref="D140:D145" si="20">B140+(C140*B140)</f>
        <v>2.5264124082671935</v>
      </c>
      <c r="E140" s="13">
        <v>45799</v>
      </c>
      <c r="F140" s="10" t="str">
        <f ca="1">IF(CDB[[#This Row],[Data]]-TODAY()&lt;1,"Não","Sim")</f>
        <v>Não</v>
      </c>
    </row>
    <row r="141" spans="1:9" x14ac:dyDescent="0.25">
      <c r="A141" s="9" t="s">
        <v>28</v>
      </c>
      <c r="B141" s="11">
        <f t="shared" si="19"/>
        <v>2.5264124082671935</v>
      </c>
      <c r="C141" s="12">
        <v>4.3E-3</v>
      </c>
      <c r="D141" s="11">
        <f t="shared" si="20"/>
        <v>2.5372759816227424</v>
      </c>
      <c r="E141" s="13">
        <v>45800</v>
      </c>
      <c r="F141" s="10" t="str">
        <f ca="1">IF(CDB[[#This Row],[Data]]-TODAY()&lt;1,"Não","Sim")</f>
        <v>Não</v>
      </c>
    </row>
    <row r="142" spans="1:9" x14ac:dyDescent="0.25">
      <c r="A142" s="9" t="s">
        <v>28</v>
      </c>
      <c r="B142" s="11">
        <f t="shared" si="19"/>
        <v>2.5372759816227424</v>
      </c>
      <c r="C142" s="12">
        <v>4.3E-3</v>
      </c>
      <c r="D142" s="11">
        <f t="shared" si="20"/>
        <v>2.54818626834372</v>
      </c>
      <c r="E142" s="13">
        <v>45801</v>
      </c>
      <c r="F142" s="10" t="str">
        <f ca="1">IF(CDB[[#This Row],[Data]]-TODAY()&lt;1,"Não","Sim")</f>
        <v>Não</v>
      </c>
    </row>
    <row r="143" spans="1:9" x14ac:dyDescent="0.25">
      <c r="A143" s="9" t="s">
        <v>28</v>
      </c>
      <c r="B143" s="11">
        <f t="shared" si="19"/>
        <v>2.54818626834372</v>
      </c>
      <c r="C143" s="12">
        <v>4.3E-3</v>
      </c>
      <c r="D143" s="11">
        <f t="shared" si="20"/>
        <v>2.5591434692975978</v>
      </c>
      <c r="E143" s="13">
        <v>45802</v>
      </c>
      <c r="F143" s="10" t="str">
        <f ca="1">IF(CDB[[#This Row],[Data]]-TODAY()&lt;1,"Não","Sim")</f>
        <v>Não</v>
      </c>
    </row>
    <row r="144" spans="1:9" x14ac:dyDescent="0.25">
      <c r="A144" s="9" t="s">
        <v>28</v>
      </c>
      <c r="B144" s="11">
        <f t="shared" si="19"/>
        <v>2.5591434692975978</v>
      </c>
      <c r="C144" s="12">
        <v>4.3E-3</v>
      </c>
      <c r="D144" s="11">
        <f t="shared" si="20"/>
        <v>2.5701477862155775</v>
      </c>
      <c r="E144" s="13">
        <v>45803</v>
      </c>
      <c r="F144" s="10" t="str">
        <f ca="1">IF(CDB[[#This Row],[Data]]-TODAY()&lt;1,"Não","Sim")</f>
        <v>Não</v>
      </c>
    </row>
    <row r="145" spans="1:6" x14ac:dyDescent="0.25">
      <c r="A145" s="9" t="s">
        <v>28</v>
      </c>
      <c r="B145" s="11">
        <f t="shared" si="19"/>
        <v>2.5701477862155775</v>
      </c>
      <c r="C145" s="12">
        <v>4.3E-3</v>
      </c>
      <c r="D145" s="11">
        <f t="shared" si="20"/>
        <v>2.5811994216963043</v>
      </c>
      <c r="E145" s="13">
        <v>45804</v>
      </c>
      <c r="F145" s="10" t="str">
        <f ca="1">IF(CDB[[#This Row],[Data]]-TODAY()&lt;1,"Não","Sim")</f>
        <v>Não</v>
      </c>
    </row>
    <row r="146" spans="1:6" x14ac:dyDescent="0.25">
      <c r="A146" s="9" t="s">
        <v>11</v>
      </c>
      <c r="B146" s="11">
        <f t="shared" si="19"/>
        <v>2.5811994216963043</v>
      </c>
      <c r="C146" s="12">
        <v>1.8E-3</v>
      </c>
      <c r="D146" s="11">
        <f>B146+(C146*B146)</f>
        <v>2.5858455806553575</v>
      </c>
      <c r="E146" s="13">
        <v>45805</v>
      </c>
      <c r="F146" s="10" t="str">
        <f ca="1">IF(CDB[[#This Row],[Data]]-TODAY()&lt;1,"Não","Sim")</f>
        <v>Não</v>
      </c>
    </row>
    <row r="147" spans="1:6" x14ac:dyDescent="0.25">
      <c r="A147" s="9" t="s">
        <v>11</v>
      </c>
      <c r="B147" s="11">
        <f t="shared" si="19"/>
        <v>2.5858455806553575</v>
      </c>
      <c r="C147" s="12">
        <v>1.8E-3</v>
      </c>
      <c r="D147" s="30">
        <f t="shared" ref="D147:D160" si="21">B147+(C147*B147)</f>
        <v>2.590500102700537</v>
      </c>
      <c r="E147" s="13">
        <v>45806</v>
      </c>
      <c r="F147" s="26" t="str">
        <f ca="1">IF(CDB[[#This Row],[Data]]-TODAY()&lt;1,"Não","Sim")</f>
        <v>Não</v>
      </c>
    </row>
    <row r="148" spans="1:6" x14ac:dyDescent="0.25">
      <c r="A148" s="9" t="s">
        <v>11</v>
      </c>
      <c r="B148" s="11">
        <f t="shared" si="19"/>
        <v>2.590500102700537</v>
      </c>
      <c r="C148" s="12">
        <v>1.8E-3</v>
      </c>
      <c r="D148" s="30">
        <f t="shared" si="21"/>
        <v>2.595163002885398</v>
      </c>
      <c r="E148" s="13">
        <v>45807</v>
      </c>
      <c r="F148" s="26" t="str">
        <f ca="1">IF(CDB[[#This Row],[Data]]-TODAY()&lt;1,"Não","Sim")</f>
        <v>Não</v>
      </c>
    </row>
    <row r="149" spans="1:6" x14ac:dyDescent="0.25">
      <c r="A149" s="9" t="s">
        <v>11</v>
      </c>
      <c r="B149" s="11">
        <f t="shared" si="19"/>
        <v>2.595163002885398</v>
      </c>
      <c r="C149" s="12">
        <v>1.8E-3</v>
      </c>
      <c r="D149" s="30">
        <f t="shared" si="21"/>
        <v>2.5998342962905916</v>
      </c>
      <c r="E149" s="13">
        <v>45808</v>
      </c>
      <c r="F149" s="26" t="str">
        <f ca="1">IF(CDB[[#This Row],[Data]]-TODAY()&lt;1,"Não","Sim")</f>
        <v>Não</v>
      </c>
    </row>
    <row r="150" spans="1:6" x14ac:dyDescent="0.25">
      <c r="A150" s="9" t="s">
        <v>11</v>
      </c>
      <c r="B150" s="11">
        <f t="shared" si="19"/>
        <v>2.5998342962905916</v>
      </c>
      <c r="C150" s="12">
        <v>1.8E-3</v>
      </c>
      <c r="D150" s="30">
        <f t="shared" si="21"/>
        <v>2.6045139980239145</v>
      </c>
      <c r="E150" s="13">
        <v>45809</v>
      </c>
      <c r="F150" s="26" t="str">
        <f ca="1">IF(CDB[[#This Row],[Data]]-TODAY()&lt;1,"Não","Sim")</f>
        <v>Não</v>
      </c>
    </row>
    <row r="151" spans="1:6" x14ac:dyDescent="0.25">
      <c r="A151" s="9" t="s">
        <v>11</v>
      </c>
      <c r="B151" s="11">
        <f t="shared" si="19"/>
        <v>2.6045139980239145</v>
      </c>
      <c r="C151" s="12">
        <v>1.8E-3</v>
      </c>
      <c r="D151" s="30">
        <f t="shared" si="21"/>
        <v>2.6092021232203577</v>
      </c>
      <c r="E151" s="13">
        <v>45810</v>
      </c>
      <c r="F151" s="26" t="str">
        <f ca="1">IF(CDB[[#This Row],[Data]]-TODAY()&lt;1,"Não","Sim")</f>
        <v>Não</v>
      </c>
    </row>
    <row r="152" spans="1:6" x14ac:dyDescent="0.25">
      <c r="A152" s="9" t="s">
        <v>11</v>
      </c>
      <c r="B152" s="11">
        <f t="shared" si="19"/>
        <v>2.6092021232203577</v>
      </c>
      <c r="C152" s="12">
        <v>1.8E-3</v>
      </c>
      <c r="D152" s="30">
        <f t="shared" si="21"/>
        <v>2.6138986870421546</v>
      </c>
      <c r="E152" s="13">
        <v>45811</v>
      </c>
      <c r="F152" s="26" t="str">
        <f ca="1">IF(CDB[[#This Row],[Data]]-TODAY()&lt;1,"Não","Sim")</f>
        <v>Não</v>
      </c>
    </row>
    <row r="153" spans="1:6" x14ac:dyDescent="0.25">
      <c r="A153" s="9" t="s">
        <v>11</v>
      </c>
      <c r="B153" s="11">
        <f t="shared" si="19"/>
        <v>2.6138986870421546</v>
      </c>
      <c r="C153" s="12">
        <v>1.8E-3</v>
      </c>
      <c r="D153" s="30">
        <f t="shared" si="21"/>
        <v>2.6186037046788306</v>
      </c>
      <c r="E153" s="13">
        <v>45812</v>
      </c>
      <c r="F153" s="26" t="str">
        <f ca="1">IF(CDB[[#This Row],[Data]]-TODAY()&lt;1,"Não","Sim")</f>
        <v>Não</v>
      </c>
    </row>
    <row r="154" spans="1:6" x14ac:dyDescent="0.25">
      <c r="A154" s="9" t="s">
        <v>11</v>
      </c>
      <c r="B154" s="11">
        <f t="shared" si="19"/>
        <v>2.6186037046788306</v>
      </c>
      <c r="C154" s="12">
        <v>1.8E-3</v>
      </c>
      <c r="D154" s="30">
        <f t="shared" si="21"/>
        <v>2.6233171913472524</v>
      </c>
      <c r="E154" s="13">
        <v>45813</v>
      </c>
      <c r="F154" s="26" t="str">
        <f ca="1">IF(CDB[[#This Row],[Data]]-TODAY()&lt;1,"Não","Sim")</f>
        <v>Não</v>
      </c>
    </row>
    <row r="155" spans="1:6" x14ac:dyDescent="0.25">
      <c r="A155" s="9" t="s">
        <v>11</v>
      </c>
      <c r="B155" s="11">
        <f t="shared" si="19"/>
        <v>2.6233171913472524</v>
      </c>
      <c r="C155" s="12">
        <v>1.8E-3</v>
      </c>
      <c r="D155" s="30">
        <f t="shared" si="21"/>
        <v>2.6280391622916772</v>
      </c>
      <c r="E155" s="13">
        <v>45814</v>
      </c>
      <c r="F155" s="26" t="str">
        <f ca="1">IF(CDB[[#This Row],[Data]]-TODAY()&lt;1,"Não","Sim")</f>
        <v>Não</v>
      </c>
    </row>
    <row r="156" spans="1:6" x14ac:dyDescent="0.25">
      <c r="A156" s="9" t="s">
        <v>11</v>
      </c>
      <c r="B156" s="11">
        <f t="shared" si="19"/>
        <v>2.6280391622916772</v>
      </c>
      <c r="C156" s="12">
        <v>1.8E-3</v>
      </c>
      <c r="D156" s="30">
        <f t="shared" si="21"/>
        <v>2.6327696327838024</v>
      </c>
      <c r="E156" s="13">
        <v>45815</v>
      </c>
      <c r="F156" s="26" t="str">
        <f ca="1">IF(CDB[[#This Row],[Data]]-TODAY()&lt;1,"Não","Sim")</f>
        <v>Não</v>
      </c>
    </row>
    <row r="157" spans="1:6" x14ac:dyDescent="0.25">
      <c r="A157" s="9" t="s">
        <v>11</v>
      </c>
      <c r="B157" s="11">
        <f t="shared" si="19"/>
        <v>2.6327696327838024</v>
      </c>
      <c r="C157" s="12">
        <v>1.8E-3</v>
      </c>
      <c r="D157" s="30">
        <f t="shared" si="21"/>
        <v>2.6375086181228133</v>
      </c>
      <c r="E157" s="13">
        <v>45816</v>
      </c>
      <c r="F157" s="26" t="str">
        <f ca="1">IF(CDB[[#This Row],[Data]]-TODAY()&lt;1,"Não","Sim")</f>
        <v>Não</v>
      </c>
    </row>
    <row r="158" spans="1:6" x14ac:dyDescent="0.25">
      <c r="A158" s="9" t="s">
        <v>11</v>
      </c>
      <c r="B158" s="11">
        <f t="shared" si="19"/>
        <v>2.6375086181228133</v>
      </c>
      <c r="C158" s="12">
        <v>1.8E-3</v>
      </c>
      <c r="D158" s="30">
        <f t="shared" si="21"/>
        <v>2.6422561336354344</v>
      </c>
      <c r="E158" s="13">
        <v>45817</v>
      </c>
      <c r="F158" s="26" t="str">
        <f ca="1">IF(CDB[[#This Row],[Data]]-TODAY()&lt;1,"Não","Sim")</f>
        <v>Não</v>
      </c>
    </row>
    <row r="159" spans="1:6" x14ac:dyDescent="0.25">
      <c r="A159" s="9" t="s">
        <v>11</v>
      </c>
      <c r="B159" s="11">
        <f t="shared" si="19"/>
        <v>2.6422561336354344</v>
      </c>
      <c r="C159" s="12">
        <v>1.8E-3</v>
      </c>
      <c r="D159" s="30">
        <f t="shared" si="21"/>
        <v>2.6470121946759781</v>
      </c>
      <c r="E159" s="13">
        <v>45818</v>
      </c>
      <c r="F159" s="26" t="str">
        <f ca="1">IF(CDB[[#This Row],[Data]]-TODAY()&lt;1,"Não","Sim")</f>
        <v>Não</v>
      </c>
    </row>
    <row r="160" spans="1:6" x14ac:dyDescent="0.25">
      <c r="A160" s="9" t="s">
        <v>11</v>
      </c>
      <c r="B160" s="11">
        <f t="shared" si="19"/>
        <v>2.6470121946759781</v>
      </c>
      <c r="C160" s="12">
        <v>1.8E-3</v>
      </c>
      <c r="D160" s="30">
        <f t="shared" si="21"/>
        <v>2.6517768166263949</v>
      </c>
      <c r="E160" s="13">
        <v>45819</v>
      </c>
      <c r="F160" s="26" t="str">
        <f ca="1">IF(CDB[[#This Row],[Data]]-TODAY()&lt;1,"Não","Sim")</f>
        <v>Não</v>
      </c>
    </row>
    <row r="161" spans="1:6" x14ac:dyDescent="0.25">
      <c r="A161" s="9" t="s">
        <v>11</v>
      </c>
      <c r="B161" s="11">
        <f t="shared" si="19"/>
        <v>2.6517768166263949</v>
      </c>
      <c r="C161" s="12">
        <v>1.8E-3</v>
      </c>
      <c r="D161" s="30">
        <f t="shared" ref="D161:D185" si="22">B161+(C161*B161)</f>
        <v>2.6565500148963226</v>
      </c>
      <c r="E161" s="13">
        <v>45820</v>
      </c>
      <c r="F161" s="26" t="str">
        <f ca="1">IF(CDB[[#This Row],[Data]]-TODAY()&lt;1,"Não","Sim")</f>
        <v>Não</v>
      </c>
    </row>
    <row r="162" spans="1:6" x14ac:dyDescent="0.25">
      <c r="A162" s="9" t="s">
        <v>11</v>
      </c>
      <c r="B162" s="11">
        <f t="shared" si="19"/>
        <v>2.6565500148963226</v>
      </c>
      <c r="C162" s="12">
        <v>1.8E-3</v>
      </c>
      <c r="D162" s="30">
        <f t="shared" si="22"/>
        <v>2.6613318049231358</v>
      </c>
      <c r="E162" s="13">
        <v>45821</v>
      </c>
      <c r="F162" s="26" t="str">
        <f ca="1">IF(CDB[[#This Row],[Data]]-TODAY()&lt;1,"Não","Sim")</f>
        <v>Não</v>
      </c>
    </row>
    <row r="163" spans="1:6" x14ac:dyDescent="0.25">
      <c r="A163" s="9" t="s">
        <v>11</v>
      </c>
      <c r="B163" s="11">
        <f t="shared" si="19"/>
        <v>2.6613318049231358</v>
      </c>
      <c r="C163" s="12">
        <v>1.8E-3</v>
      </c>
      <c r="D163" s="30">
        <f t="shared" si="22"/>
        <v>2.6661222021719975</v>
      </c>
      <c r="E163" s="13">
        <v>45822</v>
      </c>
      <c r="F163" s="26" t="str">
        <f ca="1">IF(CDB[[#This Row],[Data]]-TODAY()&lt;1,"Não","Sim")</f>
        <v>Não</v>
      </c>
    </row>
    <row r="164" spans="1:6" x14ac:dyDescent="0.25">
      <c r="A164" s="9" t="s">
        <v>11</v>
      </c>
      <c r="B164" s="11">
        <f t="shared" si="19"/>
        <v>2.6661222021719975</v>
      </c>
      <c r="C164" s="12">
        <v>1.8E-3</v>
      </c>
      <c r="D164" s="30">
        <f t="shared" si="22"/>
        <v>2.6709212221359069</v>
      </c>
      <c r="E164" s="13">
        <v>45823</v>
      </c>
      <c r="F164" s="26" t="str">
        <f ca="1">IF(CDB[[#This Row],[Data]]-TODAY()&lt;1,"Não","Sim")</f>
        <v>Não</v>
      </c>
    </row>
    <row r="165" spans="1:6" x14ac:dyDescent="0.25">
      <c r="A165" s="9" t="s">
        <v>11</v>
      </c>
      <c r="B165" s="11">
        <f t="shared" si="19"/>
        <v>2.6709212221359069</v>
      </c>
      <c r="C165" s="12">
        <v>1.8E-3</v>
      </c>
      <c r="D165" s="30">
        <f t="shared" si="22"/>
        <v>2.6757288803357513</v>
      </c>
      <c r="E165" s="13">
        <v>45824</v>
      </c>
      <c r="F165" s="26" t="str">
        <f ca="1">IF(CDB[[#This Row],[Data]]-TODAY()&lt;1,"Não","Sim")</f>
        <v>Não</v>
      </c>
    </row>
    <row r="166" spans="1:6" x14ac:dyDescent="0.25">
      <c r="A166" s="9" t="s">
        <v>11</v>
      </c>
      <c r="B166" s="11">
        <f t="shared" si="19"/>
        <v>2.6757288803357513</v>
      </c>
      <c r="C166" s="12">
        <v>1.8E-3</v>
      </c>
      <c r="D166" s="30">
        <f t="shared" si="22"/>
        <v>2.6805451923203556</v>
      </c>
      <c r="E166" s="13">
        <v>45825</v>
      </c>
      <c r="F166" s="26" t="str">
        <f ca="1">IF(CDB[[#This Row],[Data]]-TODAY()&lt;1,"Não","Sim")</f>
        <v>Não</v>
      </c>
    </row>
    <row r="167" spans="1:6" x14ac:dyDescent="0.25">
      <c r="A167" s="9" t="s">
        <v>11</v>
      </c>
      <c r="B167" s="11">
        <f t="shared" si="19"/>
        <v>2.6805451923203556</v>
      </c>
      <c r="C167" s="12">
        <v>1.8E-3</v>
      </c>
      <c r="D167" s="30">
        <f t="shared" si="22"/>
        <v>2.6853701736665321</v>
      </c>
      <c r="E167" s="13">
        <v>45826</v>
      </c>
      <c r="F167" s="26" t="str">
        <f ca="1">IF(CDB[[#This Row],[Data]]-TODAY()&lt;1,"Não","Sim")</f>
        <v>Não</v>
      </c>
    </row>
    <row r="168" spans="1:6" x14ac:dyDescent="0.25">
      <c r="A168" s="9" t="s">
        <v>11</v>
      </c>
      <c r="B168" s="11">
        <f t="shared" si="19"/>
        <v>2.6853701736665321</v>
      </c>
      <c r="C168" s="12">
        <v>1.8E-3</v>
      </c>
      <c r="D168" s="30">
        <f t="shared" si="22"/>
        <v>2.6902038399791319</v>
      </c>
      <c r="E168" s="13">
        <v>45827</v>
      </c>
      <c r="F168" s="26" t="str">
        <f ca="1">IF(CDB[[#This Row],[Data]]-TODAY()&lt;1,"Não","Sim")</f>
        <v>Não</v>
      </c>
    </row>
    <row r="169" spans="1:6" x14ac:dyDescent="0.25">
      <c r="A169" s="9" t="s">
        <v>11</v>
      </c>
      <c r="B169" s="11">
        <f t="shared" si="19"/>
        <v>2.6902038399791319</v>
      </c>
      <c r="C169" s="12">
        <v>1.8E-3</v>
      </c>
      <c r="D169" s="30">
        <f t="shared" si="22"/>
        <v>2.6950462068910945</v>
      </c>
      <c r="E169" s="13">
        <v>45828</v>
      </c>
      <c r="F169" s="26" t="str">
        <f ca="1">IF(CDB[[#This Row],[Data]]-TODAY()&lt;1,"Não","Sim")</f>
        <v>Não</v>
      </c>
    </row>
    <row r="170" spans="1:6" x14ac:dyDescent="0.25">
      <c r="A170" s="9" t="s">
        <v>11</v>
      </c>
      <c r="B170" s="11">
        <f t="shared" si="19"/>
        <v>2.6950462068910945</v>
      </c>
      <c r="C170" s="12">
        <v>1.8E-3</v>
      </c>
      <c r="D170" s="30">
        <f t="shared" si="22"/>
        <v>2.6998972900634985</v>
      </c>
      <c r="E170" s="13">
        <v>45829</v>
      </c>
      <c r="F170" s="26" t="str">
        <f ca="1">IF(CDB[[#This Row],[Data]]-TODAY()&lt;1,"Não","Sim")</f>
        <v>Não</v>
      </c>
    </row>
    <row r="171" spans="1:6" x14ac:dyDescent="0.25">
      <c r="A171" s="9" t="s">
        <v>11</v>
      </c>
      <c r="B171" s="11">
        <f t="shared" si="19"/>
        <v>2.6998972900634985</v>
      </c>
      <c r="C171" s="12">
        <v>1.8E-3</v>
      </c>
      <c r="D171" s="30">
        <f t="shared" si="22"/>
        <v>2.704757105185613</v>
      </c>
      <c r="E171" s="13">
        <v>45830</v>
      </c>
      <c r="F171" s="26" t="str">
        <f ca="1">IF(CDB[[#This Row],[Data]]-TODAY()&lt;1,"Não","Sim")</f>
        <v>Não</v>
      </c>
    </row>
    <row r="172" spans="1:6" x14ac:dyDescent="0.25">
      <c r="A172" s="9" t="s">
        <v>11</v>
      </c>
      <c r="B172" s="11">
        <f t="shared" si="19"/>
        <v>2.704757105185613</v>
      </c>
      <c r="C172" s="12">
        <v>1.8E-3</v>
      </c>
      <c r="D172" s="30">
        <f t="shared" si="22"/>
        <v>2.7096256679749469</v>
      </c>
      <c r="E172" s="13">
        <v>45831</v>
      </c>
      <c r="F172" s="26" t="str">
        <f ca="1">IF(CDB[[#This Row],[Data]]-TODAY()&lt;1,"Não","Sim")</f>
        <v>Não</v>
      </c>
    </row>
    <row r="173" spans="1:6" x14ac:dyDescent="0.25">
      <c r="A173" s="9" t="s">
        <v>11</v>
      </c>
      <c r="B173" s="11">
        <f t="shared" si="19"/>
        <v>2.7096256679749469</v>
      </c>
      <c r="C173" s="12">
        <v>1.8E-3</v>
      </c>
      <c r="D173" s="30">
        <f t="shared" si="22"/>
        <v>2.7145029941773018</v>
      </c>
      <c r="E173" s="13">
        <v>45832</v>
      </c>
      <c r="F173" s="26" t="str">
        <f ca="1">IF(CDB[[#This Row],[Data]]-TODAY()&lt;1,"Não","Sim")</f>
        <v>Não</v>
      </c>
    </row>
    <row r="174" spans="1:6" x14ac:dyDescent="0.25">
      <c r="A174" s="9" t="s">
        <v>11</v>
      </c>
      <c r="B174" s="11">
        <f t="shared" si="19"/>
        <v>2.7145029941773018</v>
      </c>
      <c r="C174" s="12">
        <v>1.8E-3</v>
      </c>
      <c r="D174" s="30">
        <f t="shared" si="22"/>
        <v>2.7193890995668211</v>
      </c>
      <c r="E174" s="13">
        <v>45833</v>
      </c>
      <c r="F174" s="26" t="str">
        <f ca="1">IF(CDB[[#This Row],[Data]]-TODAY()&lt;1,"Não","Sim")</f>
        <v>Não</v>
      </c>
    </row>
    <row r="175" spans="1:6" x14ac:dyDescent="0.25">
      <c r="A175" s="9" t="s">
        <v>11</v>
      </c>
      <c r="B175" s="11">
        <f t="shared" si="19"/>
        <v>2.7193890995668211</v>
      </c>
      <c r="C175" s="12">
        <v>1.8E-3</v>
      </c>
      <c r="D175" s="30">
        <f t="shared" si="22"/>
        <v>2.7242839999460413</v>
      </c>
      <c r="E175" s="13">
        <v>45834</v>
      </c>
      <c r="F175" s="26" t="str">
        <f ca="1">IF(CDB[[#This Row],[Data]]-TODAY()&lt;1,"Não","Sim")</f>
        <v>Não</v>
      </c>
    </row>
    <row r="176" spans="1:6" x14ac:dyDescent="0.25">
      <c r="A176" s="9" t="s">
        <v>11</v>
      </c>
      <c r="B176" s="11">
        <f t="shared" si="19"/>
        <v>2.7242839999460413</v>
      </c>
      <c r="C176" s="12">
        <v>1.8E-3</v>
      </c>
      <c r="D176" s="30">
        <f t="shared" si="22"/>
        <v>2.7291877111459444</v>
      </c>
      <c r="E176" s="13">
        <v>45835</v>
      </c>
      <c r="F176" s="26" t="str">
        <f ca="1">IF(CDB[[#This Row],[Data]]-TODAY()&lt;1,"Não","Sim")</f>
        <v>Não</v>
      </c>
    </row>
    <row r="177" spans="1:6" x14ac:dyDescent="0.25">
      <c r="A177" s="9" t="s">
        <v>11</v>
      </c>
      <c r="B177" s="11">
        <f t="shared" si="19"/>
        <v>2.7291877111459444</v>
      </c>
      <c r="C177" s="12">
        <v>1.8E-3</v>
      </c>
      <c r="D177" s="30">
        <f t="shared" si="22"/>
        <v>2.7341002490260071</v>
      </c>
      <c r="E177" s="13">
        <v>45836</v>
      </c>
      <c r="F177" s="26" t="str">
        <f ca="1">IF(CDB[[#This Row],[Data]]-TODAY()&lt;1,"Não","Sim")</f>
        <v>Não</v>
      </c>
    </row>
    <row r="178" spans="1:6" x14ac:dyDescent="0.25">
      <c r="A178" s="9" t="s">
        <v>11</v>
      </c>
      <c r="B178" s="11">
        <f t="shared" si="19"/>
        <v>2.7341002490260071</v>
      </c>
      <c r="C178" s="12">
        <v>1.8E-3</v>
      </c>
      <c r="D178" s="30">
        <f t="shared" si="22"/>
        <v>2.7390216294742538</v>
      </c>
      <c r="E178" s="13">
        <v>45837</v>
      </c>
      <c r="F178" s="26" t="str">
        <f ca="1">IF(CDB[[#This Row],[Data]]-TODAY()&lt;1,"Não","Sim")</f>
        <v>Não</v>
      </c>
    </row>
    <row r="179" spans="1:6" x14ac:dyDescent="0.25">
      <c r="A179" s="9" t="s">
        <v>11</v>
      </c>
      <c r="B179" s="11">
        <f t="shared" si="19"/>
        <v>2.7390216294742538</v>
      </c>
      <c r="C179" s="12">
        <v>1.8E-3</v>
      </c>
      <c r="D179" s="30">
        <f t="shared" si="22"/>
        <v>2.7439518684073074</v>
      </c>
      <c r="E179" s="13">
        <v>45838</v>
      </c>
      <c r="F179" s="26" t="str">
        <f ca="1">IF(CDB[[#This Row],[Data]]-TODAY()&lt;1,"Não","Sim")</f>
        <v>Não</v>
      </c>
    </row>
    <row r="180" spans="1:6" x14ac:dyDescent="0.25">
      <c r="A180" s="9" t="s">
        <v>11</v>
      </c>
      <c r="B180" s="11">
        <f t="shared" si="19"/>
        <v>2.7439518684073074</v>
      </c>
      <c r="C180" s="12">
        <v>1.8E-3</v>
      </c>
      <c r="D180" s="30">
        <f t="shared" si="22"/>
        <v>2.7488909817704408</v>
      </c>
      <c r="E180" s="13">
        <v>45839</v>
      </c>
      <c r="F180" s="26" t="str">
        <f ca="1">IF(CDB[[#This Row],[Data]]-TODAY()&lt;1,"Não","Sim")</f>
        <v>Não</v>
      </c>
    </row>
    <row r="181" spans="1:6" x14ac:dyDescent="0.25">
      <c r="A181" s="9" t="s">
        <v>11</v>
      </c>
      <c r="B181" s="11">
        <f t="shared" si="19"/>
        <v>2.7488909817704408</v>
      </c>
      <c r="C181" s="12">
        <v>1.8E-3</v>
      </c>
      <c r="D181" s="30">
        <f t="shared" si="22"/>
        <v>2.7538389855376275</v>
      </c>
      <c r="E181" s="13">
        <v>45840</v>
      </c>
      <c r="F181" s="26" t="str">
        <f ca="1">IF(CDB[[#This Row],[Data]]-TODAY()&lt;1,"Não","Sim")</f>
        <v>Não</v>
      </c>
    </row>
    <row r="182" spans="1:6" x14ac:dyDescent="0.25">
      <c r="A182" s="9" t="s">
        <v>11</v>
      </c>
      <c r="B182" s="11">
        <f t="shared" si="19"/>
        <v>2.7538389855376275</v>
      </c>
      <c r="C182" s="12">
        <v>1.8E-3</v>
      </c>
      <c r="D182" s="30">
        <f t="shared" si="22"/>
        <v>2.7587958957115952</v>
      </c>
      <c r="E182" s="13">
        <v>45841</v>
      </c>
      <c r="F182" s="26" t="str">
        <f ca="1">IF(CDB[[#This Row],[Data]]-TODAY()&lt;1,"Não","Sim")</f>
        <v>Não</v>
      </c>
    </row>
    <row r="183" spans="1:6" x14ac:dyDescent="0.25">
      <c r="A183" s="9" t="s">
        <v>11</v>
      </c>
      <c r="B183" s="11">
        <f t="shared" si="19"/>
        <v>2.7587958957115952</v>
      </c>
      <c r="C183" s="12">
        <v>1.8E-3</v>
      </c>
      <c r="D183" s="30">
        <f t="shared" si="22"/>
        <v>2.763761728323876</v>
      </c>
      <c r="E183" s="13">
        <v>45842</v>
      </c>
      <c r="F183" s="26" t="str">
        <f ca="1">IF(CDB[[#This Row],[Data]]-TODAY()&lt;1,"Não","Sim")</f>
        <v>Não</v>
      </c>
    </row>
    <row r="184" spans="1:6" x14ac:dyDescent="0.25">
      <c r="A184" s="9" t="s">
        <v>11</v>
      </c>
      <c r="B184" s="11">
        <f t="shared" si="19"/>
        <v>2.763761728323876</v>
      </c>
      <c r="C184" s="12">
        <v>1.8E-3</v>
      </c>
      <c r="D184" s="30">
        <f t="shared" si="22"/>
        <v>2.7687364994348589</v>
      </c>
      <c r="E184" s="13">
        <v>45843</v>
      </c>
      <c r="F184" s="26" t="str">
        <f ca="1">IF(CDB[[#This Row],[Data]]-TODAY()&lt;1,"Não","Sim")</f>
        <v>Não</v>
      </c>
    </row>
    <row r="185" spans="1:6" x14ac:dyDescent="0.25">
      <c r="A185" s="9" t="s">
        <v>11</v>
      </c>
      <c r="B185" s="11">
        <f t="shared" si="19"/>
        <v>2.7687364994348589</v>
      </c>
      <c r="C185" s="12">
        <v>1.8E-3</v>
      </c>
      <c r="D185" s="30">
        <f t="shared" si="22"/>
        <v>2.7737202251338418</v>
      </c>
      <c r="E185" s="13">
        <v>45844</v>
      </c>
      <c r="F185" s="26" t="str">
        <f ca="1">IF(CDB[[#This Row],[Data]]-TODAY()&lt;1,"Não","Sim")</f>
        <v>Não</v>
      </c>
    </row>
    <row r="186" spans="1:6" x14ac:dyDescent="0.25">
      <c r="A186" s="9" t="s">
        <v>11</v>
      </c>
      <c r="B186" s="11">
        <f t="shared" si="19"/>
        <v>2.7737202251338418</v>
      </c>
      <c r="C186" s="12">
        <v>2E-3</v>
      </c>
      <c r="D186" s="11">
        <f>B186+(C186*B186)</f>
        <v>2.7792676655841095</v>
      </c>
      <c r="E186" s="13">
        <v>45845</v>
      </c>
      <c r="F186" s="10" t="str">
        <f ca="1">IF(CDB[[#This Row],[Data]]-TODAY()&lt;1,"Não","Sim")</f>
        <v>Não</v>
      </c>
    </row>
    <row r="187" spans="1:6" x14ac:dyDescent="0.25">
      <c r="A187" s="9" t="s">
        <v>11</v>
      </c>
      <c r="B187" s="11">
        <f t="shared" si="19"/>
        <v>2.7792676655841095</v>
      </c>
      <c r="C187" s="12">
        <v>2E-3</v>
      </c>
      <c r="D187" s="30">
        <f t="shared" ref="D187:D189" si="23">B187+(C187*B187)</f>
        <v>2.7848262009152775</v>
      </c>
      <c r="E187" s="13">
        <v>45846</v>
      </c>
      <c r="F187" s="26" t="str">
        <f ca="1">IF(CDB[[#This Row],[Data]]-TODAY()&lt;1,"Não","Sim")</f>
        <v>Não</v>
      </c>
    </row>
    <row r="188" spans="1:6" x14ac:dyDescent="0.25">
      <c r="A188" s="9" t="s">
        <v>11</v>
      </c>
      <c r="B188" s="11">
        <f t="shared" si="19"/>
        <v>2.7848262009152775</v>
      </c>
      <c r="C188" s="12">
        <v>2E-3</v>
      </c>
      <c r="D188" s="30">
        <f t="shared" si="23"/>
        <v>2.7903958533171083</v>
      </c>
      <c r="E188" s="13">
        <v>45847</v>
      </c>
      <c r="F188" s="26" t="str">
        <f ca="1">IF(CDB[[#This Row],[Data]]-TODAY()&lt;1,"Não","Sim")</f>
        <v>Não</v>
      </c>
    </row>
    <row r="189" spans="1:6" x14ac:dyDescent="0.25">
      <c r="A189" s="9" t="s">
        <v>11</v>
      </c>
      <c r="B189" s="11">
        <f>D188</f>
        <v>2.7903958533171083</v>
      </c>
      <c r="C189" s="12">
        <v>2E-3</v>
      </c>
      <c r="D189" s="30">
        <f t="shared" si="23"/>
        <v>2.7959766450237424</v>
      </c>
      <c r="E189" s="13">
        <v>45848</v>
      </c>
      <c r="F189" s="26" t="str">
        <f ca="1">IF(CDB[[#This Row],[Data]]-TODAY()&lt;1,"Não","Sim")</f>
        <v>Não</v>
      </c>
    </row>
    <row r="190" spans="1:6" x14ac:dyDescent="0.25">
      <c r="A190" s="9" t="s">
        <v>28</v>
      </c>
      <c r="B190" s="11">
        <f>D189</f>
        <v>2.7959766450237424</v>
      </c>
      <c r="C190" s="12">
        <v>2E-3</v>
      </c>
      <c r="D190" s="11">
        <f>B190+(C190*B190)</f>
        <v>2.8015685983137901</v>
      </c>
      <c r="E190" s="13">
        <v>45849</v>
      </c>
      <c r="F190" s="56" t="str">
        <f ca="1">IF(CDB[[#This Row],[Data]]-TODAY()&lt;1,"Não","Sim")</f>
        <v>Não</v>
      </c>
    </row>
    <row r="191" spans="1:6" x14ac:dyDescent="0.25">
      <c r="A191" s="9" t="s">
        <v>28</v>
      </c>
      <c r="B191" s="11">
        <f>D190</f>
        <v>2.8015685983137901</v>
      </c>
      <c r="C191" s="12">
        <v>2E-3</v>
      </c>
      <c r="D191" s="11">
        <f>B191+(C191*B191)</f>
        <v>2.8071717355104178</v>
      </c>
      <c r="E191" s="13">
        <v>45850</v>
      </c>
      <c r="F191" s="56" t="str">
        <f ca="1">IF(CDB[[#This Row],[Data]]-TODAY()&lt;1,"Não","Sim")</f>
        <v>Não</v>
      </c>
    </row>
    <row r="192" spans="1:6" x14ac:dyDescent="0.25">
      <c r="A192" s="9" t="s">
        <v>28</v>
      </c>
      <c r="B192" s="11">
        <f>D191</f>
        <v>2.8071717355104178</v>
      </c>
      <c r="C192" s="12">
        <v>2E-3</v>
      </c>
      <c r="D192" s="11">
        <f>B192+(C192*B192)</f>
        <v>2.8127860789814387</v>
      </c>
      <c r="E192" s="13">
        <v>45851</v>
      </c>
      <c r="F192" s="56" t="str">
        <f ca="1">IF(CDB[[#This Row],[Data]]-TODAY()&lt;1,"Não","Sim")</f>
        <v>Não</v>
      </c>
    </row>
    <row r="193" spans="1:6" x14ac:dyDescent="0.25">
      <c r="A193" s="9" t="s">
        <v>28</v>
      </c>
      <c r="B193" s="11">
        <f>D192</f>
        <v>2.8127860789814387</v>
      </c>
      <c r="C193" s="12">
        <v>2E-3</v>
      </c>
      <c r="D193" s="11">
        <f>B193+(C193*B193)</f>
        <v>2.8184116511394017</v>
      </c>
      <c r="E193" s="13">
        <v>45852</v>
      </c>
      <c r="F193" s="56" t="str">
        <f ca="1">IF(CDB[[#This Row],[Data]]-TODAY()&lt;1,"Não","Sim")</f>
        <v>Não</v>
      </c>
    </row>
    <row r="194" spans="1:6" x14ac:dyDescent="0.25">
      <c r="A194" s="9" t="s">
        <v>28</v>
      </c>
      <c r="B194" s="11">
        <f t="shared" ref="B194:B257" si="24">D193</f>
        <v>2.8184116511394017</v>
      </c>
      <c r="C194" s="12">
        <v>2E-3</v>
      </c>
      <c r="D194" s="11">
        <f>B194+(C194*B194)</f>
        <v>2.8240484744416805</v>
      </c>
      <c r="E194" s="13">
        <v>45853</v>
      </c>
      <c r="F194" s="56" t="str">
        <f ca="1">IF(CDB[[#This Row],[Data]]-TODAY()&lt;1,"Não","Sim")</f>
        <v>Não</v>
      </c>
    </row>
    <row r="195" spans="1:6" x14ac:dyDescent="0.25">
      <c r="A195" s="9" t="s">
        <v>28</v>
      </c>
      <c r="B195" s="11">
        <f t="shared" si="24"/>
        <v>2.8240484744416805</v>
      </c>
      <c r="C195" s="12">
        <v>2E-3</v>
      </c>
      <c r="D195" s="30">
        <f t="shared" ref="D195:D197" si="25">B195+(C195*B195)</f>
        <v>2.829696571390564</v>
      </c>
      <c r="E195" s="13">
        <v>45854</v>
      </c>
      <c r="F195" s="107" t="str">
        <f ca="1">IF(CDB[[#This Row],[Data]]-TODAY()&lt;1,"Não","Sim")</f>
        <v>Não</v>
      </c>
    </row>
    <row r="196" spans="1:6" x14ac:dyDescent="0.25">
      <c r="A196" s="9" t="s">
        <v>28</v>
      </c>
      <c r="B196" s="11">
        <f t="shared" si="24"/>
        <v>2.829696571390564</v>
      </c>
      <c r="C196" s="12">
        <v>2E-3</v>
      </c>
      <c r="D196" s="30">
        <f t="shared" si="25"/>
        <v>2.835355964533345</v>
      </c>
      <c r="E196" s="13">
        <v>45855</v>
      </c>
      <c r="F196" s="107" t="str">
        <f ca="1">IF(CDB[[#This Row],[Data]]-TODAY()&lt;1,"Não","Sim")</f>
        <v>Não</v>
      </c>
    </row>
    <row r="197" spans="1:6" x14ac:dyDescent="0.25">
      <c r="A197" s="9" t="s">
        <v>28</v>
      </c>
      <c r="B197" s="11">
        <f t="shared" si="24"/>
        <v>2.835355964533345</v>
      </c>
      <c r="C197" s="12">
        <v>2E-3</v>
      </c>
      <c r="D197" s="30">
        <f t="shared" si="25"/>
        <v>2.8410266764624117</v>
      </c>
      <c r="E197" s="13">
        <v>45856</v>
      </c>
      <c r="F197" s="107" t="str">
        <f ca="1">IF(CDB[[#This Row],[Data]]-TODAY()&lt;1,"Não","Sim")</f>
        <v>Não</v>
      </c>
    </row>
    <row r="198" spans="1:6" x14ac:dyDescent="0.25">
      <c r="A198" s="9" t="s">
        <v>28</v>
      </c>
      <c r="B198" s="11">
        <f t="shared" si="24"/>
        <v>2.8410266764624117</v>
      </c>
      <c r="C198" s="12">
        <v>2E-3</v>
      </c>
      <c r="D198" s="30">
        <f t="shared" ref="D198:D199" si="26">B198+(C198*B198)</f>
        <v>2.8467087298153366</v>
      </c>
      <c r="E198" s="13">
        <v>45857</v>
      </c>
      <c r="F198" s="107" t="str">
        <f ca="1">IF(CDB[[#This Row],[Data]]-TODAY()&lt;1,"Não","Sim")</f>
        <v>Não</v>
      </c>
    </row>
    <row r="199" spans="1:6" x14ac:dyDescent="0.25">
      <c r="A199" s="9" t="s">
        <v>28</v>
      </c>
      <c r="B199" s="11">
        <f t="shared" si="24"/>
        <v>2.8467087298153366</v>
      </c>
      <c r="C199" s="12">
        <v>2E-3</v>
      </c>
      <c r="D199" s="30">
        <f t="shared" si="26"/>
        <v>2.8524021472749674</v>
      </c>
      <c r="E199" s="13">
        <v>45858</v>
      </c>
      <c r="F199" s="107" t="str">
        <f ca="1">IF(CDB[[#This Row],[Data]]-TODAY()&lt;1,"Não","Sim")</f>
        <v>Não</v>
      </c>
    </row>
    <row r="200" spans="1:6" x14ac:dyDescent="0.25">
      <c r="A200" s="9" t="s">
        <v>28</v>
      </c>
      <c r="B200" s="11">
        <f t="shared" si="24"/>
        <v>2.8524021472749674</v>
      </c>
      <c r="C200" s="12">
        <v>2E-3</v>
      </c>
      <c r="D200" s="11">
        <f>B200+(C200*B200)</f>
        <v>2.8581069515695172</v>
      </c>
      <c r="E200" s="13">
        <v>45859</v>
      </c>
      <c r="F200" s="56" t="str">
        <f ca="1">IF(CDB[[#This Row],[Data]]-TODAY()&lt;1,"Não","Sim")</f>
        <v>Não</v>
      </c>
    </row>
    <row r="201" spans="1:6" x14ac:dyDescent="0.25">
      <c r="A201" s="9" t="s">
        <v>28</v>
      </c>
      <c r="B201" s="11">
        <f t="shared" si="24"/>
        <v>2.8581069515695172</v>
      </c>
      <c r="C201" s="12">
        <v>2E-3</v>
      </c>
      <c r="D201" s="30">
        <f t="shared" ref="D201:D203" si="27">B201+(C201*B201)</f>
        <v>2.8638231654726565</v>
      </c>
      <c r="E201" s="13">
        <v>45860</v>
      </c>
      <c r="F201" s="107" t="str">
        <f ca="1">IF(CDB[[#This Row],[Data]]-TODAY()&lt;1,"Não","Sim")</f>
        <v>Não</v>
      </c>
    </row>
    <row r="202" spans="1:6" x14ac:dyDescent="0.25">
      <c r="A202" s="9" t="s">
        <v>28</v>
      </c>
      <c r="B202" s="11">
        <f t="shared" si="24"/>
        <v>2.8638231654726565</v>
      </c>
      <c r="C202" s="12">
        <v>2E-3</v>
      </c>
      <c r="D202" s="30">
        <f t="shared" si="27"/>
        <v>2.8695508118036019</v>
      </c>
      <c r="E202" s="13">
        <v>45861</v>
      </c>
      <c r="F202" s="107" t="str">
        <f ca="1">IF(CDB[[#This Row],[Data]]-TODAY()&lt;1,"Não","Sim")</f>
        <v>Não</v>
      </c>
    </row>
    <row r="203" spans="1:6" x14ac:dyDescent="0.25">
      <c r="A203" s="9" t="s">
        <v>28</v>
      </c>
      <c r="B203" s="11">
        <f t="shared" si="24"/>
        <v>2.8695508118036019</v>
      </c>
      <c r="C203" s="12">
        <v>2E-3</v>
      </c>
      <c r="D203" s="30">
        <f t="shared" si="27"/>
        <v>2.875289913427209</v>
      </c>
      <c r="E203" s="13">
        <v>45862</v>
      </c>
      <c r="F203" s="107" t="str">
        <f ca="1">IF(CDB[[#This Row],[Data]]-TODAY()&lt;1,"Não","Sim")</f>
        <v>Não</v>
      </c>
    </row>
    <row r="204" spans="1:6" x14ac:dyDescent="0.25">
      <c r="A204" s="9" t="s">
        <v>28</v>
      </c>
      <c r="B204" s="11">
        <f t="shared" si="24"/>
        <v>2.875289913427209</v>
      </c>
      <c r="C204" s="12">
        <v>2E-3</v>
      </c>
      <c r="D204" s="30">
        <f t="shared" ref="D204:D205" si="28">B204+(C204*B204)</f>
        <v>2.8810404932540634</v>
      </c>
      <c r="E204" s="13">
        <v>45863</v>
      </c>
      <c r="F204" s="107" t="str">
        <f ca="1">IF(CDB[[#This Row],[Data]]-TODAY()&lt;1,"Não","Sim")</f>
        <v>Não</v>
      </c>
    </row>
    <row r="205" spans="1:6" x14ac:dyDescent="0.25">
      <c r="A205" s="9" t="s">
        <v>28</v>
      </c>
      <c r="B205" s="11">
        <f t="shared" si="24"/>
        <v>2.8810404932540634</v>
      </c>
      <c r="C205" s="12">
        <v>2E-3</v>
      </c>
      <c r="D205" s="30">
        <f t="shared" si="28"/>
        <v>2.8868025742405714</v>
      </c>
      <c r="E205" s="13">
        <v>45864</v>
      </c>
      <c r="F205" s="107" t="str">
        <f ca="1">IF(CDB[[#This Row],[Data]]-TODAY()&lt;1,"Não","Sim")</f>
        <v>Não</v>
      </c>
    </row>
    <row r="206" spans="1:6" x14ac:dyDescent="0.25">
      <c r="A206" s="9" t="s">
        <v>28</v>
      </c>
      <c r="B206" s="11">
        <f t="shared" si="24"/>
        <v>2.8868025742405714</v>
      </c>
      <c r="C206" s="12">
        <v>2E-3</v>
      </c>
      <c r="D206" s="30">
        <f t="shared" ref="D206:D243" si="29">B206+(C206*B206)</f>
        <v>2.8925761793890525</v>
      </c>
      <c r="E206" s="13">
        <v>45865</v>
      </c>
      <c r="F206" s="107" t="str">
        <f ca="1">IF(CDB[[#This Row],[Data]]-TODAY()&lt;1,"Não","Sim")</f>
        <v>Não</v>
      </c>
    </row>
    <row r="207" spans="1:6" x14ac:dyDescent="0.25">
      <c r="A207" s="9" t="s">
        <v>28</v>
      </c>
      <c r="B207" s="11">
        <f t="shared" si="24"/>
        <v>2.8925761793890525</v>
      </c>
      <c r="C207" s="12">
        <v>2E-3</v>
      </c>
      <c r="D207" s="30">
        <f t="shared" si="29"/>
        <v>2.8983613317478305</v>
      </c>
      <c r="E207" s="13">
        <v>45866</v>
      </c>
      <c r="F207" s="107" t="str">
        <f ca="1">IF(CDB[[#This Row],[Data]]-TODAY()&lt;1,"Não","Sim")</f>
        <v>Não</v>
      </c>
    </row>
    <row r="208" spans="1:6" x14ac:dyDescent="0.25">
      <c r="A208" s="9" t="s">
        <v>28</v>
      </c>
      <c r="B208" s="11">
        <f t="shared" si="24"/>
        <v>2.8983613317478305</v>
      </c>
      <c r="C208" s="12">
        <v>2E-3</v>
      </c>
      <c r="D208" s="30">
        <f t="shared" si="29"/>
        <v>2.9041580544113264</v>
      </c>
      <c r="E208" s="13">
        <v>45867</v>
      </c>
      <c r="F208" s="107" t="str">
        <f ca="1">IF(CDB[[#This Row],[Data]]-TODAY()&lt;1,"Não","Sim")</f>
        <v>Não</v>
      </c>
    </row>
    <row r="209" spans="1:6" x14ac:dyDescent="0.25">
      <c r="A209" s="9" t="s">
        <v>28</v>
      </c>
      <c r="B209" s="11">
        <f t="shared" si="24"/>
        <v>2.9041580544113264</v>
      </c>
      <c r="C209" s="12">
        <v>2E-3</v>
      </c>
      <c r="D209" s="30">
        <f t="shared" si="29"/>
        <v>2.9099663705201491</v>
      </c>
      <c r="E209" s="13">
        <v>45868</v>
      </c>
      <c r="F209" s="107" t="str">
        <f ca="1">IF(CDB[[#This Row],[Data]]-TODAY()&lt;1,"Não","Sim")</f>
        <v>Não</v>
      </c>
    </row>
    <row r="210" spans="1:6" x14ac:dyDescent="0.25">
      <c r="A210" s="9" t="s">
        <v>28</v>
      </c>
      <c r="B210" s="11">
        <f t="shared" si="24"/>
        <v>2.9099663705201491</v>
      </c>
      <c r="C210" s="12">
        <v>2E-3</v>
      </c>
      <c r="D210" s="30">
        <f t="shared" si="29"/>
        <v>2.9157863032611893</v>
      </c>
      <c r="E210" s="13">
        <v>45869</v>
      </c>
      <c r="F210" s="107" t="str">
        <f ca="1">IF(CDB[[#This Row],[Data]]-TODAY()&lt;1,"Não","Sim")</f>
        <v>Não</v>
      </c>
    </row>
    <row r="211" spans="1:6" x14ac:dyDescent="0.25">
      <c r="A211" s="9" t="s">
        <v>28</v>
      </c>
      <c r="B211" s="11">
        <f t="shared" si="24"/>
        <v>2.9157863032611893</v>
      </c>
      <c r="C211" s="12">
        <v>2E-3</v>
      </c>
      <c r="D211" s="30">
        <f t="shared" si="29"/>
        <v>2.9216178758677116</v>
      </c>
      <c r="E211" s="13">
        <v>45870</v>
      </c>
      <c r="F211" s="107" t="str">
        <f ca="1">IF(CDB[[#This Row],[Data]]-TODAY()&lt;1,"Não","Sim")</f>
        <v>Não</v>
      </c>
    </row>
    <row r="212" spans="1:6" x14ac:dyDescent="0.25">
      <c r="A212" s="9" t="s">
        <v>28</v>
      </c>
      <c r="B212" s="11">
        <f t="shared" si="24"/>
        <v>2.9216178758677116</v>
      </c>
      <c r="C212" s="12">
        <v>2E-3</v>
      </c>
      <c r="D212" s="30">
        <f t="shared" si="29"/>
        <v>2.9274611116194471</v>
      </c>
      <c r="E212" s="13">
        <v>45871</v>
      </c>
      <c r="F212" s="107" t="str">
        <f ca="1">IF(CDB[[#This Row],[Data]]-TODAY()&lt;1,"Não","Sim")</f>
        <v>Não</v>
      </c>
    </row>
    <row r="213" spans="1:6" x14ac:dyDescent="0.25">
      <c r="A213" s="9" t="s">
        <v>28</v>
      </c>
      <c r="B213" s="11">
        <f t="shared" si="24"/>
        <v>2.9274611116194471</v>
      </c>
      <c r="C213" s="12">
        <v>2E-3</v>
      </c>
      <c r="D213" s="30">
        <f t="shared" si="29"/>
        <v>2.933316033842686</v>
      </c>
      <c r="E213" s="13">
        <v>45872</v>
      </c>
      <c r="F213" s="107" t="str">
        <f ca="1">IF(CDB[[#This Row],[Data]]-TODAY()&lt;1,"Não","Sim")</f>
        <v>Não</v>
      </c>
    </row>
    <row r="214" spans="1:6" x14ac:dyDescent="0.25">
      <c r="A214" s="9" t="s">
        <v>28</v>
      </c>
      <c r="B214" s="11">
        <f t="shared" si="24"/>
        <v>2.933316033842686</v>
      </c>
      <c r="C214" s="12">
        <v>2E-3</v>
      </c>
      <c r="D214" s="30">
        <f t="shared" si="29"/>
        <v>2.9391826659103715</v>
      </c>
      <c r="E214" s="13">
        <v>45873</v>
      </c>
      <c r="F214" s="107" t="str">
        <f ca="1">IF(CDB[[#This Row],[Data]]-TODAY()&lt;1,"Não","Sim")</f>
        <v>Não</v>
      </c>
    </row>
    <row r="215" spans="1:6" x14ac:dyDescent="0.25">
      <c r="A215" s="9" t="s">
        <v>28</v>
      </c>
      <c r="B215" s="11">
        <f t="shared" si="24"/>
        <v>2.9391826659103715</v>
      </c>
      <c r="C215" s="12">
        <v>2E-3</v>
      </c>
      <c r="D215" s="30">
        <f t="shared" si="29"/>
        <v>2.9450610312421923</v>
      </c>
      <c r="E215" s="13">
        <v>45874</v>
      </c>
      <c r="F215" s="107" t="str">
        <f ca="1">IF(CDB[[#This Row],[Data]]-TODAY()&lt;1,"Não","Sim")</f>
        <v>Não</v>
      </c>
    </row>
    <row r="216" spans="1:6" x14ac:dyDescent="0.25">
      <c r="A216" s="9" t="s">
        <v>28</v>
      </c>
      <c r="B216" s="11">
        <f t="shared" si="24"/>
        <v>2.9450610312421923</v>
      </c>
      <c r="C216" s="12">
        <v>2E-3</v>
      </c>
      <c r="D216" s="30">
        <f t="shared" si="29"/>
        <v>2.9509511533046768</v>
      </c>
      <c r="E216" s="13">
        <v>45875</v>
      </c>
      <c r="F216" s="107" t="str">
        <f ca="1">IF(CDB[[#This Row],[Data]]-TODAY()&lt;1,"Não","Sim")</f>
        <v>Não</v>
      </c>
    </row>
    <row r="217" spans="1:6" x14ac:dyDescent="0.25">
      <c r="A217" s="9" t="s">
        <v>28</v>
      </c>
      <c r="B217" s="11">
        <f t="shared" si="24"/>
        <v>2.9509511533046768</v>
      </c>
      <c r="C217" s="12">
        <v>2E-3</v>
      </c>
      <c r="D217" s="30">
        <f t="shared" si="29"/>
        <v>2.956853055611286</v>
      </c>
      <c r="E217" s="13">
        <v>45876</v>
      </c>
      <c r="F217" s="107" t="str">
        <f ca="1">IF(CDB[[#This Row],[Data]]-TODAY()&lt;1,"Não","Sim")</f>
        <v>Não</v>
      </c>
    </row>
    <row r="218" spans="1:6" x14ac:dyDescent="0.25">
      <c r="A218" s="9" t="s">
        <v>28</v>
      </c>
      <c r="B218" s="11">
        <f t="shared" si="24"/>
        <v>2.956853055611286</v>
      </c>
      <c r="C218" s="12">
        <v>2E-3</v>
      </c>
      <c r="D218" s="30">
        <f t="shared" si="29"/>
        <v>2.9627667617225084</v>
      </c>
      <c r="E218" s="13">
        <v>45877</v>
      </c>
      <c r="F218" s="107" t="str">
        <f ca="1">IF(CDB[[#This Row],[Data]]-TODAY()&lt;1,"Não","Sim")</f>
        <v>Não</v>
      </c>
    </row>
    <row r="219" spans="1:6" x14ac:dyDescent="0.25">
      <c r="A219" s="9" t="s">
        <v>28</v>
      </c>
      <c r="B219" s="11">
        <f t="shared" si="24"/>
        <v>2.9627667617225084</v>
      </c>
      <c r="C219" s="12">
        <v>2E-3</v>
      </c>
      <c r="D219" s="30">
        <f t="shared" si="29"/>
        <v>2.9686922952459533</v>
      </c>
      <c r="E219" s="13">
        <v>45878</v>
      </c>
      <c r="F219" s="107" t="str">
        <f ca="1">IF(CDB[[#This Row],[Data]]-TODAY()&lt;1,"Não","Sim")</f>
        <v>Não</v>
      </c>
    </row>
    <row r="220" spans="1:6" x14ac:dyDescent="0.25">
      <c r="A220" s="9" t="s">
        <v>28</v>
      </c>
      <c r="B220" s="11">
        <f t="shared" si="24"/>
        <v>2.9686922952459533</v>
      </c>
      <c r="C220" s="12">
        <v>2E-3</v>
      </c>
      <c r="D220" s="30">
        <f t="shared" si="29"/>
        <v>2.9746296798364451</v>
      </c>
      <c r="E220" s="13">
        <v>45879</v>
      </c>
      <c r="F220" s="107" t="str">
        <f ca="1">IF(CDB[[#This Row],[Data]]-TODAY()&lt;1,"Não","Sim")</f>
        <v>Não</v>
      </c>
    </row>
    <row r="221" spans="1:6" x14ac:dyDescent="0.25">
      <c r="A221" s="9" t="s">
        <v>28</v>
      </c>
      <c r="B221" s="11">
        <f t="shared" si="24"/>
        <v>2.9746296798364451</v>
      </c>
      <c r="C221" s="12">
        <v>2E-3</v>
      </c>
      <c r="D221" s="30">
        <f t="shared" si="29"/>
        <v>2.9805789391961182</v>
      </c>
      <c r="E221" s="13">
        <v>45880</v>
      </c>
      <c r="F221" s="107" t="str">
        <f ca="1">IF(CDB[[#This Row],[Data]]-TODAY()&lt;1,"Não","Sim")</f>
        <v>Não</v>
      </c>
    </row>
    <row r="222" spans="1:6" x14ac:dyDescent="0.25">
      <c r="A222" s="9" t="s">
        <v>28</v>
      </c>
      <c r="B222" s="11">
        <f t="shared" si="24"/>
        <v>2.9805789391961182</v>
      </c>
      <c r="C222" s="12">
        <v>2E-3</v>
      </c>
      <c r="D222" s="30">
        <f t="shared" si="29"/>
        <v>2.9865400970745104</v>
      </c>
      <c r="E222" s="13">
        <v>45881</v>
      </c>
      <c r="F222" s="107" t="str">
        <f ca="1">IF(CDB[[#This Row],[Data]]-TODAY()&lt;1,"Não","Sim")</f>
        <v>Não</v>
      </c>
    </row>
    <row r="223" spans="1:6" x14ac:dyDescent="0.25">
      <c r="A223" s="9" t="s">
        <v>28</v>
      </c>
      <c r="B223" s="11">
        <f t="shared" si="24"/>
        <v>2.9865400970745104</v>
      </c>
      <c r="C223" s="12">
        <v>2E-3</v>
      </c>
      <c r="D223" s="30">
        <f t="shared" si="29"/>
        <v>2.9925131772686595</v>
      </c>
      <c r="E223" s="13">
        <v>45882</v>
      </c>
      <c r="F223" s="107" t="str">
        <f ca="1">IF(CDB[[#This Row],[Data]]-TODAY()&lt;1,"Não","Sim")</f>
        <v>Não</v>
      </c>
    </row>
    <row r="224" spans="1:6" x14ac:dyDescent="0.25">
      <c r="A224" s="9" t="s">
        <v>28</v>
      </c>
      <c r="B224" s="11">
        <f t="shared" si="24"/>
        <v>2.9925131772686595</v>
      </c>
      <c r="C224" s="12">
        <v>2E-3</v>
      </c>
      <c r="D224" s="30">
        <f t="shared" si="29"/>
        <v>2.9984982036231966</v>
      </c>
      <c r="E224" s="13">
        <v>45883</v>
      </c>
      <c r="F224" s="107" t="str">
        <f ca="1">IF(CDB[[#This Row],[Data]]-TODAY()&lt;1,"Não","Sim")</f>
        <v>Não</v>
      </c>
    </row>
    <row r="225" spans="1:6" x14ac:dyDescent="0.25">
      <c r="A225" s="9" t="s">
        <v>28</v>
      </c>
      <c r="B225" s="11">
        <f t="shared" si="24"/>
        <v>2.9984982036231966</v>
      </c>
      <c r="C225" s="12">
        <v>2E-3</v>
      </c>
      <c r="D225" s="30">
        <f t="shared" si="29"/>
        <v>3.0044952000304432</v>
      </c>
      <c r="E225" s="13">
        <v>45884</v>
      </c>
      <c r="F225" s="107" t="str">
        <f ca="1">IF(CDB[[#This Row],[Data]]-TODAY()&lt;1,"Não","Sim")</f>
        <v>Não</v>
      </c>
    </row>
    <row r="226" spans="1:6" x14ac:dyDescent="0.25">
      <c r="A226" s="9" t="s">
        <v>28</v>
      </c>
      <c r="B226" s="11">
        <f t="shared" si="24"/>
        <v>3.0044952000304432</v>
      </c>
      <c r="C226" s="12">
        <v>2E-3</v>
      </c>
      <c r="D226" s="30">
        <f t="shared" si="29"/>
        <v>3.0105041904305043</v>
      </c>
      <c r="E226" s="13">
        <v>45885</v>
      </c>
      <c r="F226" s="107" t="str">
        <f ca="1">IF(CDB[[#This Row],[Data]]-TODAY()&lt;1,"Não","Sim")</f>
        <v>Não</v>
      </c>
    </row>
    <row r="227" spans="1:6" x14ac:dyDescent="0.25">
      <c r="A227" s="9" t="s">
        <v>28</v>
      </c>
      <c r="B227" s="11">
        <f t="shared" si="24"/>
        <v>3.0105041904305043</v>
      </c>
      <c r="C227" s="12">
        <v>2E-3</v>
      </c>
      <c r="D227" s="30">
        <f t="shared" si="29"/>
        <v>3.0165251988113653</v>
      </c>
      <c r="E227" s="13">
        <v>45886</v>
      </c>
      <c r="F227" s="107" t="str">
        <f ca="1">IF(CDB[[#This Row],[Data]]-TODAY()&lt;1,"Não","Sim")</f>
        <v>Não</v>
      </c>
    </row>
    <row r="228" spans="1:6" x14ac:dyDescent="0.25">
      <c r="A228" s="9" t="s">
        <v>28</v>
      </c>
      <c r="B228" s="11">
        <f t="shared" si="24"/>
        <v>3.0165251988113653</v>
      </c>
      <c r="C228" s="12">
        <v>2E-3</v>
      </c>
      <c r="D228" s="30">
        <f t="shared" si="29"/>
        <v>3.0225582492089882</v>
      </c>
      <c r="E228" s="13">
        <v>45887</v>
      </c>
      <c r="F228" s="107" t="str">
        <f ca="1">IF(CDB[[#This Row],[Data]]-TODAY()&lt;1,"Não","Sim")</f>
        <v>Não</v>
      </c>
    </row>
    <row r="229" spans="1:6" x14ac:dyDescent="0.25">
      <c r="A229" s="9" t="s">
        <v>28</v>
      </c>
      <c r="B229" s="11">
        <f t="shared" si="24"/>
        <v>3.0225582492089882</v>
      </c>
      <c r="C229" s="12">
        <v>2E-3</v>
      </c>
      <c r="D229" s="30">
        <f t="shared" si="29"/>
        <v>3.0286033657074061</v>
      </c>
      <c r="E229" s="13">
        <v>45888</v>
      </c>
      <c r="F229" s="107" t="str">
        <f ca="1">IF(CDB[[#This Row],[Data]]-TODAY()&lt;1,"Não","Sim")</f>
        <v>Não</v>
      </c>
    </row>
    <row r="230" spans="1:6" x14ac:dyDescent="0.25">
      <c r="A230" s="9" t="s">
        <v>28</v>
      </c>
      <c r="B230" s="11">
        <f t="shared" si="24"/>
        <v>3.0286033657074061</v>
      </c>
      <c r="C230" s="12">
        <v>2E-3</v>
      </c>
      <c r="D230" s="30">
        <f t="shared" si="29"/>
        <v>3.0346605724388209</v>
      </c>
      <c r="E230" s="13">
        <v>45889</v>
      </c>
      <c r="F230" s="107" t="str">
        <f ca="1">IF(CDB[[#This Row],[Data]]-TODAY()&lt;1,"Não","Sim")</f>
        <v>Não</v>
      </c>
    </row>
    <row r="231" spans="1:6" x14ac:dyDescent="0.25">
      <c r="A231" s="9" t="s">
        <v>28</v>
      </c>
      <c r="B231" s="11">
        <f t="shared" si="24"/>
        <v>3.0346605724388209</v>
      </c>
      <c r="C231" s="12">
        <v>2E-3</v>
      </c>
      <c r="D231" s="30">
        <f t="shared" si="29"/>
        <v>3.0407298935836984</v>
      </c>
      <c r="E231" s="13">
        <v>45890</v>
      </c>
      <c r="F231" s="107" t="str">
        <f ca="1">IF(CDB[[#This Row],[Data]]-TODAY()&lt;1,"Não","Sim")</f>
        <v>Não</v>
      </c>
    </row>
    <row r="232" spans="1:6" x14ac:dyDescent="0.25">
      <c r="A232" s="9" t="s">
        <v>28</v>
      </c>
      <c r="B232" s="11">
        <f t="shared" si="24"/>
        <v>3.0407298935836984</v>
      </c>
      <c r="C232" s="12">
        <v>2E-3</v>
      </c>
      <c r="D232" s="30">
        <f t="shared" si="29"/>
        <v>3.0468113533708658</v>
      </c>
      <c r="E232" s="13">
        <v>45891</v>
      </c>
      <c r="F232" s="107" t="str">
        <f ca="1">IF(CDB[[#This Row],[Data]]-TODAY()&lt;1,"Não","Sim")</f>
        <v>Não</v>
      </c>
    </row>
    <row r="233" spans="1:6" x14ac:dyDescent="0.25">
      <c r="A233" s="9" t="s">
        <v>28</v>
      </c>
      <c r="B233" s="11">
        <f t="shared" si="24"/>
        <v>3.0468113533708658</v>
      </c>
      <c r="C233" s="12">
        <v>2E-3</v>
      </c>
      <c r="D233" s="30">
        <f t="shared" si="29"/>
        <v>3.0529049760776075</v>
      </c>
      <c r="E233" s="13">
        <v>45892</v>
      </c>
      <c r="F233" s="107" t="str">
        <f ca="1">IF(CDB[[#This Row],[Data]]-TODAY()&lt;1,"Não","Sim")</f>
        <v>Não</v>
      </c>
    </row>
    <row r="234" spans="1:6" x14ac:dyDescent="0.25">
      <c r="A234" s="9" t="s">
        <v>28</v>
      </c>
      <c r="B234" s="11">
        <f t="shared" si="24"/>
        <v>3.0529049760776075</v>
      </c>
      <c r="C234" s="12">
        <v>2E-3</v>
      </c>
      <c r="D234" s="30">
        <f t="shared" si="29"/>
        <v>3.0590107860297628</v>
      </c>
      <c r="E234" s="13">
        <v>45893</v>
      </c>
      <c r="F234" s="107" t="str">
        <f ca="1">IF(CDB[[#This Row],[Data]]-TODAY()&lt;1,"Não","Sim")</f>
        <v>Não</v>
      </c>
    </row>
    <row r="235" spans="1:6" x14ac:dyDescent="0.25">
      <c r="A235" s="9" t="s">
        <v>28</v>
      </c>
      <c r="B235" s="11">
        <f t="shared" si="24"/>
        <v>3.0590107860297628</v>
      </c>
      <c r="C235" s="12">
        <v>2E-3</v>
      </c>
      <c r="D235" s="30">
        <f t="shared" si="29"/>
        <v>3.0651288076018224</v>
      </c>
      <c r="E235" s="13">
        <v>45894</v>
      </c>
      <c r="F235" s="107" t="str">
        <f ca="1">IF(CDB[[#This Row],[Data]]-TODAY()&lt;1,"Não","Sim")</f>
        <v>Não</v>
      </c>
    </row>
    <row r="236" spans="1:6" x14ac:dyDescent="0.25">
      <c r="A236" s="9" t="s">
        <v>28</v>
      </c>
      <c r="B236" s="11">
        <f t="shared" si="24"/>
        <v>3.0651288076018224</v>
      </c>
      <c r="C236" s="12">
        <v>2E-3</v>
      </c>
      <c r="D236" s="30">
        <f t="shared" si="29"/>
        <v>3.071259065217026</v>
      </c>
      <c r="E236" s="13">
        <v>45895</v>
      </c>
      <c r="F236" s="107" t="str">
        <f ca="1">IF(CDB[[#This Row],[Data]]-TODAY()&lt;1,"Não","Sim")</f>
        <v>Não</v>
      </c>
    </row>
    <row r="237" spans="1:6" x14ac:dyDescent="0.25">
      <c r="A237" s="9" t="s">
        <v>28</v>
      </c>
      <c r="B237" s="11">
        <f t="shared" si="24"/>
        <v>3.071259065217026</v>
      </c>
      <c r="C237" s="12">
        <v>2E-3</v>
      </c>
      <c r="D237" s="30">
        <f t="shared" si="29"/>
        <v>3.0774015833474602</v>
      </c>
      <c r="E237" s="13">
        <v>45896</v>
      </c>
      <c r="F237" s="107" t="str">
        <f ca="1">IF(CDB[[#This Row],[Data]]-TODAY()&lt;1,"Não","Sim")</f>
        <v>Não</v>
      </c>
    </row>
    <row r="238" spans="1:6" x14ac:dyDescent="0.25">
      <c r="A238" s="9" t="s">
        <v>28</v>
      </c>
      <c r="B238" s="11">
        <f t="shared" si="24"/>
        <v>3.0774015833474602</v>
      </c>
      <c r="C238" s="12">
        <v>2E-3</v>
      </c>
      <c r="D238" s="30">
        <f t="shared" si="29"/>
        <v>3.0835563865141551</v>
      </c>
      <c r="E238" s="13">
        <v>45897</v>
      </c>
      <c r="F238" s="107" t="str">
        <f ca="1">IF(CDB[[#This Row],[Data]]-TODAY()&lt;1,"Não","Sim")</f>
        <v>Não</v>
      </c>
    </row>
    <row r="239" spans="1:6" x14ac:dyDescent="0.25">
      <c r="A239" s="9" t="s">
        <v>28</v>
      </c>
      <c r="B239" s="11">
        <f t="shared" si="24"/>
        <v>3.0835563865141551</v>
      </c>
      <c r="C239" s="12">
        <v>2E-3</v>
      </c>
      <c r="D239" s="30">
        <f t="shared" si="29"/>
        <v>3.0897234992871834</v>
      </c>
      <c r="E239" s="13">
        <v>45898</v>
      </c>
      <c r="F239" s="107" t="str">
        <f ca="1">IF(CDB[[#This Row],[Data]]-TODAY()&lt;1,"Não","Sim")</f>
        <v>Não</v>
      </c>
    </row>
    <row r="240" spans="1:6" x14ac:dyDescent="0.25">
      <c r="A240" s="9" t="s">
        <v>28</v>
      </c>
      <c r="B240" s="11">
        <f t="shared" si="24"/>
        <v>3.0897234992871834</v>
      </c>
      <c r="C240" s="12">
        <v>2E-3</v>
      </c>
      <c r="D240" s="30">
        <f t="shared" si="29"/>
        <v>3.0959029462857579</v>
      </c>
      <c r="E240" s="13">
        <v>45899</v>
      </c>
      <c r="F240" s="107" t="str">
        <f ca="1">IF(CDB[[#This Row],[Data]]-TODAY()&lt;1,"Não","Sim")</f>
        <v>Não</v>
      </c>
    </row>
    <row r="241" spans="1:6" x14ac:dyDescent="0.25">
      <c r="A241" s="9" t="s">
        <v>28</v>
      </c>
      <c r="B241" s="11">
        <f t="shared" si="24"/>
        <v>3.0959029462857579</v>
      </c>
      <c r="C241" s="12">
        <v>2E-3</v>
      </c>
      <c r="D241" s="30">
        <f t="shared" si="29"/>
        <v>3.1020947521783295</v>
      </c>
      <c r="E241" s="13">
        <v>45900</v>
      </c>
      <c r="F241" s="107" t="str">
        <f ca="1">IF(CDB[[#This Row],[Data]]-TODAY()&lt;1,"Não","Sim")</f>
        <v>Não</v>
      </c>
    </row>
    <row r="242" spans="1:6" x14ac:dyDescent="0.25">
      <c r="A242" s="9" t="s">
        <v>28</v>
      </c>
      <c r="B242" s="11">
        <f t="shared" si="24"/>
        <v>3.1020947521783295</v>
      </c>
      <c r="C242" s="12">
        <v>2E-3</v>
      </c>
      <c r="D242" s="30">
        <f t="shared" si="29"/>
        <v>3.1082989416826861</v>
      </c>
      <c r="E242" s="13">
        <v>45901</v>
      </c>
      <c r="F242" s="107" t="str">
        <f ca="1">IF(CDB[[#This Row],[Data]]-TODAY()&lt;1,"Não","Sim")</f>
        <v>Não</v>
      </c>
    </row>
    <row r="243" spans="1:6" x14ac:dyDescent="0.25">
      <c r="A243" s="9" t="s">
        <v>28</v>
      </c>
      <c r="B243" s="11">
        <f t="shared" si="24"/>
        <v>3.1082989416826861</v>
      </c>
      <c r="C243" s="12">
        <v>2E-3</v>
      </c>
      <c r="D243" s="30">
        <f t="shared" si="29"/>
        <v>3.1145155395660513</v>
      </c>
      <c r="E243" s="13">
        <v>45902</v>
      </c>
      <c r="F243" s="107" t="str">
        <f ca="1">IF(CDB[[#This Row],[Data]]-TODAY()&lt;1,"Não","Sim")</f>
        <v>Não</v>
      </c>
    </row>
    <row r="244" spans="1:6" x14ac:dyDescent="0.25">
      <c r="A244" s="9" t="s">
        <v>28</v>
      </c>
      <c r="B244" s="11">
        <f t="shared" si="24"/>
        <v>3.1145155395660513</v>
      </c>
      <c r="C244" s="12">
        <v>2E-3</v>
      </c>
      <c r="D244" s="30">
        <f t="shared" ref="D244:D275" si="30">B244+(C244*B244)</f>
        <v>3.1207445706451833</v>
      </c>
      <c r="E244" s="13">
        <v>45903</v>
      </c>
      <c r="F244" s="107" t="str">
        <f ca="1">IF(CDB[[#This Row],[Data]]-TODAY()&lt;1,"Não","Sim")</f>
        <v>Não</v>
      </c>
    </row>
    <row r="245" spans="1:6" x14ac:dyDescent="0.25">
      <c r="A245" s="9" t="s">
        <v>28</v>
      </c>
      <c r="B245" s="11">
        <f t="shared" si="24"/>
        <v>3.1207445706451833</v>
      </c>
      <c r="C245" s="12">
        <v>2E-3</v>
      </c>
      <c r="D245" s="30">
        <f t="shared" si="30"/>
        <v>3.1269860597864736</v>
      </c>
      <c r="E245" s="13">
        <v>45904</v>
      </c>
      <c r="F245" s="107" t="str">
        <f ca="1">IF(CDB[[#This Row],[Data]]-TODAY()&lt;1,"Não","Sim")</f>
        <v>Não</v>
      </c>
    </row>
    <row r="246" spans="1:6" x14ac:dyDescent="0.25">
      <c r="A246" s="9" t="s">
        <v>28</v>
      </c>
      <c r="B246" s="11">
        <f t="shared" si="24"/>
        <v>3.1269860597864736</v>
      </c>
      <c r="C246" s="12">
        <v>2E-3</v>
      </c>
      <c r="D246" s="30">
        <f t="shared" si="30"/>
        <v>3.1332400319060465</v>
      </c>
      <c r="E246" s="13">
        <v>45905</v>
      </c>
      <c r="F246" s="107" t="str">
        <f ca="1">IF(CDB[[#This Row],[Data]]-TODAY()&lt;1,"Não","Sim")</f>
        <v>Não</v>
      </c>
    </row>
    <row r="247" spans="1:6" x14ac:dyDescent="0.25">
      <c r="A247" s="9" t="s">
        <v>28</v>
      </c>
      <c r="B247" s="11">
        <f t="shared" si="24"/>
        <v>3.1332400319060465</v>
      </c>
      <c r="C247" s="12">
        <v>2E-3</v>
      </c>
      <c r="D247" s="30">
        <f t="shared" si="30"/>
        <v>3.1395065119698584</v>
      </c>
      <c r="E247" s="13">
        <v>45906</v>
      </c>
      <c r="F247" s="107" t="str">
        <f ca="1">IF(CDB[[#This Row],[Data]]-TODAY()&lt;1,"Não","Sim")</f>
        <v>Não</v>
      </c>
    </row>
    <row r="248" spans="1:6" x14ac:dyDescent="0.25">
      <c r="A248" s="9" t="s">
        <v>28</v>
      </c>
      <c r="B248" s="11">
        <f t="shared" si="24"/>
        <v>3.1395065119698584</v>
      </c>
      <c r="C248" s="12">
        <v>2E-3</v>
      </c>
      <c r="D248" s="30">
        <f t="shared" si="30"/>
        <v>3.1457855249937983</v>
      </c>
      <c r="E248" s="13">
        <v>45907</v>
      </c>
      <c r="F248" s="107" t="str">
        <f ca="1">IF(CDB[[#This Row],[Data]]-TODAY()&lt;1,"Não","Sim")</f>
        <v>Não</v>
      </c>
    </row>
    <row r="249" spans="1:6" x14ac:dyDescent="0.25">
      <c r="A249" s="9" t="s">
        <v>28</v>
      </c>
      <c r="B249" s="11">
        <f t="shared" si="24"/>
        <v>3.1457855249937983</v>
      </c>
      <c r="C249" s="12">
        <v>2E-3</v>
      </c>
      <c r="D249" s="30">
        <f t="shared" si="30"/>
        <v>3.1520770960437861</v>
      </c>
      <c r="E249" s="13">
        <v>45908</v>
      </c>
      <c r="F249" s="107" t="str">
        <f ca="1">IF(CDB[[#This Row],[Data]]-TODAY()&lt;1,"Não","Sim")</f>
        <v>Não</v>
      </c>
    </row>
    <row r="250" spans="1:6" x14ac:dyDescent="0.25">
      <c r="A250" s="9" t="s">
        <v>28</v>
      </c>
      <c r="B250" s="11">
        <f t="shared" si="24"/>
        <v>3.1520770960437861</v>
      </c>
      <c r="C250" s="12">
        <v>2E-3</v>
      </c>
      <c r="D250" s="30">
        <f t="shared" si="30"/>
        <v>3.1583812502358737</v>
      </c>
      <c r="E250" s="13">
        <v>45909</v>
      </c>
      <c r="F250" s="107" t="str">
        <f ca="1">IF(CDB[[#This Row],[Data]]-TODAY()&lt;1,"Não","Sim")</f>
        <v>Não</v>
      </c>
    </row>
    <row r="251" spans="1:6" x14ac:dyDescent="0.25">
      <c r="A251" s="9" t="s">
        <v>28</v>
      </c>
      <c r="B251" s="11">
        <f t="shared" si="24"/>
        <v>3.1583812502358737</v>
      </c>
      <c r="C251" s="12">
        <v>2E-3</v>
      </c>
      <c r="D251" s="30">
        <f t="shared" si="30"/>
        <v>3.1646980127363453</v>
      </c>
      <c r="E251" s="13">
        <v>45910</v>
      </c>
      <c r="F251" s="107" t="str">
        <f ca="1">IF(CDB[[#This Row],[Data]]-TODAY()&lt;1,"Não","Sim")</f>
        <v>Não</v>
      </c>
    </row>
    <row r="252" spans="1:6" x14ac:dyDescent="0.25">
      <c r="A252" s="9" t="s">
        <v>28</v>
      </c>
      <c r="B252" s="11">
        <f t="shared" si="24"/>
        <v>3.1646980127363453</v>
      </c>
      <c r="C252" s="12">
        <v>2E-3</v>
      </c>
      <c r="D252" s="30">
        <f t="shared" si="30"/>
        <v>3.1710274087618182</v>
      </c>
      <c r="E252" s="13">
        <v>45911</v>
      </c>
      <c r="F252" s="107" t="str">
        <f ca="1">IF(CDB[[#This Row],[Data]]-TODAY()&lt;1,"Não","Sim")</f>
        <v>Não</v>
      </c>
    </row>
    <row r="253" spans="1:6" x14ac:dyDescent="0.25">
      <c r="A253" s="9" t="s">
        <v>28</v>
      </c>
      <c r="B253" s="11">
        <f t="shared" si="24"/>
        <v>3.1710274087618182</v>
      </c>
      <c r="C253" s="12">
        <v>2E-3</v>
      </c>
      <c r="D253" s="30">
        <f t="shared" si="30"/>
        <v>3.1773694635793417</v>
      </c>
      <c r="E253" s="13">
        <v>45912</v>
      </c>
      <c r="F253" s="107" t="str">
        <f ca="1">IF(CDB[[#This Row],[Data]]-TODAY()&lt;1,"Não","Sim")</f>
        <v>Não</v>
      </c>
    </row>
    <row r="254" spans="1:6" x14ac:dyDescent="0.25">
      <c r="A254" s="9" t="s">
        <v>28</v>
      </c>
      <c r="B254" s="11">
        <f t="shared" si="24"/>
        <v>3.1773694635793417</v>
      </c>
      <c r="C254" s="12">
        <v>2E-3</v>
      </c>
      <c r="D254" s="30">
        <f t="shared" si="30"/>
        <v>3.1837242025065002</v>
      </c>
      <c r="E254" s="13">
        <v>45913</v>
      </c>
      <c r="F254" s="107" t="str">
        <f ca="1">IF(CDB[[#This Row],[Data]]-TODAY()&lt;1,"Não","Sim")</f>
        <v>Não</v>
      </c>
    </row>
    <row r="255" spans="1:6" x14ac:dyDescent="0.25">
      <c r="A255" s="9" t="s">
        <v>28</v>
      </c>
      <c r="B255" s="11">
        <f t="shared" si="24"/>
        <v>3.1837242025065002</v>
      </c>
      <c r="C255" s="12">
        <v>2E-3</v>
      </c>
      <c r="D255" s="30">
        <f t="shared" si="30"/>
        <v>3.1900916509115134</v>
      </c>
      <c r="E255" s="13">
        <v>45914</v>
      </c>
      <c r="F255" s="107" t="str">
        <f ca="1">IF(CDB[[#This Row],[Data]]-TODAY()&lt;1,"Não","Sim")</f>
        <v>Não</v>
      </c>
    </row>
    <row r="256" spans="1:6" x14ac:dyDescent="0.25">
      <c r="A256" s="9" t="s">
        <v>28</v>
      </c>
      <c r="B256" s="11">
        <f t="shared" si="24"/>
        <v>3.1900916509115134</v>
      </c>
      <c r="C256" s="12">
        <v>2E-3</v>
      </c>
      <c r="D256" s="30">
        <f t="shared" si="30"/>
        <v>3.1964718342133365</v>
      </c>
      <c r="E256" s="13">
        <v>45915</v>
      </c>
      <c r="F256" s="107" t="str">
        <f ca="1">IF(CDB[[#This Row],[Data]]-TODAY()&lt;1,"Não","Sim")</f>
        <v>Não</v>
      </c>
    </row>
    <row r="257" spans="1:6" x14ac:dyDescent="0.25">
      <c r="A257" s="9" t="s">
        <v>28</v>
      </c>
      <c r="B257" s="11">
        <f t="shared" si="24"/>
        <v>3.1964718342133365</v>
      </c>
      <c r="C257" s="12">
        <v>2E-3</v>
      </c>
      <c r="D257" s="30">
        <f t="shared" si="30"/>
        <v>3.2028647778817629</v>
      </c>
      <c r="E257" s="13">
        <v>45916</v>
      </c>
      <c r="F257" s="107" t="str">
        <f ca="1">IF(CDB[[#This Row],[Data]]-TODAY()&lt;1,"Não","Sim")</f>
        <v>Não</v>
      </c>
    </row>
    <row r="258" spans="1:6" x14ac:dyDescent="0.25">
      <c r="A258" s="9" t="s">
        <v>28</v>
      </c>
      <c r="B258" s="11">
        <f t="shared" ref="B258:B322" si="31">D257</f>
        <v>3.2028647778817629</v>
      </c>
      <c r="C258" s="12">
        <v>2E-3</v>
      </c>
      <c r="D258" s="30">
        <f t="shared" si="30"/>
        <v>3.2092705074375263</v>
      </c>
      <c r="E258" s="13">
        <v>45917</v>
      </c>
      <c r="F258" s="107" t="str">
        <f ca="1">IF(CDB[[#This Row],[Data]]-TODAY()&lt;1,"Não","Sim")</f>
        <v>Não</v>
      </c>
    </row>
    <row r="259" spans="1:6" x14ac:dyDescent="0.25">
      <c r="A259" s="9" t="s">
        <v>28</v>
      </c>
      <c r="B259" s="11">
        <f t="shared" si="31"/>
        <v>3.2092705074375263</v>
      </c>
      <c r="C259" s="12">
        <v>2E-3</v>
      </c>
      <c r="D259" s="30">
        <f t="shared" si="30"/>
        <v>3.2156890484524014</v>
      </c>
      <c r="E259" s="13">
        <v>45918</v>
      </c>
      <c r="F259" s="107" t="str">
        <f ca="1">IF(CDB[[#This Row],[Data]]-TODAY()&lt;1,"Não","Sim")</f>
        <v>Não</v>
      </c>
    </row>
    <row r="260" spans="1:6" x14ac:dyDescent="0.25">
      <c r="A260" s="9" t="s">
        <v>28</v>
      </c>
      <c r="B260" s="11">
        <f t="shared" si="31"/>
        <v>3.2156890484524014</v>
      </c>
      <c r="C260" s="12">
        <v>2E-3</v>
      </c>
      <c r="D260" s="30">
        <f t="shared" si="30"/>
        <v>3.2221204265493064</v>
      </c>
      <c r="E260" s="13">
        <v>45919</v>
      </c>
      <c r="F260" s="107" t="str">
        <f ca="1">IF(CDB[[#This Row],[Data]]-TODAY()&lt;1,"Não","Sim")</f>
        <v>Não</v>
      </c>
    </row>
    <row r="261" spans="1:6" x14ac:dyDescent="0.25">
      <c r="A261" s="9" t="s">
        <v>28</v>
      </c>
      <c r="B261" s="11">
        <f t="shared" si="31"/>
        <v>3.2221204265493064</v>
      </c>
      <c r="C261" s="12">
        <v>2E-3</v>
      </c>
      <c r="D261" s="30">
        <f t="shared" si="30"/>
        <v>3.2285646674024049</v>
      </c>
      <c r="E261" s="13">
        <v>45920</v>
      </c>
      <c r="F261" s="107" t="str">
        <f ca="1">IF(CDB[[#This Row],[Data]]-TODAY()&lt;1,"Não","Sim")</f>
        <v>Não</v>
      </c>
    </row>
    <row r="262" spans="1:6" x14ac:dyDescent="0.25">
      <c r="A262" s="9" t="s">
        <v>28</v>
      </c>
      <c r="B262" s="11">
        <f t="shared" si="31"/>
        <v>3.2285646674024049</v>
      </c>
      <c r="C262" s="12">
        <v>2E-3</v>
      </c>
      <c r="D262" s="30">
        <f t="shared" si="30"/>
        <v>3.2350217967372097</v>
      </c>
      <c r="E262" s="13">
        <v>45921</v>
      </c>
      <c r="F262" s="107" t="str">
        <f ca="1">IF(CDB[[#This Row],[Data]]-TODAY()&lt;1,"Não","Sim")</f>
        <v>Não</v>
      </c>
    </row>
    <row r="263" spans="1:6" x14ac:dyDescent="0.25">
      <c r="A263" s="9" t="s">
        <v>28</v>
      </c>
      <c r="B263" s="11">
        <f t="shared" si="31"/>
        <v>3.2350217967372097</v>
      </c>
      <c r="C263" s="12">
        <v>2E-3</v>
      </c>
      <c r="D263" s="30">
        <f t="shared" si="30"/>
        <v>3.241491840330684</v>
      </c>
      <c r="E263" s="13">
        <v>45922</v>
      </c>
      <c r="F263" s="107" t="str">
        <f ca="1">IF(CDB[[#This Row],[Data]]-TODAY()&lt;1,"Não","Sim")</f>
        <v>Não</v>
      </c>
    </row>
    <row r="264" spans="1:6" x14ac:dyDescent="0.25">
      <c r="A264" s="9" t="s">
        <v>28</v>
      </c>
      <c r="B264" s="11">
        <f t="shared" si="31"/>
        <v>3.241491840330684</v>
      </c>
      <c r="C264" s="12">
        <v>2E-3</v>
      </c>
      <c r="D264" s="30">
        <f t="shared" si="30"/>
        <v>3.2479748240113455</v>
      </c>
      <c r="E264" s="13">
        <v>45923</v>
      </c>
      <c r="F264" s="107" t="str">
        <f ca="1">IF(CDB[[#This Row],[Data]]-TODAY()&lt;1,"Não","Sim")</f>
        <v>Não</v>
      </c>
    </row>
    <row r="265" spans="1:6" x14ac:dyDescent="0.25">
      <c r="A265" s="9" t="s">
        <v>28</v>
      </c>
      <c r="B265" s="11">
        <f t="shared" si="31"/>
        <v>3.2479748240113455</v>
      </c>
      <c r="C265" s="12">
        <v>2E-3</v>
      </c>
      <c r="D265" s="30">
        <f t="shared" si="30"/>
        <v>3.2544707736593681</v>
      </c>
      <c r="E265" s="13">
        <v>45924</v>
      </c>
      <c r="F265" s="107" t="str">
        <f ca="1">IF(CDB[[#This Row],[Data]]-TODAY()&lt;1,"Não","Sim")</f>
        <v>Não</v>
      </c>
    </row>
    <row r="266" spans="1:6" x14ac:dyDescent="0.25">
      <c r="A266" s="9" t="s">
        <v>28</v>
      </c>
      <c r="B266" s="11">
        <f t="shared" si="31"/>
        <v>3.2544707736593681</v>
      </c>
      <c r="C266" s="12">
        <v>2E-3</v>
      </c>
      <c r="D266" s="30">
        <f t="shared" si="30"/>
        <v>3.2609797152066866</v>
      </c>
      <c r="E266" s="13">
        <v>45925</v>
      </c>
      <c r="F266" s="107" t="str">
        <f ca="1">IF(CDB[[#This Row],[Data]]-TODAY()&lt;1,"Não","Sim")</f>
        <v>Não</v>
      </c>
    </row>
    <row r="267" spans="1:6" x14ac:dyDescent="0.25">
      <c r="A267" s="9" t="s">
        <v>28</v>
      </c>
      <c r="B267" s="11">
        <f t="shared" si="31"/>
        <v>3.2609797152066866</v>
      </c>
      <c r="C267" s="12">
        <v>2E-3</v>
      </c>
      <c r="D267" s="30">
        <f t="shared" si="30"/>
        <v>3.2675016746371002</v>
      </c>
      <c r="E267" s="13">
        <v>45926</v>
      </c>
      <c r="F267" s="107" t="str">
        <f ca="1">IF(CDB[[#This Row],[Data]]-TODAY()&lt;1,"Não","Sim")</f>
        <v>Não</v>
      </c>
    </row>
    <row r="268" spans="1:6" x14ac:dyDescent="0.25">
      <c r="A268" s="9" t="s">
        <v>28</v>
      </c>
      <c r="B268" s="11">
        <f t="shared" si="31"/>
        <v>3.2675016746371002</v>
      </c>
      <c r="C268" s="12">
        <v>2E-3</v>
      </c>
      <c r="D268" s="30">
        <f t="shared" si="30"/>
        <v>3.2740366779863743</v>
      </c>
      <c r="E268" s="13">
        <v>45927</v>
      </c>
      <c r="F268" s="107" t="str">
        <f ca="1">IF(CDB[[#This Row],[Data]]-TODAY()&lt;1,"Não","Sim")</f>
        <v>Não</v>
      </c>
    </row>
    <row r="269" spans="1:6" x14ac:dyDescent="0.25">
      <c r="A269" s="9" t="s">
        <v>28</v>
      </c>
      <c r="B269" s="11">
        <f t="shared" si="31"/>
        <v>3.2740366779863743</v>
      </c>
      <c r="C269" s="12">
        <v>2E-3</v>
      </c>
      <c r="D269" s="30">
        <f t="shared" si="30"/>
        <v>3.2805847513423472</v>
      </c>
      <c r="E269" s="13">
        <v>45928</v>
      </c>
      <c r="F269" s="107" t="str">
        <f ca="1">IF(CDB[[#This Row],[Data]]-TODAY()&lt;1,"Não","Sim")</f>
        <v>Não</v>
      </c>
    </row>
    <row r="270" spans="1:6" x14ac:dyDescent="0.25">
      <c r="A270" s="9" t="s">
        <v>28</v>
      </c>
      <c r="B270" s="11">
        <f t="shared" si="31"/>
        <v>3.2805847513423472</v>
      </c>
      <c r="C270" s="12">
        <v>2E-3</v>
      </c>
      <c r="D270" s="30">
        <f t="shared" si="30"/>
        <v>3.287145920845032</v>
      </c>
      <c r="E270" s="13">
        <v>45929</v>
      </c>
      <c r="F270" s="107" t="str">
        <f ca="1">IF(CDB[[#This Row],[Data]]-TODAY()&lt;1,"Não","Sim")</f>
        <v>Não</v>
      </c>
    </row>
    <row r="271" spans="1:6" x14ac:dyDescent="0.25">
      <c r="A271" s="9" t="s">
        <v>28</v>
      </c>
      <c r="B271" s="11">
        <f t="shared" si="31"/>
        <v>3.287145920845032</v>
      </c>
      <c r="C271" s="12">
        <v>2E-3</v>
      </c>
      <c r="D271" s="30">
        <f t="shared" si="30"/>
        <v>3.293720212686722</v>
      </c>
      <c r="E271" s="13">
        <v>45930</v>
      </c>
      <c r="F271" s="107" t="str">
        <f ca="1">IF(CDB[[#This Row],[Data]]-TODAY()&lt;1,"Não","Sim")</f>
        <v>Não</v>
      </c>
    </row>
    <row r="272" spans="1:6" x14ac:dyDescent="0.25">
      <c r="A272" s="9" t="s">
        <v>28</v>
      </c>
      <c r="B272" s="11">
        <f t="shared" si="31"/>
        <v>3.293720212686722</v>
      </c>
      <c r="C272" s="12">
        <v>2E-3</v>
      </c>
      <c r="D272" s="30">
        <f t="shared" si="30"/>
        <v>3.3003076531120956</v>
      </c>
      <c r="E272" s="13">
        <v>45931</v>
      </c>
      <c r="F272" s="107" t="str">
        <f ca="1">IF(CDB[[#This Row],[Data]]-TODAY()&lt;1,"Não","Sim")</f>
        <v>Não</v>
      </c>
    </row>
    <row r="273" spans="1:6" x14ac:dyDescent="0.25">
      <c r="A273" s="9" t="s">
        <v>28</v>
      </c>
      <c r="B273" s="11">
        <f t="shared" si="31"/>
        <v>3.3003076531120956</v>
      </c>
      <c r="C273" s="12">
        <v>2E-3</v>
      </c>
      <c r="D273" s="30">
        <f t="shared" si="30"/>
        <v>3.30690826841832</v>
      </c>
      <c r="E273" s="13">
        <v>45932</v>
      </c>
      <c r="F273" s="107" t="str">
        <f ca="1">IF(CDB[[#This Row],[Data]]-TODAY()&lt;1,"Não","Sim")</f>
        <v>Não</v>
      </c>
    </row>
    <row r="274" spans="1:6" x14ac:dyDescent="0.25">
      <c r="A274" s="9" t="s">
        <v>28</v>
      </c>
      <c r="B274" s="11">
        <f t="shared" si="31"/>
        <v>3.30690826841832</v>
      </c>
      <c r="C274" s="12">
        <v>2E-3</v>
      </c>
      <c r="D274" s="30">
        <f t="shared" si="30"/>
        <v>3.3135220849551565</v>
      </c>
      <c r="E274" s="13">
        <v>45933</v>
      </c>
      <c r="F274" s="107" t="str">
        <f ca="1">IF(CDB[[#This Row],[Data]]-TODAY()&lt;1,"Não","Sim")</f>
        <v>Não</v>
      </c>
    </row>
    <row r="275" spans="1:6" x14ac:dyDescent="0.25">
      <c r="A275" s="9" t="s">
        <v>28</v>
      </c>
      <c r="B275" s="11">
        <f t="shared" si="31"/>
        <v>3.3135220849551565</v>
      </c>
      <c r="C275" s="12">
        <v>2E-3</v>
      </c>
      <c r="D275" s="30">
        <f t="shared" si="30"/>
        <v>3.3201491291250669</v>
      </c>
      <c r="E275" s="13">
        <v>45934</v>
      </c>
      <c r="F275" s="107" t="str">
        <f ca="1">IF(CDB[[#This Row],[Data]]-TODAY()&lt;1,"Não","Sim")</f>
        <v>Não</v>
      </c>
    </row>
    <row r="276" spans="1:6" x14ac:dyDescent="0.25">
      <c r="A276" s="9" t="s">
        <v>28</v>
      </c>
      <c r="B276" s="11">
        <f t="shared" si="31"/>
        <v>3.3201491291250669</v>
      </c>
      <c r="C276" s="12">
        <v>2E-3</v>
      </c>
      <c r="D276" s="30">
        <f t="shared" ref="D276:D307" si="32">B276+(C276*B276)</f>
        <v>3.326789427383317</v>
      </c>
      <c r="E276" s="13">
        <v>45935</v>
      </c>
      <c r="F276" s="107" t="str">
        <f ca="1">IF(CDB[[#This Row],[Data]]-TODAY()&lt;1,"Não","Sim")</f>
        <v>Não</v>
      </c>
    </row>
    <row r="277" spans="1:6" x14ac:dyDescent="0.25">
      <c r="A277" s="9" t="s">
        <v>28</v>
      </c>
      <c r="B277" s="11">
        <f t="shared" si="31"/>
        <v>3.326789427383317</v>
      </c>
      <c r="C277" s="12">
        <v>2E-3</v>
      </c>
      <c r="D277" s="30">
        <f t="shared" si="32"/>
        <v>3.3334430062380838</v>
      </c>
      <c r="E277" s="13">
        <v>45936</v>
      </c>
      <c r="F277" s="107" t="str">
        <f ca="1">IF(CDB[[#This Row],[Data]]-TODAY()&lt;1,"Não","Sim")</f>
        <v>Não</v>
      </c>
    </row>
    <row r="278" spans="1:6" x14ac:dyDescent="0.25">
      <c r="A278" s="9" t="s">
        <v>28</v>
      </c>
      <c r="B278" s="11">
        <f t="shared" si="31"/>
        <v>3.3334430062380838</v>
      </c>
      <c r="C278" s="12">
        <v>2E-3</v>
      </c>
      <c r="D278" s="30">
        <f t="shared" si="32"/>
        <v>3.3401098922505601</v>
      </c>
      <c r="E278" s="13">
        <v>45937</v>
      </c>
      <c r="F278" s="107" t="str">
        <f ca="1">IF(CDB[[#This Row],[Data]]-TODAY()&lt;1,"Não","Sim")</f>
        <v>Não</v>
      </c>
    </row>
    <row r="279" spans="1:6" x14ac:dyDescent="0.25">
      <c r="A279" s="9" t="s">
        <v>28</v>
      </c>
      <c r="B279" s="11">
        <f t="shared" si="31"/>
        <v>3.3401098922505601</v>
      </c>
      <c r="C279" s="12">
        <v>2E-3</v>
      </c>
      <c r="D279" s="30">
        <f t="shared" si="32"/>
        <v>3.3467901120350612</v>
      </c>
      <c r="E279" s="13">
        <v>45938</v>
      </c>
      <c r="F279" s="107" t="str">
        <f ca="1">IF(CDB[[#This Row],[Data]]-TODAY()&lt;1,"Não","Sim")</f>
        <v>Não</v>
      </c>
    </row>
    <row r="280" spans="1:6" x14ac:dyDescent="0.25">
      <c r="A280" s="9" t="s">
        <v>28</v>
      </c>
      <c r="B280" s="11">
        <f t="shared" si="31"/>
        <v>3.3467901120350612</v>
      </c>
      <c r="C280" s="12">
        <v>2E-3</v>
      </c>
      <c r="D280" s="30">
        <f t="shared" si="32"/>
        <v>3.3534836922591311</v>
      </c>
      <c r="E280" s="13">
        <v>45939</v>
      </c>
      <c r="F280" s="107" t="str">
        <f ca="1">IF(CDB[[#This Row],[Data]]-TODAY()&lt;1,"Não","Sim")</f>
        <v>Não</v>
      </c>
    </row>
    <row r="281" spans="1:6" x14ac:dyDescent="0.25">
      <c r="A281" s="9" t="s">
        <v>28</v>
      </c>
      <c r="B281" s="11">
        <f t="shared" si="31"/>
        <v>3.3534836922591311</v>
      </c>
      <c r="C281" s="12">
        <v>2E-3</v>
      </c>
      <c r="D281" s="30">
        <f t="shared" si="32"/>
        <v>3.3601906596436493</v>
      </c>
      <c r="E281" s="13">
        <v>45940</v>
      </c>
      <c r="F281" s="107" t="str">
        <f ca="1">IF(CDB[[#This Row],[Data]]-TODAY()&lt;1,"Não","Sim")</f>
        <v>Não</v>
      </c>
    </row>
    <row r="282" spans="1:6" x14ac:dyDescent="0.25">
      <c r="A282" s="9" t="s">
        <v>28</v>
      </c>
      <c r="B282" s="11">
        <f t="shared" si="31"/>
        <v>3.3601906596436493</v>
      </c>
      <c r="C282" s="12">
        <v>2E-3</v>
      </c>
      <c r="D282" s="30">
        <f t="shared" si="32"/>
        <v>3.3669110409629366</v>
      </c>
      <c r="E282" s="13">
        <v>45941</v>
      </c>
      <c r="F282" s="107" t="str">
        <f ca="1">IF(CDB[[#This Row],[Data]]-TODAY()&lt;1,"Não","Sim")</f>
        <v>Não</v>
      </c>
    </row>
    <row r="283" spans="1:6" x14ac:dyDescent="0.25">
      <c r="A283" s="9" t="s">
        <v>28</v>
      </c>
      <c r="B283" s="11">
        <f t="shared" si="31"/>
        <v>3.3669110409629366</v>
      </c>
      <c r="C283" s="12">
        <v>2E-3</v>
      </c>
      <c r="D283" s="30">
        <f t="shared" si="32"/>
        <v>3.3736448630448623</v>
      </c>
      <c r="E283" s="13">
        <v>45942</v>
      </c>
      <c r="F283" s="107" t="str">
        <f ca="1">IF(CDB[[#This Row],[Data]]-TODAY()&lt;1,"Não","Sim")</f>
        <v>Não</v>
      </c>
    </row>
    <row r="284" spans="1:6" x14ac:dyDescent="0.25">
      <c r="A284" s="9" t="s">
        <v>28</v>
      </c>
      <c r="B284" s="11">
        <f t="shared" si="31"/>
        <v>3.3736448630448623</v>
      </c>
      <c r="C284" s="12">
        <v>2E-3</v>
      </c>
      <c r="D284" s="30">
        <f t="shared" si="32"/>
        <v>3.380392152770952</v>
      </c>
      <c r="E284" s="13">
        <v>45943</v>
      </c>
      <c r="F284" s="107" t="str">
        <f ca="1">IF(CDB[[#This Row],[Data]]-TODAY()&lt;1,"Não","Sim")</f>
        <v>Não</v>
      </c>
    </row>
    <row r="285" spans="1:6" x14ac:dyDescent="0.25">
      <c r="A285" s="9" t="s">
        <v>28</v>
      </c>
      <c r="B285" s="11">
        <f t="shared" si="31"/>
        <v>3.380392152770952</v>
      </c>
      <c r="C285" s="12">
        <v>2E-3</v>
      </c>
      <c r="D285" s="30">
        <f t="shared" si="32"/>
        <v>3.3871529370764937</v>
      </c>
      <c r="E285" s="13">
        <v>45944</v>
      </c>
      <c r="F285" s="107" t="str">
        <f ca="1">IF(CDB[[#This Row],[Data]]-TODAY()&lt;1,"Não","Sim")</f>
        <v>Não</v>
      </c>
    </row>
    <row r="286" spans="1:6" x14ac:dyDescent="0.25">
      <c r="A286" s="9" t="s">
        <v>28</v>
      </c>
      <c r="B286" s="11">
        <f t="shared" si="31"/>
        <v>3.3871529370764937</v>
      </c>
      <c r="C286" s="12">
        <v>2E-3</v>
      </c>
      <c r="D286" s="30">
        <f t="shared" si="32"/>
        <v>3.3939272429506468</v>
      </c>
      <c r="E286" s="13">
        <v>45945</v>
      </c>
      <c r="F286" s="107" t="str">
        <f ca="1">IF(CDB[[#This Row],[Data]]-TODAY()&lt;1,"Não","Sim")</f>
        <v>Não</v>
      </c>
    </row>
    <row r="287" spans="1:6" x14ac:dyDescent="0.25">
      <c r="A287" s="9" t="s">
        <v>28</v>
      </c>
      <c r="B287" s="11">
        <f t="shared" si="31"/>
        <v>3.3939272429506468</v>
      </c>
      <c r="C287" s="12">
        <v>2E-3</v>
      </c>
      <c r="D287" s="30">
        <f t="shared" si="32"/>
        <v>3.4007150974365481</v>
      </c>
      <c r="E287" s="13">
        <v>45946</v>
      </c>
      <c r="F287" s="107" t="str">
        <f ca="1">IF(CDB[[#This Row],[Data]]-TODAY()&lt;1,"Não","Sim")</f>
        <v>Não</v>
      </c>
    </row>
    <row r="288" spans="1:6" x14ac:dyDescent="0.25">
      <c r="A288" s="9" t="s">
        <v>28</v>
      </c>
      <c r="B288" s="11">
        <f t="shared" si="31"/>
        <v>3.4007150974365481</v>
      </c>
      <c r="C288" s="12">
        <v>2E-3</v>
      </c>
      <c r="D288" s="30">
        <f t="shared" si="32"/>
        <v>3.407516527631421</v>
      </c>
      <c r="E288" s="13">
        <v>45947</v>
      </c>
      <c r="F288" s="107" t="str">
        <f ca="1">IF(CDB[[#This Row],[Data]]-TODAY()&lt;1,"Não","Sim")</f>
        <v>Não</v>
      </c>
    </row>
    <row r="289" spans="1:6" x14ac:dyDescent="0.25">
      <c r="A289" s="9" t="s">
        <v>28</v>
      </c>
      <c r="B289" s="11">
        <f t="shared" si="31"/>
        <v>3.407516527631421</v>
      </c>
      <c r="C289" s="12">
        <v>2E-3</v>
      </c>
      <c r="D289" s="30">
        <f t="shared" si="32"/>
        <v>3.414331560686684</v>
      </c>
      <c r="E289" s="13">
        <v>45948</v>
      </c>
      <c r="F289" s="107" t="str">
        <f ca="1">IF(CDB[[#This Row],[Data]]-TODAY()&lt;1,"Não","Sim")</f>
        <v>Não</v>
      </c>
    </row>
    <row r="290" spans="1:6" x14ac:dyDescent="0.25">
      <c r="A290" s="9" t="s">
        <v>28</v>
      </c>
      <c r="B290" s="11">
        <f t="shared" si="31"/>
        <v>3.414331560686684</v>
      </c>
      <c r="C290" s="12">
        <v>2E-3</v>
      </c>
      <c r="D290" s="30">
        <f t="shared" si="32"/>
        <v>3.4211602238080574</v>
      </c>
      <c r="E290" s="13">
        <v>45949</v>
      </c>
      <c r="F290" s="107" t="str">
        <f ca="1">IF(CDB[[#This Row],[Data]]-TODAY()&lt;1,"Não","Sim")</f>
        <v>Não</v>
      </c>
    </row>
    <row r="291" spans="1:6" x14ac:dyDescent="0.25">
      <c r="A291" s="9" t="s">
        <v>28</v>
      </c>
      <c r="B291" s="11">
        <f t="shared" si="31"/>
        <v>3.4211602238080574</v>
      </c>
      <c r="C291" s="12">
        <v>2E-3</v>
      </c>
      <c r="D291" s="30">
        <f t="shared" si="32"/>
        <v>3.4280025442556736</v>
      </c>
      <c r="E291" s="13">
        <v>45950</v>
      </c>
      <c r="F291" s="107" t="str">
        <f ca="1">IF(CDB[[#This Row],[Data]]-TODAY()&lt;1,"Não","Sim")</f>
        <v>Não</v>
      </c>
    </row>
    <row r="292" spans="1:6" x14ac:dyDescent="0.25">
      <c r="A292" s="9" t="s">
        <v>28</v>
      </c>
      <c r="B292" s="11">
        <f t="shared" si="31"/>
        <v>3.4280025442556736</v>
      </c>
      <c r="C292" s="12">
        <v>2E-3</v>
      </c>
      <c r="D292" s="30">
        <f t="shared" si="32"/>
        <v>3.434858549344185</v>
      </c>
      <c r="E292" s="13">
        <v>45951</v>
      </c>
      <c r="F292" s="107" t="str">
        <f ca="1">IF(CDB[[#This Row],[Data]]-TODAY()&lt;1,"Não","Sim")</f>
        <v>Não</v>
      </c>
    </row>
    <row r="293" spans="1:6" x14ac:dyDescent="0.25">
      <c r="A293" s="9" t="s">
        <v>28</v>
      </c>
      <c r="B293" s="11">
        <f t="shared" si="31"/>
        <v>3.434858549344185</v>
      </c>
      <c r="C293" s="12">
        <v>2E-3</v>
      </c>
      <c r="D293" s="30">
        <f t="shared" si="32"/>
        <v>3.4417282664428734</v>
      </c>
      <c r="E293" s="13">
        <v>45952</v>
      </c>
      <c r="F293" s="107" t="str">
        <f ca="1">IF(CDB[[#This Row],[Data]]-TODAY()&lt;1,"Não","Sim")</f>
        <v>Não</v>
      </c>
    </row>
    <row r="294" spans="1:6" x14ac:dyDescent="0.25">
      <c r="A294" s="9" t="s">
        <v>28</v>
      </c>
      <c r="B294" s="11">
        <f t="shared" si="31"/>
        <v>3.4417282664428734</v>
      </c>
      <c r="C294" s="12">
        <v>2E-3</v>
      </c>
      <c r="D294" s="30">
        <f t="shared" si="32"/>
        <v>3.4486117229757594</v>
      </c>
      <c r="E294" s="13">
        <v>45953</v>
      </c>
      <c r="F294" s="107" t="str">
        <f ca="1">IF(CDB[[#This Row],[Data]]-TODAY()&lt;1,"Não","Sim")</f>
        <v>Não</v>
      </c>
    </row>
    <row r="295" spans="1:6" x14ac:dyDescent="0.25">
      <c r="A295" s="9" t="s">
        <v>28</v>
      </c>
      <c r="B295" s="11">
        <f t="shared" si="31"/>
        <v>3.4486117229757594</v>
      </c>
      <c r="C295" s="12">
        <v>2E-3</v>
      </c>
      <c r="D295" s="30">
        <f t="shared" si="32"/>
        <v>3.4555089464217108</v>
      </c>
      <c r="E295" s="13">
        <v>45954</v>
      </c>
      <c r="F295" s="107" t="str">
        <f ca="1">IF(CDB[[#This Row],[Data]]-TODAY()&lt;1,"Não","Sim")</f>
        <v>Não</v>
      </c>
    </row>
    <row r="296" spans="1:6" x14ac:dyDescent="0.25">
      <c r="A296" s="9" t="s">
        <v>28</v>
      </c>
      <c r="B296" s="11">
        <f t="shared" si="31"/>
        <v>3.4555089464217108</v>
      </c>
      <c r="C296" s="12">
        <v>2E-3</v>
      </c>
      <c r="D296" s="30">
        <f t="shared" si="32"/>
        <v>3.4624199643145541</v>
      </c>
      <c r="E296" s="13">
        <v>45955</v>
      </c>
      <c r="F296" s="107" t="str">
        <f ca="1">IF(CDB[[#This Row],[Data]]-TODAY()&lt;1,"Não","Sim")</f>
        <v>Não</v>
      </c>
    </row>
    <row r="297" spans="1:6" x14ac:dyDescent="0.25">
      <c r="A297" s="9" t="s">
        <v>28</v>
      </c>
      <c r="B297" s="11">
        <f t="shared" si="31"/>
        <v>3.4624199643145541</v>
      </c>
      <c r="C297" s="12">
        <v>2E-3</v>
      </c>
      <c r="D297" s="30">
        <f t="shared" si="32"/>
        <v>3.4693448042431831</v>
      </c>
      <c r="E297" s="13">
        <v>45956</v>
      </c>
      <c r="F297" s="107" t="str">
        <f ca="1">IF(CDB[[#This Row],[Data]]-TODAY()&lt;1,"Não","Sim")</f>
        <v>Não</v>
      </c>
    </row>
    <row r="298" spans="1:6" x14ac:dyDescent="0.25">
      <c r="A298" s="9" t="s">
        <v>28</v>
      </c>
      <c r="B298" s="11">
        <f t="shared" si="31"/>
        <v>3.4693448042431831</v>
      </c>
      <c r="C298" s="12">
        <v>2E-3</v>
      </c>
      <c r="D298" s="30">
        <f t="shared" si="32"/>
        <v>3.4762834938516693</v>
      </c>
      <c r="E298" s="13">
        <v>45957</v>
      </c>
      <c r="F298" s="107" t="str">
        <f ca="1">IF(CDB[[#This Row],[Data]]-TODAY()&lt;1,"Não","Sim")</f>
        <v>Não</v>
      </c>
    </row>
    <row r="299" spans="1:6" x14ac:dyDescent="0.25">
      <c r="A299" s="9" t="s">
        <v>28</v>
      </c>
      <c r="B299" s="11">
        <f t="shared" si="31"/>
        <v>3.4762834938516693</v>
      </c>
      <c r="C299" s="12">
        <v>2E-3</v>
      </c>
      <c r="D299" s="30">
        <f t="shared" si="32"/>
        <v>3.4832360608393729</v>
      </c>
      <c r="E299" s="13">
        <v>45958</v>
      </c>
      <c r="F299" s="107" t="str">
        <f ca="1">IF(CDB[[#This Row],[Data]]-TODAY()&lt;1,"Não","Sim")</f>
        <v>Não</v>
      </c>
    </row>
    <row r="300" spans="1:6" x14ac:dyDescent="0.25">
      <c r="A300" s="9" t="s">
        <v>28</v>
      </c>
      <c r="B300" s="11">
        <f t="shared" si="31"/>
        <v>3.4832360608393729</v>
      </c>
      <c r="C300" s="12">
        <v>2E-3</v>
      </c>
      <c r="D300" s="30">
        <f t="shared" si="32"/>
        <v>3.4902025329610518</v>
      </c>
      <c r="E300" s="13">
        <v>45959</v>
      </c>
      <c r="F300" s="107" t="str">
        <f ca="1">IF(CDB[[#This Row],[Data]]-TODAY()&lt;1,"Não","Sim")</f>
        <v>Não</v>
      </c>
    </row>
    <row r="301" spans="1:6" x14ac:dyDescent="0.25">
      <c r="A301" s="9" t="s">
        <v>28</v>
      </c>
      <c r="B301" s="11">
        <f t="shared" si="31"/>
        <v>3.4902025329610518</v>
      </c>
      <c r="C301" s="12">
        <v>2E-3</v>
      </c>
      <c r="D301" s="30">
        <f t="shared" si="32"/>
        <v>3.4971829380269739</v>
      </c>
      <c r="E301" s="13">
        <v>45960</v>
      </c>
      <c r="F301" s="107" t="str">
        <f ca="1">IF(CDB[[#This Row],[Data]]-TODAY()&lt;1,"Não","Sim")</f>
        <v>Não</v>
      </c>
    </row>
    <row r="302" spans="1:6" x14ac:dyDescent="0.25">
      <c r="A302" s="9" t="s">
        <v>28</v>
      </c>
      <c r="B302" s="11">
        <f t="shared" si="31"/>
        <v>3.4971829380269739</v>
      </c>
      <c r="C302" s="12">
        <v>2E-3</v>
      </c>
      <c r="D302" s="30">
        <f t="shared" si="32"/>
        <v>3.504177303903028</v>
      </c>
      <c r="E302" s="13">
        <v>45961</v>
      </c>
      <c r="F302" s="107" t="str">
        <f ca="1">IF(CDB[[#This Row],[Data]]-TODAY()&lt;1,"Não","Sim")</f>
        <v>Não</v>
      </c>
    </row>
    <row r="303" spans="1:6" x14ac:dyDescent="0.25">
      <c r="A303" s="9" t="s">
        <v>28</v>
      </c>
      <c r="B303" s="11">
        <f t="shared" si="31"/>
        <v>3.504177303903028</v>
      </c>
      <c r="C303" s="12">
        <v>2E-3</v>
      </c>
      <c r="D303" s="30">
        <f t="shared" si="32"/>
        <v>3.5111856585108341</v>
      </c>
      <c r="E303" s="13">
        <v>45962</v>
      </c>
      <c r="F303" s="107" t="str">
        <f ca="1">IF(CDB[[#This Row],[Data]]-TODAY()&lt;1,"Não","Sim")</f>
        <v>Não</v>
      </c>
    </row>
    <row r="304" spans="1:6" x14ac:dyDescent="0.25">
      <c r="A304" s="9" t="s">
        <v>28</v>
      </c>
      <c r="B304" s="11">
        <f t="shared" si="31"/>
        <v>3.5111856585108341</v>
      </c>
      <c r="C304" s="12">
        <v>2E-3</v>
      </c>
      <c r="D304" s="30">
        <f t="shared" si="32"/>
        <v>3.5182080298278557</v>
      </c>
      <c r="E304" s="13">
        <v>45963</v>
      </c>
      <c r="F304" s="107" t="str">
        <f ca="1">IF(CDB[[#This Row],[Data]]-TODAY()&lt;1,"Não","Sim")</f>
        <v>Não</v>
      </c>
    </row>
    <row r="305" spans="1:6" x14ac:dyDescent="0.25">
      <c r="A305" s="9" t="s">
        <v>28</v>
      </c>
      <c r="B305" s="11">
        <f t="shared" si="31"/>
        <v>3.5182080298278557</v>
      </c>
      <c r="C305" s="12">
        <v>2E-3</v>
      </c>
      <c r="D305" s="30">
        <f t="shared" si="32"/>
        <v>3.5252444458875116</v>
      </c>
      <c r="E305" s="13">
        <v>45964</v>
      </c>
      <c r="F305" s="107" t="str">
        <f ca="1">IF(CDB[[#This Row],[Data]]-TODAY()&lt;1,"Não","Sim")</f>
        <v>Não</v>
      </c>
    </row>
    <row r="306" spans="1:6" x14ac:dyDescent="0.25">
      <c r="A306" s="9" t="s">
        <v>28</v>
      </c>
      <c r="B306" s="11">
        <f t="shared" si="31"/>
        <v>3.5252444458875116</v>
      </c>
      <c r="C306" s="12">
        <v>2E-3</v>
      </c>
      <c r="D306" s="30">
        <f t="shared" si="32"/>
        <v>3.5322949347792867</v>
      </c>
      <c r="E306" s="13">
        <v>45965</v>
      </c>
      <c r="F306" s="107" t="str">
        <f ca="1">IF(CDB[[#This Row],[Data]]-TODAY()&lt;1,"Não","Sim")</f>
        <v>Não</v>
      </c>
    </row>
    <row r="307" spans="1:6" x14ac:dyDescent="0.25">
      <c r="A307" s="9" t="s">
        <v>28</v>
      </c>
      <c r="B307" s="11">
        <f t="shared" si="31"/>
        <v>3.5322949347792867</v>
      </c>
      <c r="C307" s="12">
        <v>2E-3</v>
      </c>
      <c r="D307" s="30">
        <f t="shared" si="32"/>
        <v>3.5393595246488454</v>
      </c>
      <c r="E307" s="13">
        <v>45966</v>
      </c>
      <c r="F307" s="107" t="str">
        <f ca="1">IF(CDB[[#This Row],[Data]]-TODAY()&lt;1,"Não","Sim")</f>
        <v>Não</v>
      </c>
    </row>
    <row r="308" spans="1:6" x14ac:dyDescent="0.25">
      <c r="A308" s="9" t="s">
        <v>28</v>
      </c>
      <c r="B308" s="11">
        <f t="shared" si="31"/>
        <v>3.5393595246488454</v>
      </c>
      <c r="C308" s="12">
        <v>2E-3</v>
      </c>
      <c r="D308" s="30">
        <f t="shared" ref="D308:D321" si="33">B308+(C308*B308)</f>
        <v>3.5464382436981432</v>
      </c>
      <c r="E308" s="13">
        <v>45967</v>
      </c>
      <c r="F308" s="107" t="str">
        <f ca="1">IF(CDB[[#This Row],[Data]]-TODAY()&lt;1,"Não","Sim")</f>
        <v>Não</v>
      </c>
    </row>
    <row r="309" spans="1:6" x14ac:dyDescent="0.25">
      <c r="A309" s="9" t="s">
        <v>28</v>
      </c>
      <c r="B309" s="11">
        <f t="shared" si="31"/>
        <v>3.5464382436981432</v>
      </c>
      <c r="C309" s="12">
        <v>2E-3</v>
      </c>
      <c r="D309" s="30">
        <f t="shared" si="33"/>
        <v>3.5535311201855393</v>
      </c>
      <c r="E309" s="13">
        <v>45968</v>
      </c>
      <c r="F309" s="107" t="str">
        <f ca="1">IF(CDB[[#This Row],[Data]]-TODAY()&lt;1,"Não","Sim")</f>
        <v>Não</v>
      </c>
    </row>
    <row r="310" spans="1:6" x14ac:dyDescent="0.25">
      <c r="A310" s="9" t="s">
        <v>28</v>
      </c>
      <c r="B310" s="11">
        <f t="shared" si="31"/>
        <v>3.5535311201855393</v>
      </c>
      <c r="C310" s="12">
        <v>2E-3</v>
      </c>
      <c r="D310" s="30">
        <f t="shared" si="33"/>
        <v>3.5606381824259103</v>
      </c>
      <c r="E310" s="13">
        <v>45969</v>
      </c>
      <c r="F310" s="107" t="str">
        <f ca="1">IF(CDB[[#This Row],[Data]]-TODAY()&lt;1,"Não","Sim")</f>
        <v>Não</v>
      </c>
    </row>
    <row r="311" spans="1:6" x14ac:dyDescent="0.25">
      <c r="A311" s="9" t="s">
        <v>28</v>
      </c>
      <c r="B311" s="11">
        <f t="shared" si="31"/>
        <v>3.5606381824259103</v>
      </c>
      <c r="C311" s="12">
        <v>2E-3</v>
      </c>
      <c r="D311" s="30">
        <f t="shared" si="33"/>
        <v>3.567759458790762</v>
      </c>
      <c r="E311" s="13">
        <v>45970</v>
      </c>
      <c r="F311" s="107" t="str">
        <f ca="1">IF(CDB[[#This Row],[Data]]-TODAY()&lt;1,"Não","Sim")</f>
        <v>Não</v>
      </c>
    </row>
    <row r="312" spans="1:6" x14ac:dyDescent="0.25">
      <c r="A312" s="9" t="s">
        <v>28</v>
      </c>
      <c r="B312" s="11">
        <f t="shared" si="31"/>
        <v>3.567759458790762</v>
      </c>
      <c r="C312" s="12">
        <v>2E-3</v>
      </c>
      <c r="D312" s="30">
        <f t="shared" si="33"/>
        <v>3.5748949777083436</v>
      </c>
      <c r="E312" s="13">
        <v>45971</v>
      </c>
      <c r="F312" s="107" t="str">
        <f ca="1">IF(CDB[[#This Row],[Data]]-TODAY()&lt;1,"Não","Sim")</f>
        <v>Não</v>
      </c>
    </row>
    <row r="313" spans="1:6" x14ac:dyDescent="0.25">
      <c r="A313" s="9" t="s">
        <v>28</v>
      </c>
      <c r="B313" s="11">
        <f t="shared" si="31"/>
        <v>3.5748949777083436</v>
      </c>
      <c r="C313" s="12">
        <v>2E-3</v>
      </c>
      <c r="D313" s="30">
        <f t="shared" si="33"/>
        <v>3.5820447676637603</v>
      </c>
      <c r="E313" s="13">
        <v>45972</v>
      </c>
      <c r="F313" s="107" t="str">
        <f ca="1">IF(CDB[[#This Row],[Data]]-TODAY()&lt;1,"Não","Sim")</f>
        <v>Não</v>
      </c>
    </row>
    <row r="314" spans="1:6" x14ac:dyDescent="0.25">
      <c r="A314" s="9" t="s">
        <v>28</v>
      </c>
      <c r="B314" s="11">
        <f t="shared" si="31"/>
        <v>3.5820447676637603</v>
      </c>
      <c r="C314" s="12">
        <v>2E-3</v>
      </c>
      <c r="D314" s="30">
        <f t="shared" si="33"/>
        <v>3.5892088571990879</v>
      </c>
      <c r="E314" s="13">
        <v>45973</v>
      </c>
      <c r="F314" s="107" t="str">
        <f ca="1">IF(CDB[[#This Row],[Data]]-TODAY()&lt;1,"Não","Sim")</f>
        <v>Não</v>
      </c>
    </row>
    <row r="315" spans="1:6" x14ac:dyDescent="0.25">
      <c r="A315" s="9" t="s">
        <v>28</v>
      </c>
      <c r="B315" s="11">
        <f t="shared" si="31"/>
        <v>3.5892088571990879</v>
      </c>
      <c r="C315" s="12">
        <v>2E-3</v>
      </c>
      <c r="D315" s="30">
        <f t="shared" si="33"/>
        <v>3.5963872749134862</v>
      </c>
      <c r="E315" s="13">
        <v>45974</v>
      </c>
      <c r="F315" s="107" t="str">
        <f ca="1">IF(CDB[[#This Row],[Data]]-TODAY()&lt;1,"Não","Sim")</f>
        <v>Não</v>
      </c>
    </row>
    <row r="316" spans="1:6" x14ac:dyDescent="0.25">
      <c r="A316" s="9" t="s">
        <v>28</v>
      </c>
      <c r="B316" s="11">
        <f t="shared" si="31"/>
        <v>3.5963872749134862</v>
      </c>
      <c r="C316" s="12">
        <v>2E-3</v>
      </c>
      <c r="D316" s="30">
        <f t="shared" si="33"/>
        <v>3.603580049463313</v>
      </c>
      <c r="E316" s="13">
        <v>45975</v>
      </c>
      <c r="F316" s="107" t="str">
        <f ca="1">IF(CDB[[#This Row],[Data]]-TODAY()&lt;1,"Não","Sim")</f>
        <v>Não</v>
      </c>
    </row>
    <row r="317" spans="1:6" x14ac:dyDescent="0.25">
      <c r="A317" s="9" t="s">
        <v>28</v>
      </c>
      <c r="B317" s="11">
        <f t="shared" si="31"/>
        <v>3.603580049463313</v>
      </c>
      <c r="C317" s="12">
        <v>2E-3</v>
      </c>
      <c r="D317" s="30">
        <f t="shared" si="33"/>
        <v>3.6107872095622398</v>
      </c>
      <c r="E317" s="13">
        <v>45976</v>
      </c>
      <c r="F317" s="107" t="str">
        <f ca="1">IF(CDB[[#This Row],[Data]]-TODAY()&lt;1,"Não","Sim")</f>
        <v>Não</v>
      </c>
    </row>
    <row r="318" spans="1:6" x14ac:dyDescent="0.25">
      <c r="A318" s="9" t="s">
        <v>28</v>
      </c>
      <c r="B318" s="11">
        <f t="shared" si="31"/>
        <v>3.6107872095622398</v>
      </c>
      <c r="C318" s="12">
        <v>2E-3</v>
      </c>
      <c r="D318" s="30">
        <f t="shared" si="33"/>
        <v>3.6180087839813644</v>
      </c>
      <c r="E318" s="13">
        <v>45977</v>
      </c>
      <c r="F318" s="107" t="str">
        <f ca="1">IF(CDB[[#This Row],[Data]]-TODAY()&lt;1,"Não","Sim")</f>
        <v>Não</v>
      </c>
    </row>
    <row r="319" spans="1:6" x14ac:dyDescent="0.25">
      <c r="A319" s="9" t="s">
        <v>28</v>
      </c>
      <c r="B319" s="11">
        <f t="shared" si="31"/>
        <v>3.6180087839813644</v>
      </c>
      <c r="C319" s="12">
        <v>2E-3</v>
      </c>
      <c r="D319" s="30">
        <f t="shared" si="33"/>
        <v>3.6252448015493273</v>
      </c>
      <c r="E319" s="13">
        <v>45978</v>
      </c>
      <c r="F319" s="107" t="str">
        <f ca="1">IF(CDB[[#This Row],[Data]]-TODAY()&lt;1,"Não","Sim")</f>
        <v>Não</v>
      </c>
    </row>
    <row r="320" spans="1:6" x14ac:dyDescent="0.25">
      <c r="A320" s="9" t="s">
        <v>28</v>
      </c>
      <c r="B320" s="11">
        <f t="shared" si="31"/>
        <v>3.6252448015493273</v>
      </c>
      <c r="C320" s="12">
        <v>2E-3</v>
      </c>
      <c r="D320" s="30">
        <f t="shared" si="33"/>
        <v>3.6324952911524258</v>
      </c>
      <c r="E320" s="13">
        <v>45979</v>
      </c>
      <c r="F320" s="107" t="str">
        <f ca="1">IF(CDB[[#This Row],[Data]]-TODAY()&lt;1,"Não","Sim")</f>
        <v>Não</v>
      </c>
    </row>
    <row r="321" spans="1:6" x14ac:dyDescent="0.25">
      <c r="A321" s="9" t="s">
        <v>28</v>
      </c>
      <c r="B321" s="11">
        <f t="shared" si="31"/>
        <v>3.6324952911524258</v>
      </c>
      <c r="C321" s="12">
        <v>2E-3</v>
      </c>
      <c r="D321" s="30">
        <f t="shared" si="33"/>
        <v>3.6397602817347305</v>
      </c>
      <c r="E321" s="13">
        <v>45980</v>
      </c>
      <c r="F321" s="107" t="str">
        <f ca="1">IF(CDB[[#This Row],[Data]]-TODAY()&lt;1,"Não","Sim")</f>
        <v>Não</v>
      </c>
    </row>
    <row r="322" spans="1:6" x14ac:dyDescent="0.25">
      <c r="A322" s="9" t="s">
        <v>28</v>
      </c>
      <c r="B322" s="11">
        <f t="shared" si="31"/>
        <v>3.6397602817347305</v>
      </c>
      <c r="C322" s="12">
        <v>2E-3</v>
      </c>
      <c r="D322" s="30">
        <f t="shared" ref="D322:D332" si="34">B322+(C322*B322)</f>
        <v>3.6470398022981998</v>
      </c>
      <c r="E322" s="13">
        <v>45981</v>
      </c>
      <c r="F322" s="107" t="str">
        <f ca="1">IF(CDB[[#This Row],[Data]]-TODAY()&lt;1,"Não","Sim")</f>
        <v>Não</v>
      </c>
    </row>
    <row r="323" spans="1:6" x14ac:dyDescent="0.25">
      <c r="A323" s="9" t="s">
        <v>28</v>
      </c>
      <c r="B323" s="11">
        <f t="shared" ref="B323:B344" si="35">D322</f>
        <v>3.6470398022981998</v>
      </c>
      <c r="C323" s="12">
        <v>2E-3</v>
      </c>
      <c r="D323" s="30">
        <f t="shared" si="34"/>
        <v>3.6543338819027964</v>
      </c>
      <c r="E323" s="13">
        <v>45982</v>
      </c>
      <c r="F323" s="107" t="str">
        <f ca="1">IF(CDB[[#This Row],[Data]]-TODAY()&lt;1,"Não","Sim")</f>
        <v>Não</v>
      </c>
    </row>
    <row r="324" spans="1:6" x14ac:dyDescent="0.25">
      <c r="A324" s="9" t="s">
        <v>28</v>
      </c>
      <c r="B324" s="11">
        <f t="shared" si="35"/>
        <v>3.6543338819027964</v>
      </c>
      <c r="C324" s="12">
        <v>2E-3</v>
      </c>
      <c r="D324" s="30">
        <f t="shared" si="34"/>
        <v>3.6616425496666021</v>
      </c>
      <c r="E324" s="13">
        <v>45983</v>
      </c>
      <c r="F324" s="107" t="str">
        <f ca="1">IF(CDB[[#This Row],[Data]]-TODAY()&lt;1,"Não","Sim")</f>
        <v>Não</v>
      </c>
    </row>
    <row r="325" spans="1:6" x14ac:dyDescent="0.25">
      <c r="A325" s="9" t="s">
        <v>28</v>
      </c>
      <c r="B325" s="11">
        <f t="shared" si="35"/>
        <v>3.6616425496666021</v>
      </c>
      <c r="C325" s="12">
        <v>2E-3</v>
      </c>
      <c r="D325" s="30">
        <f t="shared" si="34"/>
        <v>3.6689658347659351</v>
      </c>
      <c r="E325" s="13">
        <v>45984</v>
      </c>
      <c r="F325" s="107" t="str">
        <f ca="1">IF(CDB[[#This Row],[Data]]-TODAY()&lt;1,"Não","Sim")</f>
        <v>Não</v>
      </c>
    </row>
    <row r="326" spans="1:6" x14ac:dyDescent="0.25">
      <c r="A326" s="9" t="s">
        <v>28</v>
      </c>
      <c r="B326" s="11">
        <f t="shared" si="35"/>
        <v>3.6689658347659351</v>
      </c>
      <c r="C326" s="12">
        <v>2E-3</v>
      </c>
      <c r="D326" s="30">
        <f t="shared" si="34"/>
        <v>3.676303766435467</v>
      </c>
      <c r="E326" s="13">
        <v>45985</v>
      </c>
      <c r="F326" s="107" t="str">
        <f ca="1">IF(CDB[[#This Row],[Data]]-TODAY()&lt;1,"Não","Sim")</f>
        <v>Não</v>
      </c>
    </row>
    <row r="327" spans="1:6" x14ac:dyDescent="0.25">
      <c r="A327" s="9" t="s">
        <v>28</v>
      </c>
      <c r="B327" s="11">
        <f t="shared" si="35"/>
        <v>3.676303766435467</v>
      </c>
      <c r="C327" s="12">
        <v>2E-3</v>
      </c>
      <c r="D327" s="30">
        <f t="shared" si="34"/>
        <v>3.6836563739683381</v>
      </c>
      <c r="E327" s="13">
        <v>45986</v>
      </c>
      <c r="F327" s="107" t="str">
        <f ca="1">IF(CDB[[#This Row],[Data]]-TODAY()&lt;1,"Não","Sim")</f>
        <v>Não</v>
      </c>
    </row>
    <row r="328" spans="1:6" x14ac:dyDescent="0.25">
      <c r="A328" s="9" t="s">
        <v>28</v>
      </c>
      <c r="B328" s="11">
        <f t="shared" si="35"/>
        <v>3.6836563739683381</v>
      </c>
      <c r="C328" s="12">
        <v>2E-3</v>
      </c>
      <c r="D328" s="30">
        <f t="shared" si="34"/>
        <v>3.6910236867162749</v>
      </c>
      <c r="E328" s="13">
        <v>45987</v>
      </c>
      <c r="F328" s="107" t="str">
        <f ca="1">IF(CDB[[#This Row],[Data]]-TODAY()&lt;1,"Não","Sim")</f>
        <v>Não</v>
      </c>
    </row>
    <row r="329" spans="1:6" x14ac:dyDescent="0.25">
      <c r="A329" s="9" t="s">
        <v>28</v>
      </c>
      <c r="B329" s="11">
        <f t="shared" si="35"/>
        <v>3.6910236867162749</v>
      </c>
      <c r="C329" s="12">
        <v>2E-3</v>
      </c>
      <c r="D329" s="30">
        <f t="shared" si="34"/>
        <v>3.6984057340897074</v>
      </c>
      <c r="E329" s="13">
        <v>45988</v>
      </c>
      <c r="F329" s="107" t="str">
        <f ca="1">IF(CDB[[#This Row],[Data]]-TODAY()&lt;1,"Não","Sim")</f>
        <v>Não</v>
      </c>
    </row>
    <row r="330" spans="1:6" x14ac:dyDescent="0.25">
      <c r="A330" s="9" t="s">
        <v>28</v>
      </c>
      <c r="B330" s="11">
        <f t="shared" si="35"/>
        <v>3.6984057340897074</v>
      </c>
      <c r="C330" s="12">
        <v>2E-3</v>
      </c>
      <c r="D330" s="30">
        <f t="shared" si="34"/>
        <v>3.7058025455578867</v>
      </c>
      <c r="E330" s="13">
        <v>45989</v>
      </c>
      <c r="F330" s="107" t="str">
        <f ca="1">IF(CDB[[#This Row],[Data]]-TODAY()&lt;1,"Não","Sim")</f>
        <v>Não</v>
      </c>
    </row>
    <row r="331" spans="1:6" x14ac:dyDescent="0.25">
      <c r="A331" s="9" t="s">
        <v>28</v>
      </c>
      <c r="B331" s="11">
        <f t="shared" si="35"/>
        <v>3.7058025455578867</v>
      </c>
      <c r="C331" s="12">
        <v>2E-3</v>
      </c>
      <c r="D331" s="30">
        <f t="shared" si="34"/>
        <v>3.7132141506490024</v>
      </c>
      <c r="E331" s="13">
        <v>45990</v>
      </c>
      <c r="F331" s="107" t="str">
        <f ca="1">IF(CDB[[#This Row],[Data]]-TODAY()&lt;1,"Não","Sim")</f>
        <v>Não</v>
      </c>
    </row>
    <row r="332" spans="1:6" x14ac:dyDescent="0.25">
      <c r="A332" s="9" t="s">
        <v>28</v>
      </c>
      <c r="B332" s="11">
        <f t="shared" si="35"/>
        <v>3.7132141506490024</v>
      </c>
      <c r="C332" s="12">
        <v>2E-3</v>
      </c>
      <c r="D332" s="30">
        <f t="shared" si="34"/>
        <v>3.7206405789503005</v>
      </c>
      <c r="E332" s="13">
        <v>45991</v>
      </c>
      <c r="F332" s="107" t="str">
        <f ca="1">IF(CDB[[#This Row],[Data]]-TODAY()&lt;1,"Não","Sim")</f>
        <v>Não</v>
      </c>
    </row>
    <row r="333" spans="1:6" x14ac:dyDescent="0.25">
      <c r="A333" s="9" t="s">
        <v>28</v>
      </c>
      <c r="B333" s="11">
        <f t="shared" si="35"/>
        <v>3.7206405789503005</v>
      </c>
      <c r="C333" s="12">
        <v>2E-3</v>
      </c>
      <c r="D333" s="30">
        <f t="shared" ref="D333:D342" si="36">B333+(C333*B333)</f>
        <v>3.7280818601082011</v>
      </c>
      <c r="E333" s="13">
        <v>45992</v>
      </c>
      <c r="F333" s="107" t="str">
        <f ca="1">IF(CDB[[#This Row],[Data]]-TODAY()&lt;1,"Não","Sim")</f>
        <v>Não</v>
      </c>
    </row>
    <row r="334" spans="1:6" x14ac:dyDescent="0.25">
      <c r="A334" s="9" t="s">
        <v>28</v>
      </c>
      <c r="B334" s="11">
        <f t="shared" si="35"/>
        <v>3.7280818601082011</v>
      </c>
      <c r="C334" s="12">
        <v>2E-3</v>
      </c>
      <c r="D334" s="30">
        <f t="shared" si="36"/>
        <v>3.7355380238284175</v>
      </c>
      <c r="E334" s="13">
        <v>45993</v>
      </c>
      <c r="F334" s="107" t="str">
        <f ca="1">IF(CDB[[#This Row],[Data]]-TODAY()&lt;1,"Não","Sim")</f>
        <v>Não</v>
      </c>
    </row>
    <row r="335" spans="1:6" x14ac:dyDescent="0.25">
      <c r="A335" s="9" t="s">
        <v>28</v>
      </c>
      <c r="B335" s="11">
        <f t="shared" si="35"/>
        <v>3.7355380238284175</v>
      </c>
      <c r="C335" s="12">
        <v>2E-3</v>
      </c>
      <c r="D335" s="30">
        <f t="shared" si="36"/>
        <v>3.7430090998760743</v>
      </c>
      <c r="E335" s="13">
        <v>45994</v>
      </c>
      <c r="F335" s="107" t="str">
        <f ca="1">IF(CDB[[#This Row],[Data]]-TODAY()&lt;1,"Não","Sim")</f>
        <v>Não</v>
      </c>
    </row>
    <row r="336" spans="1:6" x14ac:dyDescent="0.25">
      <c r="A336" s="9" t="s">
        <v>28</v>
      </c>
      <c r="B336" s="11">
        <f t="shared" si="35"/>
        <v>3.7430090998760743</v>
      </c>
      <c r="C336" s="12">
        <v>2E-3</v>
      </c>
      <c r="D336" s="30">
        <f t="shared" si="36"/>
        <v>3.7504951180758264</v>
      </c>
      <c r="E336" s="13">
        <v>45995</v>
      </c>
      <c r="F336" s="107" t="str">
        <f ca="1">IF(CDB[[#This Row],[Data]]-TODAY()&lt;1,"Não","Sim")</f>
        <v>Não</v>
      </c>
    </row>
    <row r="337" spans="1:6" x14ac:dyDescent="0.25">
      <c r="A337" s="9" t="s">
        <v>28</v>
      </c>
      <c r="B337" s="11">
        <f t="shared" si="35"/>
        <v>3.7504951180758264</v>
      </c>
      <c r="C337" s="12">
        <v>2E-3</v>
      </c>
      <c r="D337" s="30">
        <f t="shared" si="36"/>
        <v>3.7579961083119779</v>
      </c>
      <c r="E337" s="13">
        <v>45996</v>
      </c>
      <c r="F337" s="107" t="str">
        <f ca="1">IF(CDB[[#This Row],[Data]]-TODAY()&lt;1,"Não","Sim")</f>
        <v>Não</v>
      </c>
    </row>
    <row r="338" spans="1:6" x14ac:dyDescent="0.25">
      <c r="A338" s="9" t="s">
        <v>28</v>
      </c>
      <c r="B338" s="11">
        <f t="shared" si="35"/>
        <v>3.7579961083119779</v>
      </c>
      <c r="C338" s="12">
        <v>2E-3</v>
      </c>
      <c r="D338" s="30">
        <f t="shared" si="36"/>
        <v>3.7655121005286021</v>
      </c>
      <c r="E338" s="13">
        <v>45997</v>
      </c>
      <c r="F338" s="107" t="str">
        <f ca="1">IF(CDB[[#This Row],[Data]]-TODAY()&lt;1,"Não","Sim")</f>
        <v>Não</v>
      </c>
    </row>
    <row r="339" spans="1:6" x14ac:dyDescent="0.25">
      <c r="A339" s="9" t="s">
        <v>28</v>
      </c>
      <c r="B339" s="11">
        <f t="shared" si="35"/>
        <v>3.7655121005286021</v>
      </c>
      <c r="C339" s="12">
        <v>2E-3</v>
      </c>
      <c r="D339" s="30">
        <f t="shared" si="36"/>
        <v>3.7730431247296594</v>
      </c>
      <c r="E339" s="13">
        <v>45998</v>
      </c>
      <c r="F339" s="107" t="str">
        <f ca="1">IF(CDB[[#This Row],[Data]]-TODAY()&lt;1,"Não","Sim")</f>
        <v>Não</v>
      </c>
    </row>
    <row r="340" spans="1:6" x14ac:dyDescent="0.25">
      <c r="A340" s="9" t="s">
        <v>28</v>
      </c>
      <c r="B340" s="11">
        <f t="shared" si="35"/>
        <v>3.7730431247296594</v>
      </c>
      <c r="C340" s="12">
        <v>2E-3</v>
      </c>
      <c r="D340" s="30">
        <f t="shared" si="36"/>
        <v>3.7805892109791186</v>
      </c>
      <c r="E340" s="13">
        <v>45999</v>
      </c>
      <c r="F340" s="107" t="str">
        <f ca="1">IF(CDB[[#This Row],[Data]]-TODAY()&lt;1,"Não","Sim")</f>
        <v>Não</v>
      </c>
    </row>
    <row r="341" spans="1:6" x14ac:dyDescent="0.25">
      <c r="A341" s="9" t="s">
        <v>28</v>
      </c>
      <c r="B341" s="11">
        <f t="shared" si="35"/>
        <v>3.7805892109791186</v>
      </c>
      <c r="C341" s="12">
        <v>2E-3</v>
      </c>
      <c r="D341" s="30">
        <f t="shared" si="36"/>
        <v>3.7881503894010766</v>
      </c>
      <c r="E341" s="13">
        <v>46000</v>
      </c>
      <c r="F341" s="107" t="str">
        <f ca="1">IF(CDB[[#This Row],[Data]]-TODAY()&lt;1,"Não","Sim")</f>
        <v>Não</v>
      </c>
    </row>
    <row r="342" spans="1:6" x14ac:dyDescent="0.25">
      <c r="A342" s="9" t="s">
        <v>28</v>
      </c>
      <c r="B342" s="11">
        <f t="shared" si="35"/>
        <v>3.7881503894010766</v>
      </c>
      <c r="C342" s="12">
        <v>2E-3</v>
      </c>
      <c r="D342" s="30">
        <f t="shared" si="36"/>
        <v>3.7957266901798787</v>
      </c>
      <c r="E342" s="13">
        <v>46001</v>
      </c>
      <c r="F342" s="107" t="str">
        <f ca="1">IF(CDB[[#This Row],[Data]]-TODAY()&lt;1,"Não","Sim")</f>
        <v>Não</v>
      </c>
    </row>
    <row r="343" spans="1:6" x14ac:dyDescent="0.25">
      <c r="A343" s="9" t="s">
        <v>28</v>
      </c>
      <c r="B343" s="11">
        <f t="shared" si="35"/>
        <v>3.7957266901798787</v>
      </c>
      <c r="C343" s="12">
        <v>2E-3</v>
      </c>
      <c r="D343" s="30">
        <f t="shared" ref="D343:D344" si="37">B343+(C343*B343)</f>
        <v>3.8033181435602383</v>
      </c>
      <c r="E343" s="13">
        <v>46002</v>
      </c>
      <c r="F343" s="107" t="str">
        <f ca="1">IF(CDB[[#This Row],[Data]]-TODAY()&lt;1,"Não","Sim")</f>
        <v>Não</v>
      </c>
    </row>
    <row r="344" spans="1:6" x14ac:dyDescent="0.25">
      <c r="A344" s="9" t="s">
        <v>28</v>
      </c>
      <c r="B344" s="11">
        <f t="shared" si="35"/>
        <v>3.8033181435602383</v>
      </c>
      <c r="C344" s="12">
        <v>2E-3</v>
      </c>
      <c r="D344" s="30">
        <f t="shared" si="37"/>
        <v>3.8109247798473587</v>
      </c>
      <c r="E344" s="13">
        <v>46003</v>
      </c>
      <c r="F344" s="107" t="str">
        <f ca="1">IF(CDB[[#This Row],[Data]]-TODAY()&lt;1,"Não","Sim")</f>
        <v>Não</v>
      </c>
    </row>
    <row r="345" spans="1:6" x14ac:dyDescent="0.25">
      <c r="A345" s="9" t="s">
        <v>28</v>
      </c>
      <c r="B345" s="11">
        <f t="shared" ref="B345:B363" si="38">D344</f>
        <v>3.8109247798473587</v>
      </c>
      <c r="C345" s="12">
        <v>2E-3</v>
      </c>
      <c r="D345" s="11">
        <f t="shared" ref="D345:D358" si="39">B345+(C345*B345)</f>
        <v>3.8185466294070536</v>
      </c>
      <c r="E345" s="13">
        <v>46004</v>
      </c>
      <c r="F345" s="56" t="str">
        <f ca="1">IF(CDB[[#This Row],[Data]]-TODAY()&lt;1,"Não","Sim")</f>
        <v>Não</v>
      </c>
    </row>
    <row r="346" spans="1:6" x14ac:dyDescent="0.25">
      <c r="A346" s="9" t="s">
        <v>28</v>
      </c>
      <c r="B346" s="11">
        <f t="shared" si="38"/>
        <v>3.8185466294070536</v>
      </c>
      <c r="C346" s="12">
        <v>2E-3</v>
      </c>
      <c r="D346" s="11">
        <f t="shared" si="39"/>
        <v>3.8261837226658675</v>
      </c>
      <c r="E346" s="13">
        <v>46005</v>
      </c>
      <c r="F346" s="56" t="str">
        <f ca="1">IF(CDB[[#This Row],[Data]]-TODAY()&lt;1,"Não","Sim")</f>
        <v>Não</v>
      </c>
    </row>
    <row r="347" spans="1:6" x14ac:dyDescent="0.25">
      <c r="A347" s="9" t="s">
        <v>28</v>
      </c>
      <c r="B347" s="11">
        <f t="shared" si="38"/>
        <v>3.8261837226658675</v>
      </c>
      <c r="C347" s="12">
        <v>2E-3</v>
      </c>
      <c r="D347" s="11">
        <f t="shared" si="39"/>
        <v>3.8338360901111992</v>
      </c>
      <c r="E347" s="13">
        <v>46006</v>
      </c>
      <c r="F347" s="56" t="str">
        <f ca="1">IF(CDB[[#This Row],[Data]]-TODAY()&lt;1,"Não","Sim")</f>
        <v>Não</v>
      </c>
    </row>
    <row r="348" spans="1:6" x14ac:dyDescent="0.25">
      <c r="A348" s="9" t="s">
        <v>28</v>
      </c>
      <c r="B348" s="11">
        <f t="shared" si="38"/>
        <v>3.8338360901111992</v>
      </c>
      <c r="C348" s="12">
        <v>2E-3</v>
      </c>
      <c r="D348" s="11">
        <f t="shared" si="39"/>
        <v>3.8415037622914214</v>
      </c>
      <c r="E348" s="13">
        <v>46007</v>
      </c>
      <c r="F348" s="56" t="str">
        <f ca="1">IF(CDB[[#This Row],[Data]]-TODAY()&lt;1,"Não","Sim")</f>
        <v>Não</v>
      </c>
    </row>
    <row r="349" spans="1:6" x14ac:dyDescent="0.25">
      <c r="A349" s="9" t="s">
        <v>28</v>
      </c>
      <c r="B349" s="11">
        <f t="shared" si="38"/>
        <v>3.8415037622914214</v>
      </c>
      <c r="C349" s="12">
        <v>2E-3</v>
      </c>
      <c r="D349" s="11">
        <f t="shared" si="39"/>
        <v>3.8491867698160043</v>
      </c>
      <c r="E349" s="13">
        <v>46008</v>
      </c>
      <c r="F349" s="56" t="str">
        <f ca="1">IF(CDB[[#This Row],[Data]]-TODAY()&lt;1,"Não","Sim")</f>
        <v>Não</v>
      </c>
    </row>
    <row r="350" spans="1:6" x14ac:dyDescent="0.25">
      <c r="A350" s="9" t="s">
        <v>28</v>
      </c>
      <c r="B350" s="11">
        <f t="shared" si="38"/>
        <v>3.8491867698160043</v>
      </c>
      <c r="C350" s="12">
        <v>2E-3</v>
      </c>
      <c r="D350" s="11">
        <f t="shared" si="39"/>
        <v>3.8568851433556364</v>
      </c>
      <c r="E350" s="13">
        <v>46009</v>
      </c>
      <c r="F350" s="56" t="str">
        <f ca="1">IF(CDB[[#This Row],[Data]]-TODAY()&lt;1,"Não","Sim")</f>
        <v>Não</v>
      </c>
    </row>
    <row r="351" spans="1:6" x14ac:dyDescent="0.25">
      <c r="A351" s="9" t="s">
        <v>28</v>
      </c>
      <c r="B351" s="11">
        <f t="shared" si="38"/>
        <v>3.8568851433556364</v>
      </c>
      <c r="C351" s="12">
        <v>2E-3</v>
      </c>
      <c r="D351" s="11">
        <f t="shared" si="39"/>
        <v>3.8645989136423475</v>
      </c>
      <c r="E351" s="13">
        <v>46010</v>
      </c>
      <c r="F351" s="56" t="str">
        <f ca="1">IF(CDB[[#This Row],[Data]]-TODAY()&lt;1,"Não","Sim")</f>
        <v>Não</v>
      </c>
    </row>
    <row r="352" spans="1:6" x14ac:dyDescent="0.25">
      <c r="A352" s="9" t="s">
        <v>28</v>
      </c>
      <c r="B352" s="11">
        <f t="shared" si="38"/>
        <v>3.8645989136423475</v>
      </c>
      <c r="C352" s="12">
        <v>2E-3</v>
      </c>
      <c r="D352" s="11">
        <f t="shared" si="39"/>
        <v>3.8723281114696322</v>
      </c>
      <c r="E352" s="13">
        <v>46011</v>
      </c>
      <c r="F352" s="56" t="str">
        <f ca="1">IF(CDB[[#This Row],[Data]]-TODAY()&lt;1,"Não","Sim")</f>
        <v>Não</v>
      </c>
    </row>
    <row r="353" spans="1:6" x14ac:dyDescent="0.25">
      <c r="A353" s="9" t="s">
        <v>28</v>
      </c>
      <c r="B353" s="11">
        <f t="shared" si="38"/>
        <v>3.8723281114696322</v>
      </c>
      <c r="C353" s="12">
        <v>2E-3</v>
      </c>
      <c r="D353" s="11">
        <f t="shared" si="39"/>
        <v>3.8800727676925715</v>
      </c>
      <c r="E353" s="13">
        <v>46012</v>
      </c>
      <c r="F353" s="56" t="str">
        <f ca="1">IF(CDB[[#This Row],[Data]]-TODAY()&lt;1,"Não","Sim")</f>
        <v>Não</v>
      </c>
    </row>
    <row r="354" spans="1:6" x14ac:dyDescent="0.25">
      <c r="A354" s="9" t="s">
        <v>28</v>
      </c>
      <c r="B354" s="11">
        <f t="shared" si="38"/>
        <v>3.8800727676925715</v>
      </c>
      <c r="C354" s="12">
        <v>2E-3</v>
      </c>
      <c r="D354" s="11">
        <f t="shared" si="39"/>
        <v>3.8878329132279568</v>
      </c>
      <c r="E354" s="13">
        <v>46013</v>
      </c>
      <c r="F354" s="56" t="str">
        <f ca="1">IF(CDB[[#This Row],[Data]]-TODAY()&lt;1,"Não","Sim")</f>
        <v>Não</v>
      </c>
    </row>
    <row r="355" spans="1:6" x14ac:dyDescent="0.25">
      <c r="A355" s="9" t="s">
        <v>28</v>
      </c>
      <c r="B355" s="11">
        <f t="shared" si="38"/>
        <v>3.8878329132279568</v>
      </c>
      <c r="C355" s="12">
        <v>2E-3</v>
      </c>
      <c r="D355" s="11">
        <f t="shared" si="39"/>
        <v>3.8956085790544126</v>
      </c>
      <c r="E355" s="13">
        <v>46014</v>
      </c>
      <c r="F355" s="56" t="str">
        <f ca="1">IF(CDB[[#This Row],[Data]]-TODAY()&lt;1,"Não","Sim")</f>
        <v>Não</v>
      </c>
    </row>
    <row r="356" spans="1:6" x14ac:dyDescent="0.25">
      <c r="A356" s="9" t="s">
        <v>28</v>
      </c>
      <c r="B356" s="11">
        <f t="shared" si="38"/>
        <v>3.8956085790544126</v>
      </c>
      <c r="C356" s="12">
        <v>2E-3</v>
      </c>
      <c r="D356" s="11">
        <f t="shared" si="39"/>
        <v>3.9033997962125215</v>
      </c>
      <c r="E356" s="13">
        <v>46015</v>
      </c>
      <c r="F356" s="56" t="str">
        <f ca="1">IF(CDB[[#This Row],[Data]]-TODAY()&lt;1,"Não","Sim")</f>
        <v>Não</v>
      </c>
    </row>
    <row r="357" spans="1:6" x14ac:dyDescent="0.25">
      <c r="A357" s="9" t="s">
        <v>28</v>
      </c>
      <c r="B357" s="11">
        <f t="shared" si="38"/>
        <v>3.9033997962125215</v>
      </c>
      <c r="C357" s="12">
        <v>2E-3</v>
      </c>
      <c r="D357" s="11">
        <f t="shared" si="39"/>
        <v>3.9112065958049467</v>
      </c>
      <c r="E357" s="13">
        <v>46016</v>
      </c>
      <c r="F357" s="56" t="str">
        <f ca="1">IF(CDB[[#This Row],[Data]]-TODAY()&lt;1,"Não","Sim")</f>
        <v>Não</v>
      </c>
    </row>
    <row r="358" spans="1:6" x14ac:dyDescent="0.25">
      <c r="A358" s="9" t="s">
        <v>28</v>
      </c>
      <c r="B358" s="11">
        <f t="shared" si="38"/>
        <v>3.9112065958049467</v>
      </c>
      <c r="C358" s="12">
        <v>2E-3</v>
      </c>
      <c r="D358" s="11">
        <f t="shared" si="39"/>
        <v>3.9190290089965565</v>
      </c>
      <c r="E358" s="13">
        <v>46017</v>
      </c>
      <c r="F358" s="56" t="str">
        <f ca="1">IF(CDB[[#This Row],[Data]]-TODAY()&lt;1,"Não","Sim")</f>
        <v>Não</v>
      </c>
    </row>
    <row r="359" spans="1:6" x14ac:dyDescent="0.25">
      <c r="A359" s="9" t="s">
        <v>28</v>
      </c>
      <c r="B359" s="11">
        <f t="shared" si="38"/>
        <v>3.9190290089965565</v>
      </c>
      <c r="C359" s="12">
        <v>2E-3</v>
      </c>
      <c r="D359" s="11">
        <f t="shared" ref="D359:D365" si="40">B359+(C359*B359)</f>
        <v>3.9268670670145496</v>
      </c>
      <c r="E359" s="13">
        <v>46018</v>
      </c>
      <c r="F359" s="56" t="str">
        <f ca="1">IF(CDB[[#This Row],[Data]]-TODAY()&lt;1,"Não","Sim")</f>
        <v>Não</v>
      </c>
    </row>
    <row r="360" spans="1:6" x14ac:dyDescent="0.25">
      <c r="A360" s="9" t="s">
        <v>28</v>
      </c>
      <c r="B360" s="11">
        <f t="shared" si="38"/>
        <v>3.9268670670145496</v>
      </c>
      <c r="C360" s="12">
        <v>2E-3</v>
      </c>
      <c r="D360" s="11">
        <f t="shared" si="40"/>
        <v>3.9347208011485786</v>
      </c>
      <c r="E360" s="13">
        <v>46019</v>
      </c>
      <c r="F360" s="56" t="str">
        <f ca="1">IF(CDB[[#This Row],[Data]]-TODAY()&lt;1,"Não","Sim")</f>
        <v>Não</v>
      </c>
    </row>
    <row r="361" spans="1:6" x14ac:dyDescent="0.25">
      <c r="A361" s="9" t="s">
        <v>28</v>
      </c>
      <c r="B361" s="11">
        <f t="shared" si="38"/>
        <v>3.9347208011485786</v>
      </c>
      <c r="C361" s="12">
        <v>2E-3</v>
      </c>
      <c r="D361" s="11">
        <f t="shared" si="40"/>
        <v>3.9425902427508759</v>
      </c>
      <c r="E361" s="13">
        <v>46020</v>
      </c>
      <c r="F361" s="56" t="str">
        <f ca="1">IF(CDB[[#This Row],[Data]]-TODAY()&lt;1,"Não","Sim")</f>
        <v>Não</v>
      </c>
    </row>
    <row r="362" spans="1:6" x14ac:dyDescent="0.25">
      <c r="A362" s="9" t="s">
        <v>28</v>
      </c>
      <c r="B362" s="11">
        <f t="shared" si="38"/>
        <v>3.9425902427508759</v>
      </c>
      <c r="C362" s="12">
        <v>2E-3</v>
      </c>
      <c r="D362" s="11">
        <f t="shared" si="40"/>
        <v>3.9504754232363775</v>
      </c>
      <c r="E362" s="13">
        <v>46021</v>
      </c>
      <c r="F362" s="56" t="str">
        <f ca="1">IF(CDB[[#This Row],[Data]]-TODAY()&lt;1,"Não","Sim")</f>
        <v>Não</v>
      </c>
    </row>
    <row r="363" spans="1:6" x14ac:dyDescent="0.25">
      <c r="A363" s="9" t="s">
        <v>28</v>
      </c>
      <c r="B363" s="11">
        <f t="shared" si="38"/>
        <v>3.9504754232363775</v>
      </c>
      <c r="C363" s="12">
        <v>2E-3</v>
      </c>
      <c r="D363" s="11">
        <f t="shared" si="40"/>
        <v>3.9583763740828504</v>
      </c>
      <c r="E363" s="13">
        <v>46022</v>
      </c>
      <c r="F363" s="56" t="str">
        <f ca="1">IF(CDB[[#This Row],[Data]]-TODAY()&lt;1,"Não","Sim")</f>
        <v>Não</v>
      </c>
    </row>
    <row r="364" spans="1:6" x14ac:dyDescent="0.25">
      <c r="A364" s="9" t="s">
        <v>28</v>
      </c>
      <c r="B364" s="11">
        <f>D363</f>
        <v>3.9583763740828504</v>
      </c>
      <c r="C364" s="12">
        <v>2.5000000000000001E-3</v>
      </c>
      <c r="D364" s="11">
        <f t="shared" si="40"/>
        <v>3.9682723150180577</v>
      </c>
      <c r="E364" s="13">
        <v>46023</v>
      </c>
      <c r="F364" s="56" t="str">
        <f ca="1">IF(CDB[[#This Row],[Data]]-TODAY()&lt;1,"Não","Sim")</f>
        <v>Não</v>
      </c>
    </row>
    <row r="365" spans="1:6" x14ac:dyDescent="0.25">
      <c r="A365" s="9" t="s">
        <v>28</v>
      </c>
      <c r="B365" s="11">
        <f>D364</f>
        <v>3.9682723150180577</v>
      </c>
      <c r="C365" s="12">
        <v>2.5000000000000001E-3</v>
      </c>
      <c r="D365" s="11">
        <f t="shared" si="40"/>
        <v>3.9781929958056028</v>
      </c>
      <c r="E365" s="13">
        <v>46024</v>
      </c>
      <c r="F365" s="56" t="str">
        <f ca="1">IF(CDB[[#This Row],[Data]]-TODAY()&lt;1,"Não","Sim")</f>
        <v>Não</v>
      </c>
    </row>
    <row r="366" spans="1:6" x14ac:dyDescent="0.25">
      <c r="A366" s="9" t="s">
        <v>28</v>
      </c>
      <c r="B366" s="11">
        <f t="shared" ref="B366:B369" si="41">D365</f>
        <v>3.9781929958056028</v>
      </c>
      <c r="C366" s="12">
        <v>2.5000000000000001E-3</v>
      </c>
      <c r="D366" s="11">
        <f>B366+(C366*B366)</f>
        <v>3.988138478295117</v>
      </c>
      <c r="E366" s="13">
        <v>46025</v>
      </c>
      <c r="F366" s="56" t="str">
        <f ca="1">IF(CDB[[#This Row],[Data]]-TODAY()&lt;1,"Não","Sim")</f>
        <v>Não</v>
      </c>
    </row>
    <row r="367" spans="1:6" x14ac:dyDescent="0.25">
      <c r="A367" s="9" t="s">
        <v>28</v>
      </c>
      <c r="B367" s="11">
        <f t="shared" si="41"/>
        <v>3.988138478295117</v>
      </c>
      <c r="C367" s="12">
        <v>2.5000000000000001E-3</v>
      </c>
      <c r="D367" s="30">
        <f t="shared" ref="D367:D369" si="42">B367+(C367*B367)</f>
        <v>3.9981088244908549</v>
      </c>
      <c r="E367" s="13">
        <v>46026</v>
      </c>
      <c r="F367" s="107" t="str">
        <f ca="1">IF(CDB[[#This Row],[Data]]-TODAY()&lt;1,"Não","Sim")</f>
        <v>Não</v>
      </c>
    </row>
    <row r="368" spans="1:6" x14ac:dyDescent="0.25">
      <c r="A368" s="9" t="s">
        <v>28</v>
      </c>
      <c r="B368" s="11">
        <f t="shared" si="41"/>
        <v>3.9981088244908549</v>
      </c>
      <c r="C368" s="12">
        <v>2.5000000000000001E-3</v>
      </c>
      <c r="D368" s="30">
        <f t="shared" si="42"/>
        <v>4.0081040965520822</v>
      </c>
      <c r="E368" s="13">
        <v>46027</v>
      </c>
      <c r="F368" s="107" t="str">
        <f ca="1">IF(CDB[[#This Row],[Data]]-TODAY()&lt;1,"Não","Sim")</f>
        <v>Não</v>
      </c>
    </row>
    <row r="369" spans="1:6" x14ac:dyDescent="0.25">
      <c r="A369" s="9" t="s">
        <v>28</v>
      </c>
      <c r="B369" s="11">
        <f t="shared" si="41"/>
        <v>4.0081040965520822</v>
      </c>
      <c r="C369" s="12">
        <v>2.5000000000000001E-3</v>
      </c>
      <c r="D369" s="30">
        <f t="shared" si="42"/>
        <v>4.0181243567934626</v>
      </c>
      <c r="E369" s="13">
        <v>46028</v>
      </c>
      <c r="F369" s="107" t="str">
        <f ca="1">IF(CDB[[#This Row],[Data]]-TODAY()&lt;1,"Não","Sim")</f>
        <v>Não</v>
      </c>
    </row>
  </sheetData>
  <mergeCells count="4">
    <mergeCell ref="J6:L7"/>
    <mergeCell ref="J8:L9"/>
    <mergeCell ref="J5:L5"/>
    <mergeCell ref="J11:L16"/>
  </mergeCells>
  <pageMargins left="0.511811024" right="0.511811024" top="0.78740157499999996" bottom="0.78740157499999996" header="0.31496062000000002" footer="0.31496062000000002"/>
  <pageSetup paperSize="9"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80F5-2415-4F66-BCDA-581D622F2246}">
  <dimension ref="A1:M136"/>
  <sheetViews>
    <sheetView topLeftCell="A7" workbookViewId="0">
      <selection activeCell="G28" sqref="G28"/>
    </sheetView>
  </sheetViews>
  <sheetFormatPr defaultRowHeight="15" x14ac:dyDescent="0.25"/>
  <cols>
    <col min="1" max="1" width="15.85546875" customWidth="1"/>
    <col min="2" max="2" width="11.5703125" bestFit="1" customWidth="1"/>
    <col min="3" max="3" width="13.7109375" style="1" customWidth="1"/>
    <col min="4" max="4" width="10.5703125" style="1" customWidth="1"/>
    <col min="5" max="5" width="11.140625" style="17" customWidth="1"/>
    <col min="6" max="6" width="10.28515625" style="18" bestFit="1" customWidth="1"/>
    <col min="7" max="7" width="14.42578125" customWidth="1"/>
    <col min="8" max="8" width="10.28515625" bestFit="1" customWidth="1"/>
    <col min="10" max="10" width="13.28515625" bestFit="1" customWidth="1"/>
    <col min="11" max="11" width="9.5703125" bestFit="1" customWidth="1"/>
    <col min="12" max="12" width="16.7109375" bestFit="1" customWidth="1"/>
  </cols>
  <sheetData>
    <row r="1" spans="1:13" ht="30" x14ac:dyDescent="0.25">
      <c r="J1" s="104" t="s">
        <v>26</v>
      </c>
      <c r="K1" s="15" t="s">
        <v>30</v>
      </c>
      <c r="L1" s="15" t="s">
        <v>32</v>
      </c>
    </row>
    <row r="2" spans="1:13" x14ac:dyDescent="0.25">
      <c r="J2" s="105">
        <f ca="1">SUMIFS(CDB_3[Valor],CDB_3[Futuro],"Não")+Tabela144[[#This Row],[Rendimento]]</f>
        <v>137.13636535247602</v>
      </c>
      <c r="K2" s="16">
        <f>COUNTA(CDB_3[Instituição])</f>
        <v>62</v>
      </c>
      <c r="L2" s="16">
        <f>SUMIFS(Tabela4[Valor],Tabela4[Tipo],"Entrada",Tabela4[Categoria],"Lucro",Tabela4[[Descrição ]],"CDB 2026")</f>
        <v>0.8899999999999999</v>
      </c>
    </row>
    <row r="3" spans="1:13" ht="30" x14ac:dyDescent="0.25">
      <c r="A3" s="2" t="s">
        <v>21</v>
      </c>
      <c r="B3" s="4" t="s">
        <v>6</v>
      </c>
      <c r="C3" s="4" t="s">
        <v>23</v>
      </c>
      <c r="D3" s="5" t="s">
        <v>24</v>
      </c>
      <c r="E3" s="6" t="s">
        <v>4</v>
      </c>
      <c r="F3" s="3" t="s">
        <v>25</v>
      </c>
    </row>
    <row r="4" spans="1:13" x14ac:dyDescent="0.25">
      <c r="A4" s="9" t="s">
        <v>28</v>
      </c>
      <c r="B4" s="11">
        <v>2.02</v>
      </c>
      <c r="C4" s="12">
        <v>2.5000000000000001E-3</v>
      </c>
      <c r="D4" s="11">
        <f t="shared" ref="D4" si="0">B4+(C4*B4)</f>
        <v>2.0250500000000002</v>
      </c>
      <c r="E4" s="13">
        <v>46028</v>
      </c>
      <c r="F4" s="26" t="str">
        <f ca="1">IF(CDB_3[[#This Row],[Data]]-TODAY()&lt;1,"Não","Sim")</f>
        <v>Não</v>
      </c>
      <c r="I4" s="17"/>
    </row>
    <row r="5" spans="1:13" x14ac:dyDescent="0.25">
      <c r="A5" s="9" t="s">
        <v>28</v>
      </c>
      <c r="B5" s="11">
        <f t="shared" ref="B5:B12" si="1">D4</f>
        <v>2.0250500000000002</v>
      </c>
      <c r="C5" s="12">
        <v>2.5000000000000001E-3</v>
      </c>
      <c r="D5" s="11">
        <f t="shared" ref="D5:D10" si="2">B5+(C5*B5)</f>
        <v>2.0301126250000001</v>
      </c>
      <c r="E5" s="13">
        <v>46029</v>
      </c>
      <c r="F5" s="56" t="str">
        <f ca="1">IF(CDB_3[[#This Row],[Data]]-TODAY()&lt;1,"Não","Sim")</f>
        <v>Não</v>
      </c>
      <c r="J5" s="115" t="s">
        <v>27</v>
      </c>
      <c r="K5" s="114"/>
      <c r="L5" s="114"/>
      <c r="M5" s="8"/>
    </row>
    <row r="6" spans="1:13" x14ac:dyDescent="0.25">
      <c r="A6" s="9" t="s">
        <v>28</v>
      </c>
      <c r="B6" s="11">
        <f t="shared" si="1"/>
        <v>2.0301126250000001</v>
      </c>
      <c r="C6" s="12">
        <v>2.5000000000000001E-3</v>
      </c>
      <c r="D6" s="11">
        <f t="shared" si="2"/>
        <v>2.0351879065625003</v>
      </c>
      <c r="E6" s="13">
        <v>46030</v>
      </c>
      <c r="F6" s="56" t="str">
        <f ca="1">IF(CDB_3[[#This Row],[Data]]-TODAY()&lt;1,"Não","Sim")</f>
        <v>Não</v>
      </c>
      <c r="H6" s="17"/>
      <c r="J6" s="113" t="s">
        <v>29</v>
      </c>
      <c r="K6" s="114"/>
      <c r="L6" s="114"/>
      <c r="M6" s="8"/>
    </row>
    <row r="7" spans="1:13" x14ac:dyDescent="0.25">
      <c r="A7" s="9" t="s">
        <v>28</v>
      </c>
      <c r="B7" s="11">
        <f t="shared" si="1"/>
        <v>2.0351879065625003</v>
      </c>
      <c r="C7" s="12">
        <v>2.5000000000000001E-3</v>
      </c>
      <c r="D7" s="11">
        <f t="shared" si="2"/>
        <v>2.0402758763289066</v>
      </c>
      <c r="E7" s="13">
        <v>46031</v>
      </c>
      <c r="F7" s="56" t="str">
        <f ca="1">IF(CDB_3[[#This Row],[Data]]-TODAY()&lt;1,"Não","Sim")</f>
        <v>Não</v>
      </c>
      <c r="J7" s="114"/>
      <c r="K7" s="114"/>
      <c r="L7" s="114"/>
      <c r="M7" s="8"/>
    </row>
    <row r="8" spans="1:13" x14ac:dyDescent="0.25">
      <c r="A8" s="9" t="s">
        <v>28</v>
      </c>
      <c r="B8" s="11">
        <f t="shared" si="1"/>
        <v>2.0402758763289066</v>
      </c>
      <c r="C8" s="12">
        <v>2.5000000000000001E-3</v>
      </c>
      <c r="D8" s="11">
        <f t="shared" si="2"/>
        <v>2.0453765660197289</v>
      </c>
      <c r="E8" s="13">
        <v>46032</v>
      </c>
      <c r="F8" s="56" t="str">
        <f ca="1">IF(CDB_3[[#This Row],[Data]]-TODAY()&lt;1,"Não","Sim")</f>
        <v>Não</v>
      </c>
      <c r="J8" s="115" t="s">
        <v>31</v>
      </c>
      <c r="K8" s="114"/>
      <c r="L8" s="114"/>
      <c r="M8" s="8"/>
    </row>
    <row r="9" spans="1:13" x14ac:dyDescent="0.25">
      <c r="A9" s="9" t="s">
        <v>28</v>
      </c>
      <c r="B9" s="11">
        <f t="shared" si="1"/>
        <v>2.0453765660197289</v>
      </c>
      <c r="C9" s="12">
        <v>2.5000000000000001E-3</v>
      </c>
      <c r="D9" s="11">
        <f t="shared" si="2"/>
        <v>2.0504900074347781</v>
      </c>
      <c r="E9" s="13">
        <v>46033</v>
      </c>
      <c r="F9" s="56" t="str">
        <f ca="1">IF(CDB_3[[#This Row],[Data]]-TODAY()&lt;1,"Não","Sim")</f>
        <v>Não</v>
      </c>
      <c r="H9" s="17"/>
      <c r="J9" s="114"/>
      <c r="K9" s="114"/>
      <c r="L9" s="114"/>
      <c r="M9" s="8"/>
    </row>
    <row r="10" spans="1:13" x14ac:dyDescent="0.25">
      <c r="A10" s="9" t="s">
        <v>28</v>
      </c>
      <c r="B10" s="11">
        <f t="shared" si="1"/>
        <v>2.0504900074347781</v>
      </c>
      <c r="C10" s="12">
        <v>2.5000000000000001E-3</v>
      </c>
      <c r="D10" s="11">
        <f t="shared" si="2"/>
        <v>2.0556162324533651</v>
      </c>
      <c r="E10" s="13">
        <v>46034</v>
      </c>
      <c r="F10" s="56" t="str">
        <f ca="1">IF(CDB_3[[#This Row],[Data]]-TODAY()&lt;1,"Não","Sim")</f>
        <v>Não</v>
      </c>
      <c r="H10" s="17" t="s">
        <v>124</v>
      </c>
      <c r="J10" s="8"/>
      <c r="K10" s="8"/>
      <c r="L10" s="8"/>
      <c r="M10" s="8"/>
    </row>
    <row r="11" spans="1:13" x14ac:dyDescent="0.25">
      <c r="A11" s="9" t="s">
        <v>28</v>
      </c>
      <c r="B11" s="11">
        <f t="shared" si="1"/>
        <v>2.0556162324533651</v>
      </c>
      <c r="C11" s="12">
        <v>2.5000000000000001E-3</v>
      </c>
      <c r="D11" s="11">
        <f t="shared" ref="D11:D16" si="3">B11+(C11*B11)</f>
        <v>2.0607552730344985</v>
      </c>
      <c r="E11" s="13">
        <v>46035</v>
      </c>
      <c r="F11" s="56" t="str">
        <f ca="1">IF(CDB_3[[#This Row],[Data]]-TODAY()&lt;1,"Não","Sim")</f>
        <v>Não</v>
      </c>
      <c r="J11" s="8"/>
      <c r="K11" s="8"/>
      <c r="L11" s="8"/>
      <c r="M11" s="8"/>
    </row>
    <row r="12" spans="1:13" x14ac:dyDescent="0.25">
      <c r="A12" s="9" t="s">
        <v>28</v>
      </c>
      <c r="B12" s="11">
        <f t="shared" si="1"/>
        <v>2.0607552730344985</v>
      </c>
      <c r="C12" s="12">
        <v>2.5000000000000001E-3</v>
      </c>
      <c r="D12" s="11">
        <f t="shared" si="3"/>
        <v>2.0659071612170847</v>
      </c>
      <c r="E12" s="13">
        <v>46036</v>
      </c>
      <c r="F12" s="56" t="str">
        <f ca="1">IF(CDB_3[[#This Row],[Data]]-TODAY()&lt;1,"Não","Sim")</f>
        <v>Não</v>
      </c>
      <c r="J12" s="8"/>
      <c r="K12" s="8"/>
      <c r="L12" s="8"/>
      <c r="M12" s="8"/>
    </row>
    <row r="13" spans="1:13" x14ac:dyDescent="0.25">
      <c r="A13" s="9" t="s">
        <v>28</v>
      </c>
      <c r="B13" s="11">
        <f>D12</f>
        <v>2.0659071612170847</v>
      </c>
      <c r="C13" s="12">
        <v>2.5000000000000001E-3</v>
      </c>
      <c r="D13" s="11">
        <f t="shared" si="3"/>
        <v>2.0710719291201274</v>
      </c>
      <c r="E13" s="13">
        <v>46037</v>
      </c>
      <c r="F13" s="56" t="str">
        <f ca="1">IF(CDB_3[[#This Row],[Data]]-TODAY()&lt;1,"Não","Sim")</f>
        <v>Não</v>
      </c>
      <c r="J13" s="8"/>
      <c r="K13" s="8"/>
      <c r="L13" s="8"/>
      <c r="M13" s="8"/>
    </row>
    <row r="14" spans="1:13" x14ac:dyDescent="0.25">
      <c r="A14" s="9" t="s">
        <v>28</v>
      </c>
      <c r="B14" s="11">
        <f>D13</f>
        <v>2.0710719291201274</v>
      </c>
      <c r="C14" s="12">
        <v>2.5000000000000001E-3</v>
      </c>
      <c r="D14" s="11">
        <f t="shared" si="3"/>
        <v>2.0762496089429279</v>
      </c>
      <c r="E14" s="13">
        <v>46038</v>
      </c>
      <c r="F14" s="56" t="str">
        <f ca="1">IF(CDB_3[[#This Row],[Data]]-TODAY()&lt;1,"Não","Sim")</f>
        <v>Não</v>
      </c>
      <c r="J14" s="17"/>
    </row>
    <row r="15" spans="1:13" x14ac:dyDescent="0.25">
      <c r="A15" s="9" t="s">
        <v>28</v>
      </c>
      <c r="B15" s="11">
        <f>D14</f>
        <v>2.0762496089429279</v>
      </c>
      <c r="C15" s="12">
        <v>2.5000000000000001E-3</v>
      </c>
      <c r="D15" s="11">
        <f t="shared" si="3"/>
        <v>2.081440232965285</v>
      </c>
      <c r="E15" s="13">
        <v>46039</v>
      </c>
      <c r="F15" s="56" t="str">
        <f ca="1">IF(CDB_3[[#This Row],[Data]]-TODAY()&lt;1,"Não","Sim")</f>
        <v>Não</v>
      </c>
    </row>
    <row r="16" spans="1:13" x14ac:dyDescent="0.25">
      <c r="A16" s="9" t="s">
        <v>28</v>
      </c>
      <c r="B16" s="11">
        <f>D15</f>
        <v>2.081440232965285</v>
      </c>
      <c r="C16" s="12">
        <v>2.5000000000000001E-3</v>
      </c>
      <c r="D16" s="11">
        <f t="shared" si="3"/>
        <v>2.0866438335476984</v>
      </c>
      <c r="E16" s="13">
        <v>46040</v>
      </c>
      <c r="F16" s="56" t="str">
        <f ca="1">IF(CDB_3[[#This Row],[Data]]-TODAY()&lt;1,"Não","Sim")</f>
        <v>Não</v>
      </c>
    </row>
    <row r="17" spans="1:10" x14ac:dyDescent="0.25">
      <c r="A17" s="9" t="s">
        <v>28</v>
      </c>
      <c r="B17" s="11">
        <f t="shared" ref="B17:B65" si="4">D16</f>
        <v>2.0866438335476984</v>
      </c>
      <c r="C17" s="12">
        <v>2.5000000000000001E-3</v>
      </c>
      <c r="D17" s="11">
        <f t="shared" ref="D17:D24" si="5">B17+(C17*B17)</f>
        <v>2.0918604431315675</v>
      </c>
      <c r="E17" s="13">
        <v>46041</v>
      </c>
      <c r="F17" s="56" t="str">
        <f ca="1">IF(CDB_3[[#This Row],[Data]]-TODAY()&lt;1,"Não","Sim")</f>
        <v>Não</v>
      </c>
      <c r="H17" s="17"/>
    </row>
    <row r="18" spans="1:10" x14ac:dyDescent="0.25">
      <c r="A18" s="9" t="s">
        <v>28</v>
      </c>
      <c r="B18" s="11">
        <f t="shared" si="4"/>
        <v>2.0918604431315675</v>
      </c>
      <c r="C18" s="12">
        <v>2.5000000000000001E-3</v>
      </c>
      <c r="D18" s="11">
        <f t="shared" si="5"/>
        <v>2.0970900942393964</v>
      </c>
      <c r="E18" s="13">
        <v>46042</v>
      </c>
      <c r="F18" s="56" t="str">
        <f ca="1">IF(CDB_3[[#This Row],[Data]]-TODAY()&lt;1,"Não","Sim")</f>
        <v>Não</v>
      </c>
    </row>
    <row r="19" spans="1:10" x14ac:dyDescent="0.25">
      <c r="A19" s="9" t="s">
        <v>28</v>
      </c>
      <c r="B19" s="11">
        <f t="shared" si="4"/>
        <v>2.0970900942393964</v>
      </c>
      <c r="C19" s="12">
        <v>2.5000000000000001E-3</v>
      </c>
      <c r="D19" s="11">
        <f t="shared" si="5"/>
        <v>2.1023328194749951</v>
      </c>
      <c r="E19" s="13">
        <v>46043</v>
      </c>
      <c r="F19" s="56" t="str">
        <f ca="1">IF(CDB_3[[#This Row],[Data]]-TODAY()&lt;1,"Não","Sim")</f>
        <v>Não</v>
      </c>
      <c r="H19">
        <f>369.52*7</f>
        <v>2586.64</v>
      </c>
      <c r="I19" t="s">
        <v>130</v>
      </c>
    </row>
    <row r="20" spans="1:10" x14ac:dyDescent="0.25">
      <c r="A20" s="9" t="s">
        <v>28</v>
      </c>
      <c r="B20" s="11">
        <f t="shared" si="4"/>
        <v>2.1023328194749951</v>
      </c>
      <c r="C20" s="12">
        <v>2.5000000000000001E-3</v>
      </c>
      <c r="D20" s="11">
        <f t="shared" si="5"/>
        <v>2.1075886515236824</v>
      </c>
      <c r="E20" s="13">
        <v>46044</v>
      </c>
      <c r="F20" s="56" t="str">
        <f ca="1">IF(CDB_3[[#This Row],[Data]]-TODAY()&lt;1,"Não","Sim")</f>
        <v>Não</v>
      </c>
    </row>
    <row r="21" spans="1:10" x14ac:dyDescent="0.25">
      <c r="A21" s="9" t="s">
        <v>28</v>
      </c>
      <c r="B21" s="11">
        <f t="shared" si="4"/>
        <v>2.1075886515236824</v>
      </c>
      <c r="C21" s="12">
        <v>2.5000000000000001E-3</v>
      </c>
      <c r="D21" s="11">
        <f t="shared" si="5"/>
        <v>2.1128576231524914</v>
      </c>
      <c r="E21" s="13">
        <v>46045</v>
      </c>
      <c r="F21" s="56" t="str">
        <f ca="1">IF(CDB_3[[#This Row],[Data]]-TODAY()&lt;1,"Não","Sim")</f>
        <v>Não</v>
      </c>
      <c r="H21">
        <f>476.45*5</f>
        <v>2382.25</v>
      </c>
      <c r="I21" t="s">
        <v>131</v>
      </c>
      <c r="J21" s="109">
        <v>46083</v>
      </c>
    </row>
    <row r="22" spans="1:10" x14ac:dyDescent="0.25">
      <c r="A22" s="9" t="s">
        <v>28</v>
      </c>
      <c r="B22" s="11">
        <f t="shared" si="4"/>
        <v>2.1128576231524914</v>
      </c>
      <c r="C22" s="12">
        <v>2.5000000000000001E-3</v>
      </c>
      <c r="D22" s="11">
        <f t="shared" si="5"/>
        <v>2.1181397672103728</v>
      </c>
      <c r="E22" s="13">
        <v>46046</v>
      </c>
      <c r="F22" s="56" t="str">
        <f ca="1">IF(CDB_3[[#This Row],[Data]]-TODAY()&lt;1,"Não","Sim")</f>
        <v>Não</v>
      </c>
    </row>
    <row r="23" spans="1:10" x14ac:dyDescent="0.25">
      <c r="A23" s="9" t="s">
        <v>28</v>
      </c>
      <c r="B23" s="11">
        <f t="shared" si="4"/>
        <v>2.1181397672103728</v>
      </c>
      <c r="C23" s="12">
        <v>2.5000000000000001E-3</v>
      </c>
      <c r="D23" s="11">
        <f t="shared" si="5"/>
        <v>2.1234351166283987</v>
      </c>
      <c r="E23" s="13">
        <v>46047</v>
      </c>
      <c r="F23" s="56" t="str">
        <f ca="1">IF(CDB_3[[#This Row],[Data]]-TODAY()&lt;1,"Não","Sim")</f>
        <v>Não</v>
      </c>
      <c r="I23" t="s">
        <v>132</v>
      </c>
      <c r="J23" s="109">
        <v>46054</v>
      </c>
    </row>
    <row r="24" spans="1:10" x14ac:dyDescent="0.25">
      <c r="A24" s="9" t="s">
        <v>28</v>
      </c>
      <c r="B24" s="11">
        <f t="shared" si="4"/>
        <v>2.1234351166283987</v>
      </c>
      <c r="C24" s="12">
        <v>2.5000000000000001E-3</v>
      </c>
      <c r="D24" s="11">
        <f t="shared" si="5"/>
        <v>2.1287437044199695</v>
      </c>
      <c r="E24" s="13">
        <v>46048</v>
      </c>
      <c r="F24" s="56" t="str">
        <f ca="1">IF(CDB_3[[#This Row],[Data]]-TODAY()&lt;1,"Não","Sim")</f>
        <v>Não</v>
      </c>
      <c r="H24">
        <f>466.45*5</f>
        <v>2332.25</v>
      </c>
    </row>
    <row r="25" spans="1:10" x14ac:dyDescent="0.25">
      <c r="A25" s="9" t="s">
        <v>28</v>
      </c>
      <c r="B25" s="11">
        <f t="shared" si="4"/>
        <v>2.1287437044199695</v>
      </c>
      <c r="C25" s="12">
        <v>2E-3</v>
      </c>
      <c r="D25" s="30">
        <f t="shared" ref="D25:D28" si="6">B25+(C25*B25)</f>
        <v>2.1330011918288094</v>
      </c>
      <c r="E25" s="13">
        <v>46049</v>
      </c>
      <c r="F25" s="107" t="str">
        <f ca="1">IF(CDB_3[[#This Row],[Data]]-TODAY()&lt;1,"Não","Sim")</f>
        <v>Não</v>
      </c>
    </row>
    <row r="26" spans="1:10" x14ac:dyDescent="0.25">
      <c r="A26" s="9" t="s">
        <v>28</v>
      </c>
      <c r="B26" s="11">
        <f t="shared" si="4"/>
        <v>2.1330011918288094</v>
      </c>
      <c r="C26" s="12">
        <v>2E-3</v>
      </c>
      <c r="D26" s="30">
        <f t="shared" si="6"/>
        <v>2.137267194212467</v>
      </c>
      <c r="E26" s="13">
        <v>46050</v>
      </c>
      <c r="F26" s="107" t="str">
        <f ca="1">IF(CDB_3[[#This Row],[Data]]-TODAY()&lt;1,"Não","Sim")</f>
        <v>Não</v>
      </c>
    </row>
    <row r="27" spans="1:10" x14ac:dyDescent="0.25">
      <c r="A27" s="9" t="s">
        <v>28</v>
      </c>
      <c r="B27" s="11">
        <f t="shared" si="4"/>
        <v>2.137267194212467</v>
      </c>
      <c r="C27" s="12">
        <v>2E-3</v>
      </c>
      <c r="D27" s="30">
        <f t="shared" si="6"/>
        <v>2.1415417286008918</v>
      </c>
      <c r="E27" s="13">
        <v>46051</v>
      </c>
      <c r="F27" s="107" t="str">
        <f ca="1">IF(CDB_3[[#This Row],[Data]]-TODAY()&lt;1,"Não","Sim")</f>
        <v>Não</v>
      </c>
    </row>
    <row r="28" spans="1:10" x14ac:dyDescent="0.25">
      <c r="A28" s="9" t="s">
        <v>28</v>
      </c>
      <c r="B28" s="11">
        <f t="shared" si="4"/>
        <v>2.1415417286008918</v>
      </c>
      <c r="C28" s="12">
        <v>2E-3</v>
      </c>
      <c r="D28" s="30">
        <f t="shared" si="6"/>
        <v>2.1458248120580934</v>
      </c>
      <c r="E28" s="13">
        <v>46052</v>
      </c>
      <c r="F28" s="107" t="str">
        <f ca="1">IF(CDB_3[[#This Row],[Data]]-TODAY()&lt;1,"Não","Sim")</f>
        <v>Não</v>
      </c>
    </row>
    <row r="29" spans="1:10" x14ac:dyDescent="0.25">
      <c r="A29" s="9" t="s">
        <v>28</v>
      </c>
      <c r="B29" s="11">
        <f t="shared" si="4"/>
        <v>2.1458248120580934</v>
      </c>
      <c r="C29" s="41">
        <v>2E-3</v>
      </c>
      <c r="D29" s="30">
        <f t="shared" ref="D29:D30" si="7">B29+(C29*B29)</f>
        <v>2.1501164616822095</v>
      </c>
      <c r="E29" s="13">
        <v>46053</v>
      </c>
      <c r="F29" s="107" t="str">
        <f ca="1">IF(CDB_3[[#This Row],[Data]]-TODAY()&lt;1,"Não","Sim")</f>
        <v>Não</v>
      </c>
    </row>
    <row r="30" spans="1:10" x14ac:dyDescent="0.25">
      <c r="A30" s="9" t="s">
        <v>28</v>
      </c>
      <c r="B30" s="11">
        <f t="shared" si="4"/>
        <v>2.1501164616822095</v>
      </c>
      <c r="C30" s="41">
        <v>2E-3</v>
      </c>
      <c r="D30" s="30">
        <f t="shared" si="7"/>
        <v>2.1544166946055738</v>
      </c>
      <c r="E30" s="13">
        <v>46054</v>
      </c>
      <c r="F30" s="107" t="str">
        <f ca="1">IF(CDB_3[[#This Row],[Data]]-TODAY()&lt;1,"Não","Sim")</f>
        <v>Não</v>
      </c>
    </row>
    <row r="31" spans="1:10" x14ac:dyDescent="0.25">
      <c r="A31" s="9" t="s">
        <v>28</v>
      </c>
      <c r="B31" s="11">
        <f t="shared" si="4"/>
        <v>2.1544166946055738</v>
      </c>
      <c r="C31" s="41">
        <v>2E-3</v>
      </c>
      <c r="D31" s="30">
        <f>B31+(C31*B31)</f>
        <v>2.1587255279947848</v>
      </c>
      <c r="E31" s="42">
        <v>46055</v>
      </c>
      <c r="F31" s="107" t="str">
        <f ca="1">IF(CDB_3[[#This Row],[Data]]-TODAY()&lt;1,"Não","Sim")</f>
        <v>Não</v>
      </c>
    </row>
    <row r="32" spans="1:10" x14ac:dyDescent="0.25">
      <c r="A32" s="9" t="s">
        <v>28</v>
      </c>
      <c r="B32" s="11">
        <f t="shared" si="4"/>
        <v>2.1587255279947848</v>
      </c>
      <c r="C32" s="41">
        <v>2E-3</v>
      </c>
      <c r="D32" s="11">
        <f>B32+(C32*B32)</f>
        <v>2.1630429790507741</v>
      </c>
      <c r="E32" s="13">
        <v>46056</v>
      </c>
      <c r="F32" s="56" t="str">
        <f ca="1">IF(CDB_3[[#This Row],[Data]]-TODAY()&lt;1,"Não","Sim")</f>
        <v>Não</v>
      </c>
    </row>
    <row r="33" spans="1:9" x14ac:dyDescent="0.25">
      <c r="A33" s="9" t="s">
        <v>28</v>
      </c>
      <c r="B33" s="11">
        <f t="shared" si="4"/>
        <v>2.1630429790507741</v>
      </c>
      <c r="C33" s="41">
        <v>2E-3</v>
      </c>
      <c r="D33" s="11">
        <f>B33+(C33*B33)</f>
        <v>2.1673690650088755</v>
      </c>
      <c r="E33" s="13">
        <v>46057</v>
      </c>
      <c r="F33" s="56" t="str">
        <f ca="1">IF(CDB_3[[#This Row],[Data]]-TODAY()&lt;1,"Não","Sim")</f>
        <v>Não</v>
      </c>
    </row>
    <row r="34" spans="1:9" x14ac:dyDescent="0.25">
      <c r="A34" s="9" t="s">
        <v>28</v>
      </c>
      <c r="B34" s="11">
        <f t="shared" si="4"/>
        <v>2.1673690650088755</v>
      </c>
      <c r="C34" s="41">
        <v>2E-3</v>
      </c>
      <c r="D34" s="11">
        <f>B34+(C34*B34)</f>
        <v>2.1717038031388931</v>
      </c>
      <c r="E34" s="13">
        <v>46058</v>
      </c>
      <c r="F34" s="56" t="str">
        <f ca="1">IF(CDB_3[[#This Row],[Data]]-TODAY()&lt;1,"Não","Sim")</f>
        <v>Não</v>
      </c>
    </row>
    <row r="35" spans="1:9" x14ac:dyDescent="0.25">
      <c r="A35" s="9" t="s">
        <v>28</v>
      </c>
      <c r="B35" s="11">
        <f t="shared" si="4"/>
        <v>2.1717038031388931</v>
      </c>
      <c r="C35" s="41">
        <v>2E-3</v>
      </c>
      <c r="D35" s="11">
        <f>B35+(C35*B35)</f>
        <v>2.1760472107451707</v>
      </c>
      <c r="E35" s="13">
        <v>46059</v>
      </c>
      <c r="F35" s="56" t="str">
        <f ca="1">IF(CDB_3[[#This Row],[Data]]-TODAY()&lt;1,"Não","Sim")</f>
        <v>Não</v>
      </c>
    </row>
    <row r="36" spans="1:9" x14ac:dyDescent="0.25">
      <c r="A36" s="9" t="s">
        <v>28</v>
      </c>
      <c r="B36" s="11">
        <f t="shared" si="4"/>
        <v>2.1760472107451707</v>
      </c>
      <c r="C36" s="41">
        <v>2E-3</v>
      </c>
      <c r="D36" s="30">
        <f t="shared" ref="D36:D37" si="8">B36+(C36*B36)</f>
        <v>2.1803993051666613</v>
      </c>
      <c r="E36" s="13">
        <v>46060</v>
      </c>
      <c r="F36" s="107" t="str">
        <f ca="1">IF(CDB_3[[#This Row],[Data]]-TODAY()&lt;1,"Não","Sim")</f>
        <v>Não</v>
      </c>
    </row>
    <row r="37" spans="1:9" x14ac:dyDescent="0.25">
      <c r="A37" s="9" t="s">
        <v>28</v>
      </c>
      <c r="B37" s="11">
        <f t="shared" si="4"/>
        <v>2.1803993051666613</v>
      </c>
      <c r="C37" s="41">
        <v>2E-3</v>
      </c>
      <c r="D37" s="30">
        <f t="shared" si="8"/>
        <v>2.1847601037769944</v>
      </c>
      <c r="E37" s="13">
        <v>46061</v>
      </c>
      <c r="F37" s="107" t="str">
        <f ca="1">IF(CDB_3[[#This Row],[Data]]-TODAY()&lt;1,"Não","Sim")</f>
        <v>Não</v>
      </c>
    </row>
    <row r="38" spans="1:9" x14ac:dyDescent="0.25">
      <c r="A38" s="9" t="s">
        <v>28</v>
      </c>
      <c r="B38" s="11">
        <f t="shared" si="4"/>
        <v>2.1847601037769944</v>
      </c>
      <c r="C38" s="41">
        <v>2E-3</v>
      </c>
      <c r="D38" s="30">
        <f>B38+(C38*B38)</f>
        <v>2.1891296239845484</v>
      </c>
      <c r="E38" s="13">
        <v>46062</v>
      </c>
      <c r="F38" s="107" t="str">
        <f ca="1">IF(CDB_3[[#This Row],[Data]]-TODAY()&lt;1,"Não","Sim")</f>
        <v>Não</v>
      </c>
    </row>
    <row r="39" spans="1:9" x14ac:dyDescent="0.25">
      <c r="A39" s="9" t="s">
        <v>28</v>
      </c>
      <c r="B39" s="11">
        <f t="shared" si="4"/>
        <v>2.1891296239845484</v>
      </c>
      <c r="C39" s="41">
        <v>2E-3</v>
      </c>
      <c r="D39" s="11">
        <f>B39+(C39*B39)</f>
        <v>2.1935078832325177</v>
      </c>
      <c r="E39" s="13">
        <v>46063</v>
      </c>
      <c r="F39" s="56" t="str">
        <f ca="1">IF(CDB_3[[#This Row],[Data]]-TODAY()&lt;1,"Não","Sim")</f>
        <v>Não</v>
      </c>
    </row>
    <row r="40" spans="1:9" x14ac:dyDescent="0.25">
      <c r="A40" s="9" t="s">
        <v>28</v>
      </c>
      <c r="B40" s="11">
        <f t="shared" si="4"/>
        <v>2.1935078832325177</v>
      </c>
      <c r="C40" s="41">
        <v>2E-3</v>
      </c>
      <c r="D40" s="30">
        <f>B40+(C40*B40)</f>
        <v>2.1978948989989826</v>
      </c>
      <c r="E40" s="13">
        <v>46064</v>
      </c>
      <c r="F40" s="107" t="str">
        <f ca="1">IF(CDB_3[[#This Row],[Data]]-TODAY()&lt;1,"Não","Sim")</f>
        <v>Não</v>
      </c>
    </row>
    <row r="41" spans="1:9" x14ac:dyDescent="0.25">
      <c r="A41" s="9" t="s">
        <v>28</v>
      </c>
      <c r="B41" s="11">
        <f t="shared" si="4"/>
        <v>2.1978948989989826</v>
      </c>
      <c r="C41" s="131">
        <v>8.3999999999999995E-3</v>
      </c>
      <c r="D41" s="132">
        <f t="shared" ref="D41:D65" si="9">B41+(C41*B41)</f>
        <v>2.2163572161505742</v>
      </c>
      <c r="E41" s="13">
        <v>46065</v>
      </c>
      <c r="F41" s="107" t="str">
        <f ca="1">IF(CDB_3[[#This Row],[Data]]-TODAY()&lt;1,"Não","Sim")</f>
        <v>Não</v>
      </c>
    </row>
    <row r="42" spans="1:9" x14ac:dyDescent="0.25">
      <c r="A42" s="9" t="s">
        <v>28</v>
      </c>
      <c r="B42" s="11">
        <f t="shared" si="4"/>
        <v>2.2163572161505742</v>
      </c>
      <c r="C42" s="131">
        <v>8.3999999999999995E-3</v>
      </c>
      <c r="D42" s="132">
        <f t="shared" si="9"/>
        <v>2.2349746167662392</v>
      </c>
      <c r="E42" s="13">
        <v>46066</v>
      </c>
      <c r="F42" s="107" t="str">
        <f ca="1">IF(CDB_3[[#This Row],[Data]]-TODAY()&lt;1,"Não","Sim")</f>
        <v>Não</v>
      </c>
      <c r="G42" s="17"/>
    </row>
    <row r="43" spans="1:9" x14ac:dyDescent="0.25">
      <c r="A43" s="9" t="s">
        <v>28</v>
      </c>
      <c r="B43" s="11">
        <f t="shared" si="4"/>
        <v>2.2349746167662392</v>
      </c>
      <c r="C43" s="131">
        <v>8.3999999999999995E-3</v>
      </c>
      <c r="D43" s="132">
        <f t="shared" si="9"/>
        <v>2.2537484035470756</v>
      </c>
      <c r="E43" s="13">
        <v>46067</v>
      </c>
      <c r="F43" s="107" t="str">
        <f ca="1">IF(CDB_3[[#This Row],[Data]]-TODAY()&lt;1,"Não","Sim")</f>
        <v>Não</v>
      </c>
      <c r="G43" s="64"/>
    </row>
    <row r="44" spans="1:9" x14ac:dyDescent="0.25">
      <c r="A44" s="9" t="s">
        <v>28</v>
      </c>
      <c r="B44" s="11">
        <f t="shared" si="4"/>
        <v>2.2537484035470756</v>
      </c>
      <c r="C44" s="131">
        <v>8.3999999999999995E-3</v>
      </c>
      <c r="D44" s="132">
        <f t="shared" si="9"/>
        <v>2.272679890136871</v>
      </c>
      <c r="E44" s="13">
        <v>46068</v>
      </c>
      <c r="F44" s="107" t="str">
        <f ca="1">IF(CDB_3[[#This Row],[Data]]-TODAY()&lt;1,"Não","Sim")</f>
        <v>Não</v>
      </c>
    </row>
    <row r="45" spans="1:9" x14ac:dyDescent="0.25">
      <c r="A45" s="9" t="s">
        <v>28</v>
      </c>
      <c r="B45" s="11">
        <f t="shared" si="4"/>
        <v>2.272679890136871</v>
      </c>
      <c r="C45" s="131">
        <v>8.3999999999999995E-3</v>
      </c>
      <c r="D45" s="132">
        <f t="shared" si="9"/>
        <v>2.2917704012140208</v>
      </c>
      <c r="E45" s="13">
        <v>46069</v>
      </c>
      <c r="F45" s="107" t="str">
        <f ca="1">IF(CDB_3[[#This Row],[Data]]-TODAY()&lt;1,"Não","Sim")</f>
        <v>Não</v>
      </c>
    </row>
    <row r="46" spans="1:9" x14ac:dyDescent="0.25">
      <c r="A46" s="9" t="s">
        <v>28</v>
      </c>
      <c r="B46" s="11">
        <f t="shared" si="4"/>
        <v>2.2917704012140208</v>
      </c>
      <c r="C46" s="131">
        <v>8.3999999999999995E-3</v>
      </c>
      <c r="D46" s="132">
        <f t="shared" si="9"/>
        <v>2.3110212725842185</v>
      </c>
      <c r="E46" s="13">
        <v>46070</v>
      </c>
      <c r="F46" s="107" t="str">
        <f ca="1">IF(CDB_3[[#This Row],[Data]]-TODAY()&lt;1,"Não","Sim")</f>
        <v>Não</v>
      </c>
      <c r="I46" s="17"/>
    </row>
    <row r="47" spans="1:9" x14ac:dyDescent="0.25">
      <c r="A47" s="9" t="s">
        <v>28</v>
      </c>
      <c r="B47" s="11">
        <f t="shared" si="4"/>
        <v>2.3110212725842185</v>
      </c>
      <c r="C47" s="131">
        <v>8.3999999999999995E-3</v>
      </c>
      <c r="D47" s="132">
        <f t="shared" si="9"/>
        <v>2.3304338512739258</v>
      </c>
      <c r="E47" s="13">
        <v>46071</v>
      </c>
      <c r="F47" s="107" t="str">
        <f ca="1">IF(CDB_3[[#This Row],[Data]]-TODAY()&lt;1,"Não","Sim")</f>
        <v>Não</v>
      </c>
    </row>
    <row r="48" spans="1:9" x14ac:dyDescent="0.25">
      <c r="A48" s="9" t="s">
        <v>28</v>
      </c>
      <c r="B48" s="11">
        <f t="shared" si="4"/>
        <v>2.3304338512739258</v>
      </c>
      <c r="C48" s="131">
        <v>8.3999999999999995E-3</v>
      </c>
      <c r="D48" s="132">
        <f t="shared" si="9"/>
        <v>2.3500094956246267</v>
      </c>
      <c r="E48" s="13">
        <v>46072</v>
      </c>
      <c r="F48" s="107" t="str">
        <f ca="1">IF(CDB_3[[#This Row],[Data]]-TODAY()&lt;1,"Não","Sim")</f>
        <v>Não</v>
      </c>
    </row>
    <row r="49" spans="1:6" x14ac:dyDescent="0.25">
      <c r="A49" s="9" t="s">
        <v>28</v>
      </c>
      <c r="B49" s="11">
        <f t="shared" si="4"/>
        <v>2.3500094956246267</v>
      </c>
      <c r="C49" s="131">
        <v>8.3999999999999995E-3</v>
      </c>
      <c r="D49" s="132">
        <f t="shared" si="9"/>
        <v>2.3697495753878735</v>
      </c>
      <c r="E49" s="13">
        <v>46073</v>
      </c>
      <c r="F49" s="107" t="str">
        <f ca="1">IF(CDB_3[[#This Row],[Data]]-TODAY()&lt;1,"Não","Sim")</f>
        <v>Não</v>
      </c>
    </row>
    <row r="50" spans="1:6" x14ac:dyDescent="0.25">
      <c r="A50" s="9" t="s">
        <v>28</v>
      </c>
      <c r="B50" s="11">
        <f t="shared" si="4"/>
        <v>2.3697495753878735</v>
      </c>
      <c r="C50" s="131">
        <v>8.3999999999999995E-3</v>
      </c>
      <c r="D50" s="132">
        <f t="shared" si="9"/>
        <v>2.3896554718211318</v>
      </c>
      <c r="E50" s="13">
        <v>46074</v>
      </c>
      <c r="F50" s="107" t="str">
        <f ca="1">IF(CDB_3[[#This Row],[Data]]-TODAY()&lt;1,"Não","Sim")</f>
        <v>Não</v>
      </c>
    </row>
    <row r="51" spans="1:6" x14ac:dyDescent="0.25">
      <c r="A51" s="9" t="s">
        <v>28</v>
      </c>
      <c r="B51" s="11">
        <f t="shared" si="4"/>
        <v>2.3896554718211318</v>
      </c>
      <c r="C51" s="131">
        <v>8.3999999999999995E-3</v>
      </c>
      <c r="D51" s="132">
        <f t="shared" si="9"/>
        <v>2.4097285777844295</v>
      </c>
      <c r="E51" s="13">
        <v>46075</v>
      </c>
      <c r="F51" s="107" t="str">
        <f ca="1">IF(CDB_3[[#This Row],[Data]]-TODAY()&lt;1,"Não","Sim")</f>
        <v>Não</v>
      </c>
    </row>
    <row r="52" spans="1:6" x14ac:dyDescent="0.25">
      <c r="A52" s="9" t="s">
        <v>28</v>
      </c>
      <c r="B52" s="11">
        <f t="shared" si="4"/>
        <v>2.4097285777844295</v>
      </c>
      <c r="C52" s="131">
        <v>8.3999999999999995E-3</v>
      </c>
      <c r="D52" s="132">
        <f t="shared" si="9"/>
        <v>2.4299702978378188</v>
      </c>
      <c r="E52" s="13">
        <v>46076</v>
      </c>
      <c r="F52" s="107" t="str">
        <f ca="1">IF(CDB_3[[#This Row],[Data]]-TODAY()&lt;1,"Não","Sim")</f>
        <v>Não</v>
      </c>
    </row>
    <row r="53" spans="1:6" x14ac:dyDescent="0.25">
      <c r="A53" s="9" t="s">
        <v>28</v>
      </c>
      <c r="B53" s="11">
        <f t="shared" si="4"/>
        <v>2.4299702978378188</v>
      </c>
      <c r="C53" s="131">
        <v>8.3999999999999995E-3</v>
      </c>
      <c r="D53" s="132">
        <f t="shared" si="9"/>
        <v>2.4503820483396566</v>
      </c>
      <c r="E53" s="13">
        <v>46077</v>
      </c>
      <c r="F53" s="107" t="str">
        <f ca="1">IF(CDB_3[[#This Row],[Data]]-TODAY()&lt;1,"Não","Sim")</f>
        <v>Não</v>
      </c>
    </row>
    <row r="54" spans="1:6" x14ac:dyDescent="0.25">
      <c r="A54" s="9" t="s">
        <v>28</v>
      </c>
      <c r="B54" s="11">
        <f t="shared" si="4"/>
        <v>2.4503820483396566</v>
      </c>
      <c r="C54" s="131">
        <v>8.3999999999999995E-3</v>
      </c>
      <c r="D54" s="132">
        <f t="shared" si="9"/>
        <v>2.4709652575457097</v>
      </c>
      <c r="E54" s="13">
        <v>46078</v>
      </c>
      <c r="F54" s="107" t="str">
        <f ca="1">IF(CDB_3[[#This Row],[Data]]-TODAY()&lt;1,"Não","Sim")</f>
        <v>Não</v>
      </c>
    </row>
    <row r="55" spans="1:6" x14ac:dyDescent="0.25">
      <c r="A55" s="9" t="s">
        <v>28</v>
      </c>
      <c r="B55" s="11">
        <f t="shared" si="4"/>
        <v>2.4709652575457097</v>
      </c>
      <c r="C55" s="131">
        <v>8.3999999999999995E-3</v>
      </c>
      <c r="D55" s="132">
        <f t="shared" si="9"/>
        <v>2.4917213657090937</v>
      </c>
      <c r="E55" s="13">
        <v>46079</v>
      </c>
      <c r="F55" s="107" t="str">
        <f ca="1">IF(CDB_3[[#This Row],[Data]]-TODAY()&lt;1,"Não","Sim")</f>
        <v>Não</v>
      </c>
    </row>
    <row r="56" spans="1:6" x14ac:dyDescent="0.25">
      <c r="A56" s="9" t="s">
        <v>28</v>
      </c>
      <c r="B56" s="11">
        <f t="shared" si="4"/>
        <v>2.4917213657090937</v>
      </c>
      <c r="C56" s="131">
        <v>8.3999999999999995E-3</v>
      </c>
      <c r="D56" s="132">
        <f t="shared" si="9"/>
        <v>2.5126518251810501</v>
      </c>
      <c r="E56" s="13">
        <v>46080</v>
      </c>
      <c r="F56" s="107" t="str">
        <f ca="1">IF(CDB_3[[#This Row],[Data]]-TODAY()&lt;1,"Não","Sim")</f>
        <v>Não</v>
      </c>
    </row>
    <row r="57" spans="1:6" x14ac:dyDescent="0.25">
      <c r="A57" s="9" t="s">
        <v>28</v>
      </c>
      <c r="B57" s="11">
        <f t="shared" si="4"/>
        <v>2.5126518251810501</v>
      </c>
      <c r="C57" s="131">
        <v>8.3999999999999995E-3</v>
      </c>
      <c r="D57" s="132">
        <f t="shared" si="9"/>
        <v>2.5337581005125709</v>
      </c>
      <c r="E57" s="13">
        <v>46081</v>
      </c>
      <c r="F57" s="107" t="str">
        <f ca="1">IF(CDB_3[[#This Row],[Data]]-TODAY()&lt;1,"Não","Sim")</f>
        <v>Não</v>
      </c>
    </row>
    <row r="58" spans="1:6" x14ac:dyDescent="0.25">
      <c r="A58" s="9" t="s">
        <v>28</v>
      </c>
      <c r="B58" s="11">
        <f t="shared" si="4"/>
        <v>2.5337581005125709</v>
      </c>
      <c r="C58" s="131">
        <v>8.3999999999999995E-3</v>
      </c>
      <c r="D58" s="132">
        <f t="shared" si="9"/>
        <v>2.5550416685568766</v>
      </c>
      <c r="E58" s="13">
        <v>46082</v>
      </c>
      <c r="F58" s="107" t="str">
        <f ca="1">IF(CDB_3[[#This Row],[Data]]-TODAY()&lt;1,"Não","Sim")</f>
        <v>Não</v>
      </c>
    </row>
    <row r="59" spans="1:6" x14ac:dyDescent="0.25">
      <c r="A59" s="9" t="s">
        <v>28</v>
      </c>
      <c r="B59" s="11">
        <f t="shared" si="4"/>
        <v>2.5550416685568766</v>
      </c>
      <c r="C59" s="131">
        <v>8.3999999999999995E-3</v>
      </c>
      <c r="D59" s="132">
        <f t="shared" si="9"/>
        <v>2.5765040185727544</v>
      </c>
      <c r="E59" s="13">
        <v>46083</v>
      </c>
      <c r="F59" s="107" t="str">
        <f ca="1">IF(CDB_3[[#This Row],[Data]]-TODAY()&lt;1,"Não","Sim")</f>
        <v>Não</v>
      </c>
    </row>
    <row r="60" spans="1:6" x14ac:dyDescent="0.25">
      <c r="A60" s="9" t="s">
        <v>28</v>
      </c>
      <c r="B60" s="11">
        <f t="shared" si="4"/>
        <v>2.5765040185727544</v>
      </c>
      <c r="C60" s="131">
        <v>8.3999999999999995E-3</v>
      </c>
      <c r="D60" s="132">
        <f t="shared" si="9"/>
        <v>2.5981466523287655</v>
      </c>
      <c r="E60" s="13">
        <v>46084</v>
      </c>
      <c r="F60" s="107" t="str">
        <f ca="1">IF(CDB_3[[#This Row],[Data]]-TODAY()&lt;1,"Não","Sim")</f>
        <v>Não</v>
      </c>
    </row>
    <row r="61" spans="1:6" x14ac:dyDescent="0.25">
      <c r="A61" s="9" t="s">
        <v>28</v>
      </c>
      <c r="B61" s="11">
        <f t="shared" si="4"/>
        <v>2.5981466523287655</v>
      </c>
      <c r="C61" s="131">
        <v>8.3999999999999995E-3</v>
      </c>
      <c r="D61" s="132">
        <f t="shared" si="9"/>
        <v>2.619971084208327</v>
      </c>
      <c r="E61" s="13">
        <v>46085</v>
      </c>
      <c r="F61" s="107" t="str">
        <f ca="1">IF(CDB_3[[#This Row],[Data]]-TODAY()&lt;1,"Não","Sim")</f>
        <v>Não</v>
      </c>
    </row>
    <row r="62" spans="1:6" x14ac:dyDescent="0.25">
      <c r="A62" s="9" t="s">
        <v>28</v>
      </c>
      <c r="B62" s="11">
        <f t="shared" si="4"/>
        <v>2.619971084208327</v>
      </c>
      <c r="C62" s="131">
        <v>8.3999999999999995E-3</v>
      </c>
      <c r="D62" s="132">
        <f t="shared" si="9"/>
        <v>2.6419788413156771</v>
      </c>
      <c r="E62" s="13">
        <v>46086</v>
      </c>
      <c r="F62" s="107" t="str">
        <f ca="1">IF(CDB_3[[#This Row],[Data]]-TODAY()&lt;1,"Não","Sim")</f>
        <v>Não</v>
      </c>
    </row>
    <row r="63" spans="1:6" x14ac:dyDescent="0.25">
      <c r="A63" s="9" t="s">
        <v>28</v>
      </c>
      <c r="B63" s="11">
        <f t="shared" si="4"/>
        <v>2.6419788413156771</v>
      </c>
      <c r="C63" s="131">
        <v>8.3999999999999995E-3</v>
      </c>
      <c r="D63" s="132">
        <f t="shared" si="9"/>
        <v>2.6641714635827287</v>
      </c>
      <c r="E63" s="13">
        <v>46087</v>
      </c>
      <c r="F63" s="107" t="str">
        <f ca="1">IF(CDB_3[[#This Row],[Data]]-TODAY()&lt;1,"Não","Sim")</f>
        <v>Não</v>
      </c>
    </row>
    <row r="64" spans="1:6" x14ac:dyDescent="0.25">
      <c r="A64" s="9" t="s">
        <v>28</v>
      </c>
      <c r="B64" s="11">
        <f t="shared" si="4"/>
        <v>2.6641714635827287</v>
      </c>
      <c r="C64" s="131">
        <v>8.3999999999999995E-3</v>
      </c>
      <c r="D64" s="132">
        <f t="shared" si="9"/>
        <v>2.6865505038768238</v>
      </c>
      <c r="E64" s="13">
        <v>46088</v>
      </c>
      <c r="F64" s="107" t="str">
        <f ca="1">IF(CDB_3[[#This Row],[Data]]-TODAY()&lt;1,"Não","Sim")</f>
        <v>Não</v>
      </c>
    </row>
    <row r="65" spans="1:8" x14ac:dyDescent="0.25">
      <c r="A65" s="9" t="s">
        <v>28</v>
      </c>
      <c r="B65" s="11">
        <f t="shared" si="4"/>
        <v>2.6865505038768238</v>
      </c>
      <c r="C65" s="131">
        <v>8.3999999999999995E-3</v>
      </c>
      <c r="D65" s="132">
        <f t="shared" si="9"/>
        <v>2.7091175281093891</v>
      </c>
      <c r="E65" s="13">
        <v>46089</v>
      </c>
      <c r="F65" s="107" t="str">
        <f ca="1">IF(CDB_3[[#This Row],[Data]]-TODAY()&lt;1,"Não","Sim")</f>
        <v>Sim</v>
      </c>
    </row>
    <row r="80" spans="1:8" x14ac:dyDescent="0.25">
      <c r="H80" s="17"/>
    </row>
    <row r="90" spans="8:8" x14ac:dyDescent="0.25">
      <c r="H90" s="17"/>
    </row>
    <row r="110" spans="8:8" x14ac:dyDescent="0.25">
      <c r="H110" s="17"/>
    </row>
    <row r="120" spans="9:9" x14ac:dyDescent="0.25">
      <c r="I120" s="17"/>
    </row>
    <row r="136" spans="9:9" x14ac:dyDescent="0.25">
      <c r="I136" s="17"/>
    </row>
  </sheetData>
  <mergeCells count="3">
    <mergeCell ref="J5:L5"/>
    <mergeCell ref="J6:L7"/>
    <mergeCell ref="J8:L9"/>
  </mergeCells>
  <pageMargins left="0.511811024" right="0.511811024" top="0.78740157499999996" bottom="0.78740157499999996" header="0.31496062000000002" footer="0.31496062000000002"/>
  <pageSetup paperSize="9" orientation="portrait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0962-55A8-44B4-80E1-DE0C2778135D}">
  <dimension ref="A1:K10"/>
  <sheetViews>
    <sheetView workbookViewId="0">
      <selection activeCell="G13" sqref="G13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0.28515625" bestFit="1" customWidth="1"/>
    <col min="4" max="4" width="11.42578125" bestFit="1" customWidth="1"/>
    <col min="5" max="5" width="11.5703125" bestFit="1" customWidth="1"/>
    <col min="6" max="7" width="10.28515625" bestFit="1" customWidth="1"/>
    <col min="8" max="8" width="14.28515625" bestFit="1" customWidth="1"/>
    <col min="9" max="10" width="9.5703125" bestFit="1" customWidth="1"/>
  </cols>
  <sheetData>
    <row r="1" spans="1:11" x14ac:dyDescent="0.25">
      <c r="A1" s="116" t="s">
        <v>93</v>
      </c>
      <c r="B1" s="116"/>
      <c r="C1" s="116"/>
      <c r="D1" s="116"/>
      <c r="E1" s="116"/>
      <c r="F1" s="116"/>
      <c r="G1" s="116"/>
    </row>
    <row r="2" spans="1:11" x14ac:dyDescent="0.25">
      <c r="A2" s="116"/>
      <c r="B2" s="116"/>
      <c r="C2" s="116"/>
      <c r="D2" s="116"/>
      <c r="E2" s="116"/>
      <c r="F2" s="116"/>
      <c r="G2" s="116"/>
    </row>
    <row r="3" spans="1:11" ht="30.75" customHeight="1" x14ac:dyDescent="0.25">
      <c r="A3" s="19" t="s">
        <v>21</v>
      </c>
      <c r="B3" s="20" t="s">
        <v>94</v>
      </c>
      <c r="C3" s="20" t="s">
        <v>44</v>
      </c>
      <c r="D3" s="20" t="s">
        <v>96</v>
      </c>
      <c r="E3" s="20" t="s">
        <v>15</v>
      </c>
      <c r="F3" s="20" t="s">
        <v>95</v>
      </c>
      <c r="G3" s="20" t="s">
        <v>4</v>
      </c>
      <c r="H3" s="21" t="s">
        <v>50</v>
      </c>
      <c r="J3" s="89" t="s">
        <v>40</v>
      </c>
      <c r="K3" s="89" t="s">
        <v>15</v>
      </c>
    </row>
    <row r="4" spans="1:11" x14ac:dyDescent="0.25">
      <c r="A4" s="9" t="s">
        <v>97</v>
      </c>
      <c r="B4" s="59">
        <v>12</v>
      </c>
      <c r="C4" s="10" t="e" vm="2">
        <v>#VALUE!</v>
      </c>
      <c r="D4" s="10">
        <v>1.969E-5</v>
      </c>
      <c r="E4" s="35">
        <f ca="1">Crypto[[#This Row],[Valor Venda]]-Crypto[[#This Row],[Valor Compra]]</f>
        <v>-5.0226122200000001</v>
      </c>
      <c r="F4" s="59" cm="1">
        <f t="array" aca="1" ref="F4" ca="1">_FV(Crypto[[#This Row],[Ticker]],"preço")*Crypto[[#This Row],[Quantidade]]</f>
        <v>6.9773877799999999</v>
      </c>
      <c r="G4" s="56">
        <v>45817</v>
      </c>
      <c r="H4" s="14" t="s">
        <v>53</v>
      </c>
      <c r="J4" s="90">
        <f ca="1">SUM(Crypto[Valor Venda])</f>
        <v>24.33049492</v>
      </c>
      <c r="K4" s="91">
        <f ca="1">SUM(Crypto[[#This Row],[Lucro]])</f>
        <v>-5.0226122200000001</v>
      </c>
    </row>
    <row r="5" spans="1:11" x14ac:dyDescent="0.25">
      <c r="A5" s="9" t="s">
        <v>97</v>
      </c>
      <c r="B5" s="59">
        <v>24.00211131</v>
      </c>
      <c r="C5" s="10" t="e" vm="2">
        <v>#VALUE!</v>
      </c>
      <c r="D5" s="10">
        <v>4.897E-5</v>
      </c>
      <c r="E5" s="76">
        <f ca="1">Crypto[[#This Row],[Valor Venda]]-Crypto[[#This Row],[Valor Compra]]</f>
        <v>-6.6490041700000013</v>
      </c>
      <c r="F5" s="59" cm="1">
        <f t="array" aca="1" ref="F5" ca="1">_FV(Crypto[[#This Row],[Ticker]],"preço")*Crypto[[#This Row],[Quantidade]]</f>
        <v>17.353107139999999</v>
      </c>
      <c r="G5" s="56">
        <v>46032</v>
      </c>
      <c r="H5" s="14" t="s">
        <v>53</v>
      </c>
    </row>
    <row r="10" spans="1:11" x14ac:dyDescent="0.25">
      <c r="B10" t="s">
        <v>98</v>
      </c>
    </row>
  </sheetData>
  <mergeCells count="1">
    <mergeCell ref="A1:G2"/>
  </mergeCells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workbookViewId="0">
      <selection activeCell="E22" sqref="E22"/>
    </sheetView>
  </sheetViews>
  <sheetFormatPr defaultRowHeight="15" x14ac:dyDescent="0.25"/>
  <cols>
    <col min="1" max="1" width="15.7109375" bestFit="1" customWidth="1"/>
    <col min="2" max="2" width="25.28515625" bestFit="1" customWidth="1"/>
    <col min="3" max="3" width="13.5703125" bestFit="1" customWidth="1"/>
    <col min="4" max="5" width="10.5703125" bestFit="1" customWidth="1"/>
    <col min="6" max="6" width="13.42578125" bestFit="1" customWidth="1"/>
    <col min="7" max="7" width="10.28515625" bestFit="1" customWidth="1"/>
    <col min="8" max="8" width="8.85546875" customWidth="1"/>
    <col min="9" max="9" width="10.7109375" customWidth="1"/>
    <col min="11" max="11" width="11.5703125" bestFit="1" customWidth="1"/>
    <col min="12" max="12" width="9.5703125" bestFit="1" customWidth="1"/>
    <col min="13" max="13" width="10" bestFit="1" customWidth="1"/>
  </cols>
  <sheetData>
    <row r="1" spans="1:19" x14ac:dyDescent="0.25">
      <c r="A1" s="117" t="s">
        <v>34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</row>
    <row r="2" spans="1:19" x14ac:dyDescent="0.25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2"/>
      <c r="Q2" s="115" t="s">
        <v>27</v>
      </c>
      <c r="R2" s="114"/>
      <c r="S2" s="114"/>
    </row>
    <row r="3" spans="1:19" x14ac:dyDescent="0.25">
      <c r="L3" s="48" t="e" vm="1">
        <v>#VALUE!</v>
      </c>
      <c r="Q3" s="113" t="s">
        <v>29</v>
      </c>
      <c r="R3" s="114"/>
      <c r="S3" s="114"/>
    </row>
    <row r="4" spans="1:19" ht="30" customHeight="1" x14ac:dyDescent="0.25">
      <c r="A4" s="19" t="s">
        <v>35</v>
      </c>
      <c r="B4" s="20" t="s">
        <v>8</v>
      </c>
      <c r="C4" s="20" t="s">
        <v>36</v>
      </c>
      <c r="D4" s="20" t="s">
        <v>37</v>
      </c>
      <c r="E4" s="20" t="s">
        <v>38</v>
      </c>
      <c r="F4" s="20" t="s">
        <v>39</v>
      </c>
      <c r="G4" s="21" t="s">
        <v>4</v>
      </c>
      <c r="I4" s="43" t="s">
        <v>40</v>
      </c>
      <c r="K4" s="47" t="s">
        <v>41</v>
      </c>
      <c r="M4" s="51" t="s">
        <v>42</v>
      </c>
      <c r="Q4" s="114"/>
      <c r="R4" s="114"/>
      <c r="S4" s="114"/>
    </row>
    <row r="5" spans="1:19" ht="24" customHeight="1" x14ac:dyDescent="0.25">
      <c r="A5" s="63" t="s">
        <v>12</v>
      </c>
      <c r="B5" s="66" t="s">
        <v>43</v>
      </c>
      <c r="C5" s="30">
        <v>10</v>
      </c>
      <c r="D5" s="30">
        <v>6.1</v>
      </c>
      <c r="E5" s="30">
        <v>0.11</v>
      </c>
      <c r="F5" s="67">
        <f t="shared" ref="F5:F10" si="0">(C5-E5)/D5</f>
        <v>1.6213114754098363</v>
      </c>
      <c r="G5" s="68">
        <v>45664</v>
      </c>
      <c r="I5" s="45">
        <f>SUM(Dolar[Valor em dólar])</f>
        <v>49.997792330328274</v>
      </c>
      <c r="K5" s="49">
        <f t="array" aca="1" ref="K5" ca="1">_FV(L3,"Preço")</f>
        <v>5.2439999999999998</v>
      </c>
      <c r="M5" s="52">
        <f ca="1">K5*I5</f>
        <v>262.18842298024146</v>
      </c>
      <c r="Q5" s="115" t="s">
        <v>31</v>
      </c>
      <c r="R5" s="114"/>
      <c r="S5" s="114"/>
    </row>
    <row r="6" spans="1:19" x14ac:dyDescent="0.25">
      <c r="A6" s="63" t="s">
        <v>12</v>
      </c>
      <c r="B6" s="66" t="s">
        <v>43</v>
      </c>
      <c r="C6" s="69">
        <v>10</v>
      </c>
      <c r="D6" s="69">
        <v>6.05</v>
      </c>
      <c r="E6" s="69">
        <v>0.11</v>
      </c>
      <c r="F6" s="70">
        <f t="shared" si="0"/>
        <v>1.634710743801653</v>
      </c>
      <c r="G6" s="71">
        <v>45671</v>
      </c>
      <c r="Q6" s="114"/>
      <c r="R6" s="114"/>
      <c r="S6" s="114"/>
    </row>
    <row r="7" spans="1:19" x14ac:dyDescent="0.25">
      <c r="A7" s="63" t="s">
        <v>12</v>
      </c>
      <c r="B7" s="66" t="s">
        <v>43</v>
      </c>
      <c r="C7" s="72">
        <v>10</v>
      </c>
      <c r="D7" s="73">
        <v>5.9</v>
      </c>
      <c r="E7" s="72">
        <v>0.11</v>
      </c>
      <c r="F7" s="74">
        <f t="shared" si="0"/>
        <v>1.6762711864406779</v>
      </c>
      <c r="G7" s="71">
        <v>45684</v>
      </c>
      <c r="I7" s="43" t="s">
        <v>64</v>
      </c>
      <c r="K7" s="43" t="s">
        <v>15</v>
      </c>
    </row>
    <row r="8" spans="1:19" x14ac:dyDescent="0.25">
      <c r="A8" s="75" t="s">
        <v>12</v>
      </c>
      <c r="B8" s="66" t="s">
        <v>43</v>
      </c>
      <c r="C8" s="72">
        <v>10</v>
      </c>
      <c r="D8" s="72">
        <v>5.7</v>
      </c>
      <c r="E8" s="72">
        <v>0.11</v>
      </c>
      <c r="F8" s="74">
        <f t="shared" si="0"/>
        <v>1.7350877192982457</v>
      </c>
      <c r="G8" s="71">
        <v>45708</v>
      </c>
      <c r="I8" s="49">
        <f>SUM(Dolar[Valor de depósito])</f>
        <v>296.74</v>
      </c>
      <c r="K8" s="49">
        <f ca="1">M5-I8</f>
        <v>-34.551577019758554</v>
      </c>
    </row>
    <row r="9" spans="1:19" x14ac:dyDescent="0.25">
      <c r="A9" s="63" t="s">
        <v>12</v>
      </c>
      <c r="B9" s="66" t="s">
        <v>43</v>
      </c>
      <c r="C9" s="72">
        <v>19.68</v>
      </c>
      <c r="D9" s="72">
        <v>5.78</v>
      </c>
      <c r="E9" s="72">
        <v>0.43</v>
      </c>
      <c r="F9" s="74">
        <f t="shared" si="0"/>
        <v>3.3304498269896192</v>
      </c>
      <c r="G9" s="71">
        <v>45695</v>
      </c>
    </row>
    <row r="10" spans="1:19" x14ac:dyDescent="0.25">
      <c r="A10" s="63" t="s">
        <v>76</v>
      </c>
      <c r="B10" s="66" t="s">
        <v>43</v>
      </c>
      <c r="C10" s="72">
        <v>8.9700000000000006</v>
      </c>
      <c r="D10" s="72">
        <v>5.74</v>
      </c>
      <c r="E10" s="72">
        <v>0.2</v>
      </c>
      <c r="F10" s="74">
        <f t="shared" si="0"/>
        <v>1.5278745644599305</v>
      </c>
      <c r="G10" s="71">
        <v>45730</v>
      </c>
    </row>
    <row r="11" spans="1:19" x14ac:dyDescent="0.25">
      <c r="A11" s="63" t="s">
        <v>76</v>
      </c>
      <c r="B11" s="66" t="s">
        <v>43</v>
      </c>
      <c r="C11" s="72">
        <v>49.03</v>
      </c>
      <c r="D11" s="72">
        <v>5.68</v>
      </c>
      <c r="E11" s="72">
        <v>0.9</v>
      </c>
      <c r="F11" s="74">
        <f>(C11-E11)/D11</f>
        <v>8.4735915492957758</v>
      </c>
      <c r="G11" s="71">
        <v>45736</v>
      </c>
    </row>
    <row r="12" spans="1:19" x14ac:dyDescent="0.25">
      <c r="A12" s="63" t="s">
        <v>76</v>
      </c>
      <c r="B12" s="66" t="s">
        <v>43</v>
      </c>
      <c r="C12" s="72">
        <v>10</v>
      </c>
      <c r="D12" s="72">
        <v>5.6997999999999998</v>
      </c>
      <c r="E12" s="72">
        <v>0.2</v>
      </c>
      <c r="F12" s="74">
        <f>(C12-E12)/D12</f>
        <v>1.7193585739850523</v>
      </c>
      <c r="G12" s="71">
        <v>45741</v>
      </c>
    </row>
    <row r="13" spans="1:19" x14ac:dyDescent="0.25">
      <c r="A13" s="63" t="s">
        <v>76</v>
      </c>
      <c r="B13" s="66" t="s">
        <v>43</v>
      </c>
      <c r="C13" s="72">
        <v>49.06</v>
      </c>
      <c r="D13" s="72">
        <v>5.86</v>
      </c>
      <c r="E13" s="72">
        <v>0.5</v>
      </c>
      <c r="F13" s="74">
        <v>8.2799999999999994</v>
      </c>
      <c r="G13" s="71">
        <v>45752</v>
      </c>
      <c r="L13" s="65"/>
    </row>
    <row r="14" spans="1:19" x14ac:dyDescent="0.25">
      <c r="A14" s="63" t="s">
        <v>76</v>
      </c>
      <c r="B14" s="66" t="s">
        <v>43</v>
      </c>
      <c r="C14" s="72">
        <v>60</v>
      </c>
      <c r="D14" s="72">
        <v>5.6468999999999996</v>
      </c>
      <c r="E14" s="72">
        <v>2.5499999999999998</v>
      </c>
      <c r="F14" s="74">
        <v>10.17</v>
      </c>
      <c r="G14" s="71">
        <v>45802</v>
      </c>
    </row>
    <row r="15" spans="1:19" x14ac:dyDescent="0.25">
      <c r="A15" s="44" t="s">
        <v>76</v>
      </c>
      <c r="B15" s="83" t="s">
        <v>43</v>
      </c>
      <c r="C15" s="59">
        <v>60</v>
      </c>
      <c r="D15" s="59">
        <v>5.56</v>
      </c>
      <c r="E15" s="59">
        <v>5.35</v>
      </c>
      <c r="F15" s="58">
        <f>(C15-E15)/D15</f>
        <v>9.8291366906474824</v>
      </c>
      <c r="G15" s="46">
        <v>45815</v>
      </c>
    </row>
    <row r="17" spans="3:9" x14ac:dyDescent="0.25">
      <c r="C17" s="17"/>
      <c r="F17" s="17"/>
      <c r="I17" s="65"/>
    </row>
  </sheetData>
  <mergeCells count="4">
    <mergeCell ref="Q3:S4"/>
    <mergeCell ref="A1:K2"/>
    <mergeCell ref="Q2:S2"/>
    <mergeCell ref="Q5:S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V33"/>
  <sheetViews>
    <sheetView topLeftCell="A11" zoomScaleNormal="100" workbookViewId="0">
      <selection activeCell="H28" sqref="H28"/>
    </sheetView>
  </sheetViews>
  <sheetFormatPr defaultRowHeight="15" x14ac:dyDescent="0.25"/>
  <cols>
    <col min="1" max="1" width="10.5703125" bestFit="1" customWidth="1"/>
    <col min="2" max="2" width="11.5703125" bestFit="1" customWidth="1"/>
    <col min="3" max="3" width="11" bestFit="1" customWidth="1"/>
    <col min="4" max="4" width="47.42578125" style="37" bestFit="1" customWidth="1"/>
    <col min="5" max="5" width="4.85546875" style="1" bestFit="1" customWidth="1"/>
    <col min="6" max="6" width="10.5703125" style="1" bestFit="1" customWidth="1"/>
    <col min="7" max="7" width="11.85546875" style="1" customWidth="1"/>
    <col min="8" max="8" width="10.28515625" bestFit="1" customWidth="1"/>
    <col min="9" max="9" width="11.28515625" customWidth="1"/>
    <col min="10" max="11" width="11.85546875" bestFit="1" customWidth="1"/>
    <col min="12" max="12" width="12.5703125" bestFit="1" customWidth="1"/>
    <col min="13" max="13" width="9.7109375" bestFit="1" customWidth="1"/>
    <col min="14" max="14" width="9.7109375" customWidth="1"/>
    <col min="16" max="16" width="14" bestFit="1" customWidth="1"/>
    <col min="17" max="17" width="12.28515625" customWidth="1"/>
    <col min="18" max="18" width="13.140625" customWidth="1"/>
    <col min="19" max="20" width="9.5703125" bestFit="1" customWidth="1"/>
  </cols>
  <sheetData>
    <row r="4" spans="1:22" ht="45" customHeight="1" x14ac:dyDescent="0.25">
      <c r="A4" s="2" t="s">
        <v>21</v>
      </c>
      <c r="B4" s="3" t="s">
        <v>22</v>
      </c>
      <c r="C4" s="21" t="s">
        <v>44</v>
      </c>
      <c r="D4" s="20" t="s">
        <v>45</v>
      </c>
      <c r="E4" s="24" t="s">
        <v>46</v>
      </c>
      <c r="F4" s="5" t="s">
        <v>47</v>
      </c>
      <c r="G4" s="20" t="s">
        <v>70</v>
      </c>
      <c r="H4" s="25" t="s">
        <v>4</v>
      </c>
      <c r="I4" s="20" t="s">
        <v>48</v>
      </c>
      <c r="J4" s="26" t="s">
        <v>15</v>
      </c>
      <c r="K4" s="3" t="s">
        <v>66</v>
      </c>
      <c r="L4" s="20" t="s">
        <v>49</v>
      </c>
      <c r="M4" s="20" t="s">
        <v>50</v>
      </c>
      <c r="N4" s="20" t="s">
        <v>40</v>
      </c>
      <c r="O4" s="3" t="s">
        <v>5</v>
      </c>
      <c r="P4" s="7" t="s">
        <v>51</v>
      </c>
      <c r="Q4" s="50"/>
      <c r="R4" s="53" t="s">
        <v>52</v>
      </c>
      <c r="T4" s="17"/>
    </row>
    <row r="5" spans="1:22" x14ac:dyDescent="0.25">
      <c r="A5" s="27" t="s">
        <v>12</v>
      </c>
      <c r="B5" s="26"/>
      <c r="C5" s="28" t="str" cm="1">
        <f t="array" aca="1" ref="C5" ca="1">_FV(BDR[[#This Row],[Nome do ativo]],"Símbolo do ticker",TRUE)</f>
        <v>AAZQ11</v>
      </c>
      <c r="D5" s="29" t="e" vm="3">
        <v>#VALUE!</v>
      </c>
      <c r="E5" s="84">
        <v>1</v>
      </c>
      <c r="F5" s="72">
        <v>6.41</v>
      </c>
      <c r="G5" s="85" cm="1">
        <f t="array" aca="1" ref="G5" ca="1">_FV(BDR[[#This Row],[Nome do ativo]],"Preço")*BDR[[#This Row],[QTD]]</f>
        <v>8.15</v>
      </c>
      <c r="H5" s="31">
        <v>45723</v>
      </c>
      <c r="I5" s="32">
        <f>0.09+0.38+0.095</f>
        <v>0.56499999999999995</v>
      </c>
      <c r="J5" s="32">
        <f ca="1">(BDR[[#This Row],[Preço Atual/Venda]]-BDR[[#This Row],[Valor da compra]])</f>
        <v>1.7400000000000002</v>
      </c>
      <c r="K5" s="32">
        <f ca="1">BDR[[#This Row],[Lucro]]+BDR[[#This Row],[Dividendos pagos]]</f>
        <v>2.3050000000000002</v>
      </c>
      <c r="L5" s="86">
        <f t="shared" ref="L5:L28" ca="1" si="0">J5/(IF(TODAY()-H5=0,1,TODAY()-H5))</f>
        <v>4.767123287671233E-3</v>
      </c>
      <c r="M5" s="26" t="s">
        <v>53</v>
      </c>
      <c r="N5" s="55">
        <f ca="1">BDR[[#This Row],[Valor da compra]]+BDR[[#This Row],[Lucro]]</f>
        <v>8.15</v>
      </c>
      <c r="O5" s="26" t="s">
        <v>77</v>
      </c>
      <c r="P5" s="28" t="s">
        <v>54</v>
      </c>
      <c r="Q5" s="50"/>
      <c r="R5" s="54">
        <f>SUMIF(BDR[Em posse],"Sim",BDR[Valor da compra])</f>
        <v>410.15</v>
      </c>
    </row>
    <row r="6" spans="1:22" x14ac:dyDescent="0.25">
      <c r="A6" s="9" t="s">
        <v>12</v>
      </c>
      <c r="B6" s="10"/>
      <c r="C6" s="14" t="str" cm="1">
        <f t="array" aca="1" ref="C6" ca="1">_FV(BDR[[#This Row],[Nome do ativo]],"Símbolo do ticker",TRUE)</f>
        <v>AAZQ11</v>
      </c>
      <c r="D6" s="33" t="e" vm="3">
        <v>#VALUE!</v>
      </c>
      <c r="E6" s="61">
        <v>3</v>
      </c>
      <c r="F6" s="59">
        <v>21.04</v>
      </c>
      <c r="G6" s="57" cm="1">
        <f t="array" aca="1" ref="G6" ca="1">_FV(BDR[[#This Row],[Nome do ativo]],"Preço")*BDR[[#This Row],[QTD]]</f>
        <v>24.450000000000003</v>
      </c>
      <c r="H6" s="34">
        <v>45763</v>
      </c>
      <c r="I6" s="35">
        <f>3*0.095</f>
        <v>0.28500000000000003</v>
      </c>
      <c r="J6" s="35">
        <f ca="1">(BDR[[#This Row],[Preço Atual/Venda]]-BDR[[#This Row],[Valor da compra]])</f>
        <v>3.4100000000000037</v>
      </c>
      <c r="K6" s="35">
        <f ca="1">BDR[[#This Row],[Lucro]]+BDR[[#This Row],[Dividendos pagos]]</f>
        <v>3.6950000000000038</v>
      </c>
      <c r="L6" s="35">
        <f t="shared" ca="1" si="0"/>
        <v>1.0492307692307704E-2</v>
      </c>
      <c r="M6" s="26" t="s">
        <v>53</v>
      </c>
      <c r="N6" s="55">
        <f ca="1">BDR[[#This Row],[Valor da compra]]+BDR[[#This Row],[Lucro]]</f>
        <v>24.450000000000003</v>
      </c>
      <c r="O6" s="26" t="s">
        <v>17</v>
      </c>
      <c r="P6" s="28" t="s">
        <v>54</v>
      </c>
      <c r="Q6" s="50"/>
      <c r="T6" s="115" t="s">
        <v>27</v>
      </c>
      <c r="U6" s="114"/>
      <c r="V6" s="114"/>
    </row>
    <row r="7" spans="1:22" ht="15" customHeight="1" x14ac:dyDescent="0.25">
      <c r="A7" s="9" t="s">
        <v>55</v>
      </c>
      <c r="B7" s="10"/>
      <c r="C7" s="14" t="str" cm="1">
        <f t="array" aca="1" ref="C7" ca="1">_FV(BDR[[#This Row],[Nome do ativo]],"Símbolo do ticker",TRUE)</f>
        <v>MXRF11</v>
      </c>
      <c r="D7" s="33" t="e" vm="4">
        <v>#VALUE!</v>
      </c>
      <c r="E7" s="33">
        <v>1</v>
      </c>
      <c r="F7" s="11">
        <v>9.2100000000000009</v>
      </c>
      <c r="G7" s="11" cm="1">
        <f t="array" aca="1" ref="G7" ca="1">_FV(BDR[[#This Row],[Nome do ativo]],"Preço")*BDR[[#This Row],[QTD]]</f>
        <v>9.76</v>
      </c>
      <c r="H7" s="13">
        <v>45670</v>
      </c>
      <c r="I7" s="35">
        <v>0</v>
      </c>
      <c r="J7" s="35">
        <f ca="1">(BDR[[#This Row],[Preço Atual/Venda]]-BDR[[#This Row],[Valor da compra]])</f>
        <v>0.54999999999999893</v>
      </c>
      <c r="K7" s="35">
        <f ca="1">BDR[[#This Row],[Lucro]]+BDR[[#This Row],[Dividendos pagos]]</f>
        <v>0.54999999999999893</v>
      </c>
      <c r="L7" s="35">
        <f t="shared" ca="1" si="0"/>
        <v>1.3157894736842079E-3</v>
      </c>
      <c r="M7" s="32" t="s">
        <v>57</v>
      </c>
      <c r="N7" s="32">
        <f ca="1">BDR[[#This Row],[Valor da compra]]+BDR[[#This Row],[Lucro]]</f>
        <v>9.76</v>
      </c>
      <c r="O7" s="26" t="s">
        <v>17</v>
      </c>
      <c r="P7" s="28" t="s">
        <v>58</v>
      </c>
      <c r="Q7" s="50"/>
      <c r="R7" s="128" t="s">
        <v>59</v>
      </c>
      <c r="T7" s="113" t="s">
        <v>29</v>
      </c>
      <c r="U7" s="114"/>
      <c r="V7" s="114"/>
    </row>
    <row r="8" spans="1:22" x14ac:dyDescent="0.25">
      <c r="A8" s="9" t="s">
        <v>12</v>
      </c>
      <c r="B8" s="10"/>
      <c r="C8" s="14" t="str" cm="1">
        <f t="array" aca="1" ref="C8" ca="1">_FV(BDR[[#This Row],[Nome do ativo]],"Símbolo do ticker",TRUE)</f>
        <v>ACWI11</v>
      </c>
      <c r="D8" s="33" t="e" vm="5">
        <v>#VALUE!</v>
      </c>
      <c r="E8" s="61">
        <v>1</v>
      </c>
      <c r="F8" s="59">
        <v>14.28</v>
      </c>
      <c r="G8" s="57" cm="1">
        <f t="array" aca="1" ref="G8" ca="1">_FV(BDR[[#This Row],[Nome do ativo]],"Preço")*BDR[[#This Row],[QTD]]</f>
        <v>15.57</v>
      </c>
      <c r="H8" s="13">
        <v>45723</v>
      </c>
      <c r="I8" s="35"/>
      <c r="J8" s="35">
        <f ca="1">(BDR[[#This Row],[Preço Atual/Venda]]-BDR[[#This Row],[Valor da compra]])</f>
        <v>1.2900000000000009</v>
      </c>
      <c r="K8" s="35">
        <f ca="1">BDR[[#This Row],[Lucro]]+BDR[[#This Row],[Dividendos pagos]]</f>
        <v>1.2900000000000009</v>
      </c>
      <c r="L8" s="62">
        <f t="shared" ca="1" si="0"/>
        <v>3.5342465753424681E-3</v>
      </c>
      <c r="M8" s="10" t="s">
        <v>53</v>
      </c>
      <c r="N8" s="55">
        <f ca="1">BDR[[#This Row],[Valor da compra]]+BDR[[#This Row],[Lucro]]</f>
        <v>15.57</v>
      </c>
      <c r="O8" s="26" t="s">
        <v>77</v>
      </c>
      <c r="P8" s="28" t="s">
        <v>54</v>
      </c>
      <c r="Q8" s="50"/>
      <c r="R8" s="129"/>
      <c r="T8" s="114"/>
      <c r="U8" s="114"/>
      <c r="V8" s="114"/>
    </row>
    <row r="9" spans="1:22" x14ac:dyDescent="0.25">
      <c r="A9" s="9" t="s">
        <v>55</v>
      </c>
      <c r="B9" s="10"/>
      <c r="C9" s="14" t="str">
        <f t="array" aca="1" ref="C9" ca="1">_FV(BDR[[#This Row],[Nome do ativo]],"Símbolo do ticker",TRUE)</f>
        <v>MXRF11</v>
      </c>
      <c r="D9" s="33" t="e" vm="4">
        <v>#VALUE!</v>
      </c>
      <c r="E9" s="33">
        <v>1</v>
      </c>
      <c r="F9" s="23">
        <v>9.18</v>
      </c>
      <c r="G9" s="11" cm="1">
        <f t="array" aca="1" ref="G9" ca="1">_FV(BDR[[#This Row],[Nome do ativo]],"Preço")*BDR[[#This Row],[QTD]]</f>
        <v>9.76</v>
      </c>
      <c r="H9" s="13">
        <v>45677</v>
      </c>
      <c r="I9" s="35"/>
      <c r="J9" s="35">
        <f ca="1">(BDR[[#This Row],[Preço Atual/Venda]]-BDR[[#This Row],[Valor da compra]])</f>
        <v>0.58000000000000007</v>
      </c>
      <c r="K9" s="35">
        <f ca="1">BDR[[#This Row],[Lucro]]+BDR[[#This Row],[Dividendos pagos]]</f>
        <v>0.58000000000000007</v>
      </c>
      <c r="L9" s="35">
        <f t="shared" ca="1" si="0"/>
        <v>1.4111922141119223E-3</v>
      </c>
      <c r="M9" s="10" t="s">
        <v>57</v>
      </c>
      <c r="N9" s="32">
        <f ca="1">BDR[[#This Row],[Valor da compra]]+BDR[[#This Row],[Lucro]]</f>
        <v>9.76</v>
      </c>
      <c r="O9" s="26" t="s">
        <v>17</v>
      </c>
      <c r="P9" s="28" t="s">
        <v>58</v>
      </c>
      <c r="Q9" s="50"/>
      <c r="R9" s="54">
        <f ca="1">SUM(BDR[Lucro])</f>
        <v>97.28</v>
      </c>
      <c r="T9" s="115" t="s">
        <v>31</v>
      </c>
      <c r="U9" s="114"/>
      <c r="V9" s="114"/>
    </row>
    <row r="10" spans="1:22" x14ac:dyDescent="0.25">
      <c r="A10" s="9" t="s">
        <v>12</v>
      </c>
      <c r="B10" s="10" t="s">
        <v>85</v>
      </c>
      <c r="C10" s="14" t="str">
        <f t="array" aca="1" ref="C10" ca="1">_FV(BDR[[#This Row],[Nome do ativo]],"Símbolo do ticker",TRUE)</f>
        <v>UCAS3</v>
      </c>
      <c r="D10" s="33" t="e" vm="6">
        <v>#VALUE!</v>
      </c>
      <c r="E10" s="33">
        <v>1</v>
      </c>
      <c r="F10" s="23">
        <v>1.81</v>
      </c>
      <c r="G10" s="11" cm="1">
        <f t="array" aca="1" ref="G10" ca="1">_FV(BDR[[#This Row],[Nome do ativo]],"Preço")*BDR[[#This Row],[QTD]]</f>
        <v>1.49</v>
      </c>
      <c r="H10" s="13">
        <v>45680</v>
      </c>
      <c r="I10" s="35"/>
      <c r="J10" s="35">
        <f ca="1">(BDR[[#This Row],[Preço Atual/Venda]]-BDR[[#This Row],[Valor da compra]])</f>
        <v>-0.32000000000000006</v>
      </c>
      <c r="K10" s="35">
        <f ca="1">BDR[[#This Row],[Lucro]]+BDR[[#This Row],[Dividendos pagos]]</f>
        <v>-0.32000000000000006</v>
      </c>
      <c r="L10" s="62">
        <f t="shared" ca="1" si="0"/>
        <v>-7.8431372549019626E-4</v>
      </c>
      <c r="M10" s="10" t="s">
        <v>57</v>
      </c>
      <c r="N10" s="55">
        <f ca="1">BDR[[#This Row],[Valor da compra]]+BDR[[#This Row],[Lucro]]</f>
        <v>1.49</v>
      </c>
      <c r="O10" s="10" t="s">
        <v>60</v>
      </c>
      <c r="P10" s="10" t="s">
        <v>54</v>
      </c>
      <c r="T10" s="114"/>
      <c r="U10" s="114"/>
      <c r="V10" s="114"/>
    </row>
    <row r="11" spans="1:22" ht="15" customHeight="1" x14ac:dyDescent="0.25">
      <c r="A11" s="9" t="s">
        <v>55</v>
      </c>
      <c r="B11" s="10"/>
      <c r="C11" s="14" t="str" cm="1">
        <f t="array" aca="1" ref="C11" ca="1">_FV(BDR[[#This Row],[Nome do ativo]],"Símbolo do ticker",TRUE)</f>
        <v>B3SA3</v>
      </c>
      <c r="D11" s="33" t="e" vm="7">
        <v>#VALUE!</v>
      </c>
      <c r="E11" s="61">
        <v>1</v>
      </c>
      <c r="F11" s="59">
        <v>11.12</v>
      </c>
      <c r="G11" s="57" cm="1">
        <f t="array" aca="1" ref="G11" ca="1">_FV(BDR[[#This Row],[Nome do ativo]],"Preço")*BDR[[#This Row],[QTD]]</f>
        <v>17.239999999999998</v>
      </c>
      <c r="H11" s="13">
        <v>45688</v>
      </c>
      <c r="I11" s="35"/>
      <c r="J11" s="35">
        <f ca="1">(BDR[[#This Row],[Preço Atual/Venda]]-BDR[[#This Row],[Valor da compra]])</f>
        <v>6.1199999999999992</v>
      </c>
      <c r="K11" s="35">
        <f ca="1">BDR[[#This Row],[Lucro]]+BDR[[#This Row],[Dividendos pagos]]</f>
        <v>6.1199999999999992</v>
      </c>
      <c r="L11" s="35">
        <f t="shared" ca="1" si="0"/>
        <v>1.5299999999999998E-2</v>
      </c>
      <c r="M11" s="10" t="s">
        <v>57</v>
      </c>
      <c r="N11" s="22">
        <f ca="1">BDR[[#This Row],[Valor da compra]]+BDR[[#This Row],[Lucro]]</f>
        <v>17.239999999999998</v>
      </c>
      <c r="O11" s="10" t="s">
        <v>60</v>
      </c>
      <c r="P11" s="10" t="s">
        <v>58</v>
      </c>
      <c r="R11" s="126" t="s">
        <v>61</v>
      </c>
    </row>
    <row r="12" spans="1:22" x14ac:dyDescent="0.25">
      <c r="A12" s="9" t="s">
        <v>55</v>
      </c>
      <c r="B12" s="10"/>
      <c r="C12" s="14" t="str" cm="1">
        <f t="array" aca="1" ref="C12" ca="1">_FV(BDR[[#This Row],[Nome do ativo]],"Símbolo do ticker",TRUE)</f>
        <v>MXRF11</v>
      </c>
      <c r="D12" s="33" t="e" vm="4">
        <v>#VALUE!</v>
      </c>
      <c r="E12" s="61">
        <v>1</v>
      </c>
      <c r="F12" s="59">
        <v>8.98</v>
      </c>
      <c r="G12" s="57" cm="1">
        <f t="array" aca="1" ref="G12" ca="1">_FV(BDR[[#This Row],[Nome do ativo]],"Preço")*BDR[[#This Row],[QTD]]</f>
        <v>9.76</v>
      </c>
      <c r="H12" s="13">
        <v>45692</v>
      </c>
      <c r="I12" s="35"/>
      <c r="J12" s="35">
        <f ca="1">(BDR[[#This Row],[Preço Atual/Venda]]-BDR[[#This Row],[Valor da compra]])</f>
        <v>0.77999999999999936</v>
      </c>
      <c r="K12" s="35">
        <f ca="1">BDR[[#This Row],[Lucro]]+BDR[[#This Row],[Dividendos pagos]]</f>
        <v>0.77999999999999936</v>
      </c>
      <c r="L12" s="62">
        <f t="shared" ca="1" si="0"/>
        <v>1.9696969696969681E-3</v>
      </c>
      <c r="M12" s="10" t="s">
        <v>57</v>
      </c>
      <c r="N12" s="22">
        <f ca="1">BDR[[#This Row],[Valor da compra]]+BDR[[#This Row],[Lucro]]</f>
        <v>9.76</v>
      </c>
      <c r="O12" s="10" t="s">
        <v>71</v>
      </c>
      <c r="P12" s="10" t="s">
        <v>58</v>
      </c>
      <c r="R12" s="127"/>
      <c r="S12" s="17"/>
    </row>
    <row r="13" spans="1:22" x14ac:dyDescent="0.25">
      <c r="A13" s="9" t="s">
        <v>12</v>
      </c>
      <c r="B13" s="10"/>
      <c r="C13" s="14" t="str" cm="1">
        <f t="array" aca="1" ref="C13" ca="1">_FV(BDR[[#This Row],[Nome do ativo]],"Símbolo do ticker",TRUE)</f>
        <v>ACWI11</v>
      </c>
      <c r="D13" s="33" t="e" vm="5">
        <v>#VALUE!</v>
      </c>
      <c r="E13" s="61">
        <v>1</v>
      </c>
      <c r="F13" s="59">
        <v>14.06</v>
      </c>
      <c r="G13" s="57" cm="1">
        <f t="array" aca="1" ref="G13" ca="1">_FV(BDR[[#This Row],[Nome do ativo]],"Preço")*BDR[[#This Row],[QTD]]</f>
        <v>15.57</v>
      </c>
      <c r="H13" s="13">
        <v>45744</v>
      </c>
      <c r="I13" s="35"/>
      <c r="J13" s="35">
        <f ca="1">(BDR[[#This Row],[Preço Atual/Venda]]-BDR[[#This Row],[Valor da compra]])</f>
        <v>1.5099999999999998</v>
      </c>
      <c r="K13" s="35">
        <f ca="1">BDR[[#This Row],[Lucro]]+BDR[[#This Row],[Dividendos pagos]]</f>
        <v>1.5099999999999998</v>
      </c>
      <c r="L13" s="35">
        <f t="shared" ca="1" si="0"/>
        <v>4.3895348837209294E-3</v>
      </c>
      <c r="M13" s="10" t="s">
        <v>53</v>
      </c>
      <c r="N13" s="22">
        <f ca="1">BDR[[#This Row],[Valor da compra]]+BDR[[#This Row],[Lucro]]</f>
        <v>15.57</v>
      </c>
      <c r="O13" s="10" t="s">
        <v>77</v>
      </c>
      <c r="P13" s="10" t="s">
        <v>54</v>
      </c>
      <c r="R13" s="40">
        <f ca="1">SUMIFS(BDR[Total],BDR[Em posse],"Sim",BDR[Tipo],"FII",BDR[Operação],"Renda variável")</f>
        <v>221.11</v>
      </c>
    </row>
    <row r="14" spans="1:22" x14ac:dyDescent="0.25">
      <c r="A14" s="9" t="s">
        <v>12</v>
      </c>
      <c r="B14" s="10"/>
      <c r="C14" s="14" t="str" cm="1">
        <f t="array" aca="1" ref="C14" ca="1">_FV(BDR[[#This Row],[Nome do ativo]],"Símbolo do ticker",TRUE)</f>
        <v>B3SA3</v>
      </c>
      <c r="D14" s="33" t="e" vm="7">
        <v>#VALUE!</v>
      </c>
      <c r="E14" s="61">
        <v>1</v>
      </c>
      <c r="F14" s="59">
        <v>11.25</v>
      </c>
      <c r="G14" s="57" cm="1">
        <f t="array" aca="1" ref="G14" ca="1">_FV(BDR[[#This Row],[Nome do ativo]],"Preço")*BDR[[#This Row],[QTD]]</f>
        <v>17.239999999999998</v>
      </c>
      <c r="H14" s="13">
        <v>45708</v>
      </c>
      <c r="I14" s="35">
        <v>0.06</v>
      </c>
      <c r="J14" s="35">
        <f ca="1">(BDR[[#This Row],[Preço Atual/Venda]]-BDR[[#This Row],[Valor da compra]])</f>
        <v>5.9899999999999984</v>
      </c>
      <c r="K14" s="35">
        <f ca="1">BDR[[#This Row],[Lucro]]+BDR[[#This Row],[Dividendos pagos]]</f>
        <v>6.049999999999998</v>
      </c>
      <c r="L14" s="35">
        <f t="shared" ca="1" si="0"/>
        <v>1.5763157894736837E-2</v>
      </c>
      <c r="M14" s="10" t="s">
        <v>53</v>
      </c>
      <c r="N14" s="22">
        <f ca="1">BDR[[#This Row],[Valor da compra]]+BDR[[#This Row],[Lucro]]</f>
        <v>17.239999999999998</v>
      </c>
      <c r="O14" s="10" t="s">
        <v>60</v>
      </c>
      <c r="P14" s="10" t="s">
        <v>54</v>
      </c>
      <c r="R14" s="40"/>
    </row>
    <row r="15" spans="1:22" x14ac:dyDescent="0.25">
      <c r="A15" s="9" t="s">
        <v>12</v>
      </c>
      <c r="B15" s="10"/>
      <c r="C15" s="14" t="str" cm="1">
        <f t="array" aca="1" ref="C15" ca="1">_FV(BDR[[#This Row],[Nome do ativo]],"Símbolo do ticker",TRUE)</f>
        <v>BBDC4</v>
      </c>
      <c r="D15" s="33" t="e" vm="8">
        <v>#VALUE!</v>
      </c>
      <c r="E15" s="61">
        <v>3</v>
      </c>
      <c r="F15" s="59">
        <v>37.549999999999997</v>
      </c>
      <c r="G15" s="57" cm="1">
        <f t="array" aca="1" ref="G15" ca="1">_FV(BDR[[#This Row],[Nome do ativo]],"Preço")*BDR[[#This Row],[QTD]]</f>
        <v>58.650000000000006</v>
      </c>
      <c r="H15" s="13">
        <v>45737</v>
      </c>
      <c r="I15" s="35">
        <v>0.06</v>
      </c>
      <c r="J15" s="35">
        <f ca="1">(BDR[[#This Row],[Preço Atual/Venda]]-BDR[[#This Row],[Valor da compra]])</f>
        <v>21.100000000000009</v>
      </c>
      <c r="K15" s="35">
        <f ca="1">BDR[[#This Row],[Lucro]]+BDR[[#This Row],[Dividendos pagos]]</f>
        <v>21.160000000000007</v>
      </c>
      <c r="L15" s="35">
        <f t="shared" ca="1" si="0"/>
        <v>6.0113960113960141E-2</v>
      </c>
      <c r="M15" s="10" t="s">
        <v>53</v>
      </c>
      <c r="N15" s="22">
        <f ca="1">BDR[[#This Row],[Valor da compra]]+BDR[[#This Row],[Lucro]]</f>
        <v>58.650000000000006</v>
      </c>
      <c r="O15" s="10" t="s">
        <v>60</v>
      </c>
      <c r="P15" s="10" t="s">
        <v>54</v>
      </c>
      <c r="R15" s="40"/>
      <c r="S15" s="17"/>
    </row>
    <row r="16" spans="1:22" x14ac:dyDescent="0.25">
      <c r="A16" s="9" t="s">
        <v>12</v>
      </c>
      <c r="B16" s="10"/>
      <c r="C16" s="14" t="str" cm="1">
        <f t="array" aca="1" ref="C16" ca="1">_FV(BDR[[#This Row],[Nome do ativo]],"Símbolo do ticker",TRUE)</f>
        <v>KNSC11</v>
      </c>
      <c r="D16" s="33" t="e" vm="9">
        <v>#VALUE!</v>
      </c>
      <c r="E16" s="61">
        <v>10</v>
      </c>
      <c r="F16" s="59">
        <v>86.53</v>
      </c>
      <c r="G16" s="57" cm="1">
        <f t="array" aca="1" ref="G16" ca="1">_FV(BDR[[#This Row],[Nome do ativo]],"Preço")*BDR[[#This Row],[QTD]]</f>
        <v>89.3</v>
      </c>
      <c r="H16" s="13">
        <v>45751</v>
      </c>
      <c r="I16" s="35"/>
      <c r="J16" s="35">
        <f ca="1">(BDR[[#This Row],[Preço Atual/Venda]]-BDR[[#This Row],[Valor da compra]])</f>
        <v>2.769999999999996</v>
      </c>
      <c r="K16" s="35">
        <f ca="1">BDR[[#This Row],[Lucro]]+BDR[[#This Row],[Dividendos pagos]]</f>
        <v>2.769999999999996</v>
      </c>
      <c r="L16" s="35">
        <f t="shared" ca="1" si="0"/>
        <v>8.219584569732926E-3</v>
      </c>
      <c r="M16" s="10" t="s">
        <v>53</v>
      </c>
      <c r="N16" s="22">
        <f ca="1">BDR[[#This Row],[Valor da compra]]+BDR[[#This Row],[Lucro]]</f>
        <v>89.3</v>
      </c>
      <c r="O16" s="10" t="s">
        <v>17</v>
      </c>
      <c r="P16" s="10" t="s">
        <v>54</v>
      </c>
      <c r="R16" s="126" t="s">
        <v>62</v>
      </c>
    </row>
    <row r="17" spans="1:18" x14ac:dyDescent="0.25">
      <c r="A17" s="9" t="s">
        <v>12</v>
      </c>
      <c r="B17" s="10"/>
      <c r="C17" s="14" t="str">
        <f t="array" aca="1" ref="C17" ca="1">_FV(BDR[[#This Row],[Nome do ativo]],"Símbolo do ticker",TRUE)</f>
        <v>MXRF11</v>
      </c>
      <c r="D17" s="10" t="e" vm="4">
        <v>#VALUE!</v>
      </c>
      <c r="E17" s="33">
        <v>1</v>
      </c>
      <c r="F17" s="11">
        <v>9.2899999999999991</v>
      </c>
      <c r="G17" s="11" cm="1">
        <f t="array" aca="1" ref="G17" ca="1">_FV(BDR[[#This Row],[Nome do ativo]],"Preço")*BDR[[#This Row],[QTD]]</f>
        <v>9.76</v>
      </c>
      <c r="H17" s="13">
        <v>45632</v>
      </c>
      <c r="I17" s="35">
        <f>0.19+0.09+0.09+0.1+0.1</f>
        <v>0.56999999999999995</v>
      </c>
      <c r="J17" s="35">
        <f ca="1">(BDR[[#This Row],[Preço Atual/Venda]]-BDR[[#This Row],[Valor da compra]])</f>
        <v>0.47000000000000064</v>
      </c>
      <c r="K17" s="35">
        <f ca="1">BDR[[#This Row],[Lucro]]+BDR[[#This Row],[Dividendos pagos]]</f>
        <v>1.0400000000000005</v>
      </c>
      <c r="L17" s="87">
        <f t="shared" ca="1" si="0"/>
        <v>1.0307017543859662E-3</v>
      </c>
      <c r="M17" s="87" t="s">
        <v>53</v>
      </c>
      <c r="N17" s="11">
        <f ca="1">BDR[[#This Row],[Valor da compra]]+BDR[[#This Row],[Lucro]]</f>
        <v>9.76</v>
      </c>
      <c r="O17" s="10" t="s">
        <v>17</v>
      </c>
      <c r="P17" s="10" t="s">
        <v>54</v>
      </c>
      <c r="R17" s="127"/>
    </row>
    <row r="18" spans="1:18" x14ac:dyDescent="0.25">
      <c r="A18" s="9" t="s">
        <v>12</v>
      </c>
      <c r="B18" s="10"/>
      <c r="C18" s="14" t="str">
        <f t="array" aca="1" ref="C18" ca="1">_FV(BDR[[#This Row],[Nome do ativo]],"Símbolo do ticker",TRUE)</f>
        <v>MXRF11</v>
      </c>
      <c r="D18" s="10" t="e" vm="4">
        <f>D17</f>
        <v>#VALUE!</v>
      </c>
      <c r="E18" s="33">
        <v>1</v>
      </c>
      <c r="F18" s="11">
        <v>9.49</v>
      </c>
      <c r="G18" s="11" cm="1">
        <f t="array" aca="1" ref="G18" ca="1">_FV(BDR[[#This Row],[Nome do ativo]],"Preço")*BDR[[#This Row],[QTD]]</f>
        <v>9.76</v>
      </c>
      <c r="H18" s="13">
        <v>45663</v>
      </c>
      <c r="I18" s="35">
        <f>0.38+0.1</f>
        <v>0.48</v>
      </c>
      <c r="J18" s="35">
        <f ca="1">(BDR[[#This Row],[Preço Atual/Venda]]-BDR[[#This Row],[Valor da compra]])</f>
        <v>0.26999999999999957</v>
      </c>
      <c r="K18" s="35">
        <f ca="1">BDR[[#This Row],[Lucro]]+BDR[[#This Row],[Dividendos pagos]]</f>
        <v>0.74999999999999956</v>
      </c>
      <c r="L18" s="36">
        <f t="shared" ca="1" si="0"/>
        <v>6.3529411764705779E-4</v>
      </c>
      <c r="M18" s="36" t="s">
        <v>53</v>
      </c>
      <c r="N18" s="35">
        <f ca="1">BDR[[#This Row],[Valor da compra]]+BDR[[#This Row],[Lucro]]</f>
        <v>9.76</v>
      </c>
      <c r="O18" s="10" t="s">
        <v>17</v>
      </c>
      <c r="P18" s="10" t="s">
        <v>54</v>
      </c>
      <c r="R18" s="40"/>
    </row>
    <row r="19" spans="1:18" x14ac:dyDescent="0.25">
      <c r="A19" s="9" t="s">
        <v>12</v>
      </c>
      <c r="B19" s="10"/>
      <c r="C19" s="14" t="s">
        <v>56</v>
      </c>
      <c r="D19" s="33" t="e" vm="4">
        <v>#VALUE!</v>
      </c>
      <c r="E19" s="33">
        <v>1</v>
      </c>
      <c r="F19" s="23">
        <v>9.17</v>
      </c>
      <c r="G19" s="11" cm="1">
        <f t="array" aca="1" ref="G19" ca="1">_FV(BDR[[#This Row],[Nome do ativo]],"Preço")*BDR[[#This Row],[QTD]]</f>
        <v>9.76</v>
      </c>
      <c r="H19" s="13">
        <v>45677</v>
      </c>
      <c r="I19" s="35">
        <f>0.37+0.1</f>
        <v>0.47</v>
      </c>
      <c r="J19" s="35">
        <f ca="1">(BDR[[#This Row],[Preço Atual/Venda]]-BDR[[#This Row],[Valor da compra]])</f>
        <v>0.58999999999999986</v>
      </c>
      <c r="K19" s="35">
        <f ca="1">BDR[[#This Row],[Lucro]]+BDR[[#This Row],[Dividendos pagos]]</f>
        <v>1.0599999999999998</v>
      </c>
      <c r="L19" s="62">
        <f t="shared" ca="1" si="0"/>
        <v>1.4355231143552308E-3</v>
      </c>
      <c r="M19" s="10" t="s">
        <v>53</v>
      </c>
      <c r="N19" s="35">
        <f ca="1">BDR[[#This Row],[Valor da compra]]+BDR[[#This Row],[Lucro]]</f>
        <v>9.76</v>
      </c>
      <c r="O19" s="10" t="s">
        <v>17</v>
      </c>
      <c r="P19" s="10" t="s">
        <v>54</v>
      </c>
    </row>
    <row r="20" spans="1:18" x14ac:dyDescent="0.25">
      <c r="A20" s="9" t="s">
        <v>12</v>
      </c>
      <c r="B20" s="10"/>
      <c r="C20" s="14" t="s">
        <v>56</v>
      </c>
      <c r="D20" s="33" t="e" vm="4">
        <v>#VALUE!</v>
      </c>
      <c r="E20" s="61">
        <v>2</v>
      </c>
      <c r="F20" s="59">
        <f>9.07*2</f>
        <v>18.14</v>
      </c>
      <c r="G20" s="57" cm="1">
        <f t="array" aca="1" ref="G20" ca="1">_FV(BDR[[#This Row],[Nome do ativo]],"Preço")*BDR[[#This Row],[QTD]]</f>
        <v>19.52</v>
      </c>
      <c r="H20" s="13">
        <v>45723</v>
      </c>
      <c r="I20" s="35">
        <v>0.28999999999999998</v>
      </c>
      <c r="J20" s="35">
        <f ca="1">(BDR[[#This Row],[Preço Atual/Venda]]-BDR[[#This Row],[Valor da compra]])</f>
        <v>1.379999999999999</v>
      </c>
      <c r="K20" s="35">
        <f ca="1">BDR[[#This Row],[Lucro]]+BDR[[#This Row],[Dividendos pagos]]</f>
        <v>1.669999999999999</v>
      </c>
      <c r="L20" s="62">
        <f t="shared" ca="1" si="0"/>
        <v>3.7808219178082163E-3</v>
      </c>
      <c r="M20" s="10" t="s">
        <v>53</v>
      </c>
      <c r="N20" s="22">
        <f ca="1">BDR[[#This Row],[Valor da compra]]+BDR[[#This Row],[Lucro]]</f>
        <v>19.52</v>
      </c>
      <c r="O20" s="10" t="s">
        <v>17</v>
      </c>
      <c r="P20" s="10" t="s">
        <v>54</v>
      </c>
      <c r="R20" s="82" t="s">
        <v>63</v>
      </c>
    </row>
    <row r="21" spans="1:18" x14ac:dyDescent="0.25">
      <c r="A21" s="9" t="s">
        <v>12</v>
      </c>
      <c r="B21" s="10"/>
      <c r="C21" s="14" t="s">
        <v>56</v>
      </c>
      <c r="D21" s="33" t="e" vm="4">
        <v>#VALUE!</v>
      </c>
      <c r="E21" s="61">
        <v>1</v>
      </c>
      <c r="F21" s="59">
        <v>9.06</v>
      </c>
      <c r="G21" s="57" cm="1">
        <f t="array" aca="1" ref="G21" ca="1">_FV(BDR[[#This Row],[Nome do ativo]],"Preço")*BDR[[#This Row],[QTD]]</f>
        <v>9.76</v>
      </c>
      <c r="H21" s="13">
        <v>45730</v>
      </c>
      <c r="I21" s="35">
        <v>0.28999999999999998</v>
      </c>
      <c r="J21" s="35">
        <f ca="1">(BDR[[#This Row],[Preço Atual/Venda]]-BDR[[#This Row],[Valor da compra]])</f>
        <v>0.69999999999999929</v>
      </c>
      <c r="K21" s="35">
        <f ca="1">BDR[[#This Row],[Lucro]]+BDR[[#This Row],[Dividendos pagos]]</f>
        <v>0.98999999999999932</v>
      </c>
      <c r="L21" s="35">
        <f t="shared" ca="1" si="0"/>
        <v>1.9553072625698303E-3</v>
      </c>
      <c r="M21" s="10" t="s">
        <v>53</v>
      </c>
      <c r="N21" s="22">
        <f ca="1">BDR[[#This Row],[Valor da compra]]+BDR[[#This Row],[Lucro]]</f>
        <v>9.76</v>
      </c>
      <c r="O21" s="10" t="s">
        <v>17</v>
      </c>
      <c r="P21" s="10" t="s">
        <v>54</v>
      </c>
      <c r="R21" s="40">
        <f ca="1">SUMIFS(BDR[Total],BDR[Tipo],"BDR",BDR[Operação],"Renda variável",BDR[Em posse],"Sim")</f>
        <v>238.97000000000003</v>
      </c>
    </row>
    <row r="22" spans="1:18" x14ac:dyDescent="0.25">
      <c r="A22" s="9" t="s">
        <v>12</v>
      </c>
      <c r="B22" s="10"/>
      <c r="C22" s="14" t="s">
        <v>56</v>
      </c>
      <c r="D22" s="33" t="e" vm="4">
        <v>#VALUE!</v>
      </c>
      <c r="E22" s="61">
        <v>3</v>
      </c>
      <c r="F22" s="59">
        <v>27.1</v>
      </c>
      <c r="G22" s="57" cm="1">
        <f t="array" aca="1" ref="G22" ca="1">_FV(BDR[[#This Row],[Nome do ativo]],"Preço")*BDR[[#This Row],[QTD]]</f>
        <v>29.28</v>
      </c>
      <c r="H22" s="13">
        <v>45737</v>
      </c>
      <c r="I22" s="35">
        <v>0.28999999999999998</v>
      </c>
      <c r="J22" s="35">
        <f ca="1">(BDR[[#This Row],[Preço Atual/Venda]]-BDR[[#This Row],[Valor da compra]])</f>
        <v>2.1799999999999997</v>
      </c>
      <c r="K22" s="35">
        <f ca="1">BDR[[#This Row],[Lucro]]+BDR[[#This Row],[Dividendos pagos]]</f>
        <v>2.4699999999999998</v>
      </c>
      <c r="L22" s="35">
        <f t="shared" ca="1" si="0"/>
        <v>6.2108262108262098E-3</v>
      </c>
      <c r="M22" s="10" t="s">
        <v>53</v>
      </c>
      <c r="N22" s="22">
        <f ca="1">BDR[[#This Row],[Valor da compra]]+BDR[[#This Row],[Lucro]]</f>
        <v>29.28</v>
      </c>
      <c r="O22" s="10" t="s">
        <v>17</v>
      </c>
      <c r="P22" s="10" t="s">
        <v>54</v>
      </c>
    </row>
    <row r="23" spans="1:18" x14ac:dyDescent="0.25">
      <c r="A23" s="9" t="s">
        <v>12</v>
      </c>
      <c r="B23" s="10"/>
      <c r="C23" s="14" t="str" cm="1">
        <f t="array" aca="1" ref="C23" ca="1">_FV(BDR[[#This Row],[Nome do ativo]],"Símbolo do ticker",TRUE)</f>
        <v>UCAS3</v>
      </c>
      <c r="D23" s="33" t="e" vm="6">
        <v>#VALUE!</v>
      </c>
      <c r="E23" s="61">
        <v>3</v>
      </c>
      <c r="F23" s="59">
        <v>4.63</v>
      </c>
      <c r="G23" s="57" cm="1">
        <f t="array" aca="1" ref="G23" ca="1">_FV(BDR[[#This Row],[Nome do ativo]],"Preço")*BDR[[#This Row],[QTD]]</f>
        <v>4.47</v>
      </c>
      <c r="H23" s="13">
        <v>45749</v>
      </c>
      <c r="I23" s="35"/>
      <c r="J23" s="35">
        <f ca="1">(BDR[[#This Row],[Preço Atual/Venda]]-BDR[[#This Row],[Valor da compra]])</f>
        <v>-0.16000000000000014</v>
      </c>
      <c r="K23" s="35">
        <f ca="1">BDR[[#This Row],[Lucro]]+BDR[[#This Row],[Dividendos pagos]]</f>
        <v>-0.16000000000000014</v>
      </c>
      <c r="L23" s="35">
        <f t="shared" ca="1" si="0"/>
        <v>-4.7197640117994141E-4</v>
      </c>
      <c r="M23" s="10" t="s">
        <v>57</v>
      </c>
      <c r="N23" s="22">
        <f ca="1">BDR[[#This Row],[Valor da compra]]+BDR[[#This Row],[Lucro]]</f>
        <v>4.47</v>
      </c>
      <c r="O23" s="10" t="s">
        <v>60</v>
      </c>
      <c r="P23" s="10" t="s">
        <v>54</v>
      </c>
      <c r="R23" s="124" t="s">
        <v>79</v>
      </c>
    </row>
    <row r="24" spans="1:18" x14ac:dyDescent="0.25">
      <c r="A24" s="9" t="s">
        <v>12</v>
      </c>
      <c r="B24" s="10"/>
      <c r="C24" s="14" t="str" cm="1">
        <f t="array" aca="1" ref="C24" ca="1">_FV(BDR[[#This Row],[Nome do ativo]],"Símbolo do ticker",TRUE)</f>
        <v>MXRF11</v>
      </c>
      <c r="D24" s="33" t="e" vm="4">
        <v>#VALUE!</v>
      </c>
      <c r="E24" s="61">
        <v>2</v>
      </c>
      <c r="F24" s="59">
        <v>18.25</v>
      </c>
      <c r="G24" s="57" cm="1">
        <f t="array" aca="1" ref="G24" ca="1">_FV(BDR[[#This Row],[Nome do ativo]],"Preço")*BDR[[#This Row],[QTD]]</f>
        <v>19.52</v>
      </c>
      <c r="H24" s="13">
        <v>45744</v>
      </c>
      <c r="I24" s="35">
        <v>0.28999999999999998</v>
      </c>
      <c r="J24" s="35">
        <f ca="1">(BDR[[#This Row],[Preço Atual/Venda]]-BDR[[#This Row],[Valor da compra]])</f>
        <v>1.2699999999999996</v>
      </c>
      <c r="K24" s="35">
        <f ca="1">BDR[[#This Row],[Lucro]]+BDR[[#This Row],[Dividendos pagos]]</f>
        <v>1.5599999999999996</v>
      </c>
      <c r="L24" s="35">
        <f t="shared" ca="1" si="0"/>
        <v>3.6918604651162779E-3</v>
      </c>
      <c r="M24" s="10" t="s">
        <v>53</v>
      </c>
      <c r="N24" s="22">
        <f ca="1">BDR[[#This Row],[Valor da compra]]+BDR[[#This Row],[Lucro]]</f>
        <v>19.52</v>
      </c>
      <c r="O24" s="10" t="s">
        <v>17</v>
      </c>
      <c r="P24" s="10" t="s">
        <v>54</v>
      </c>
      <c r="R24" s="125"/>
    </row>
    <row r="25" spans="1:18" x14ac:dyDescent="0.25">
      <c r="A25" s="9" t="s">
        <v>12</v>
      </c>
      <c r="B25" s="10"/>
      <c r="C25" s="14" t="str" cm="1">
        <f t="array" aca="1" ref="C25" ca="1">_FV(BDR[[#This Row],[Nome do ativo]],"Símbolo do ticker",TRUE)</f>
        <v>VALE3</v>
      </c>
      <c r="D25" s="33" t="e" vm="10">
        <v>#VALUE!</v>
      </c>
      <c r="E25" s="61">
        <v>1</v>
      </c>
      <c r="F25" s="59">
        <v>52.37</v>
      </c>
      <c r="G25" s="57">
        <v>52.88</v>
      </c>
      <c r="H25" s="13">
        <v>45751</v>
      </c>
      <c r="I25" s="35"/>
      <c r="J25" s="35">
        <f>(BDR[[#This Row],[Preço Atual/Venda]]-BDR[[#This Row],[Valor da compra]])</f>
        <v>0.51000000000000512</v>
      </c>
      <c r="K25" s="35">
        <f>BDR[[#This Row],[Lucro]]+BDR[[#This Row],[Dividendos pagos]]</f>
        <v>0.51000000000000512</v>
      </c>
      <c r="L25" s="35">
        <f t="shared" ca="1" si="0"/>
        <v>1.5133531157270181E-3</v>
      </c>
      <c r="M25" s="10" t="s">
        <v>57</v>
      </c>
      <c r="N25" s="22">
        <f>BDR[[#This Row],[Valor da compra]]+BDR[[#This Row],[Lucro]]</f>
        <v>52.88</v>
      </c>
      <c r="O25" s="10" t="s">
        <v>60</v>
      </c>
      <c r="P25" s="10" t="s">
        <v>54</v>
      </c>
      <c r="R25" s="40">
        <f ca="1">SUM(BDR[Lucro Real])</f>
        <v>101.66</v>
      </c>
    </row>
    <row r="26" spans="1:18" x14ac:dyDescent="0.25">
      <c r="A26" s="9" t="s">
        <v>12</v>
      </c>
      <c r="B26" s="10"/>
      <c r="C26" s="14" t="s">
        <v>78</v>
      </c>
      <c r="D26" s="33" t="e" vm="11">
        <v>#VALUE!</v>
      </c>
      <c r="E26" s="61">
        <v>1</v>
      </c>
      <c r="F26" s="59">
        <f>35.02-0.32</f>
        <v>34.700000000000003</v>
      </c>
      <c r="G26" s="57" cm="1">
        <f t="array" aca="1" ref="G26" ca="1">_FV(BDR[[#This Row],[Nome do ativo]],"Preço")*BDR[[#This Row],[QTD]]</f>
        <v>42.11</v>
      </c>
      <c r="H26" s="13">
        <v>45723</v>
      </c>
      <c r="I26" s="35">
        <v>0.38</v>
      </c>
      <c r="J26" s="35">
        <f ca="1">(BDR[[#This Row],[Preço Atual/Venda]]-BDR[[#This Row],[Valor da compra]])</f>
        <v>7.4099999999999966</v>
      </c>
      <c r="K26" s="35">
        <f ca="1">BDR[[#This Row],[Lucro]]+BDR[[#This Row],[Dividendos pagos]]</f>
        <v>7.7899999999999965</v>
      </c>
      <c r="L26" s="62">
        <f t="shared" ca="1" si="0"/>
        <v>2.0301369863013688E-2</v>
      </c>
      <c r="M26" s="10" t="s">
        <v>53</v>
      </c>
      <c r="N26" s="22">
        <f ca="1">BDR[[#This Row],[Valor da compra]]+BDR[[#This Row],[Lucro]]</f>
        <v>42.11</v>
      </c>
      <c r="O26" s="10" t="s">
        <v>60</v>
      </c>
      <c r="P26" s="10" t="s">
        <v>54</v>
      </c>
    </row>
    <row r="27" spans="1:18" x14ac:dyDescent="0.25">
      <c r="A27" s="9" t="s">
        <v>12</v>
      </c>
      <c r="B27" s="10"/>
      <c r="C27" s="14" t="str" cm="1">
        <f t="array" aca="1" ref="C27" ca="1">_FV(BDR[[#This Row],[Nome do ativo]],"Símbolo do ticker",TRUE)</f>
        <v>PETR4</v>
      </c>
      <c r="D27" s="33" t="e" vm="11">
        <v>#VALUE!</v>
      </c>
      <c r="E27" s="61">
        <v>1</v>
      </c>
      <c r="F27" s="59">
        <v>31.13</v>
      </c>
      <c r="G27" s="57" cm="1">
        <f t="array" aca="1" ref="G27" ca="1">_FV(BDR[[#This Row],[Nome do ativo]],"Preço")*BDR[[#This Row],[QTD]]</f>
        <v>42.11</v>
      </c>
      <c r="H27" s="13">
        <v>45763</v>
      </c>
      <c r="I27" s="35">
        <v>0.35</v>
      </c>
      <c r="J27" s="35">
        <f ca="1">(BDR[[#This Row],[Preço Atual/Venda]]-BDR[[#This Row],[Valor da compra]])</f>
        <v>10.98</v>
      </c>
      <c r="K27" s="35">
        <f ca="1">BDR[[#This Row],[Lucro]]+BDR[[#This Row],[Dividendos pagos]]</f>
        <v>11.33</v>
      </c>
      <c r="L27" s="35">
        <f t="shared" ca="1" si="0"/>
        <v>3.3784615384615385E-2</v>
      </c>
      <c r="M27" s="10" t="s">
        <v>53</v>
      </c>
      <c r="N27" s="22">
        <f ca="1">BDR[[#This Row],[Valor da compra]]+BDR[[#This Row],[Lucro]]</f>
        <v>42.11</v>
      </c>
      <c r="O27" s="10" t="s">
        <v>60</v>
      </c>
      <c r="P27" s="10" t="s">
        <v>54</v>
      </c>
      <c r="R27" s="123" t="s">
        <v>77</v>
      </c>
    </row>
    <row r="28" spans="1:18" x14ac:dyDescent="0.25">
      <c r="A28" s="9" t="s">
        <v>12</v>
      </c>
      <c r="B28" s="10"/>
      <c r="C28" s="14" t="str" cm="1">
        <f t="array" aca="1" ref="C28" ca="1">_FV(BDR[[#This Row],[Nome do ativo]],"Símbolo do ticker",TRUE)</f>
        <v>VALE3</v>
      </c>
      <c r="D28" s="33" t="e" vm="10">
        <v>#VALUE!</v>
      </c>
      <c r="E28" s="61">
        <v>1</v>
      </c>
      <c r="F28" s="59">
        <v>52.7</v>
      </c>
      <c r="G28" s="57" cm="1">
        <f t="array" aca="1" ref="G28" ca="1">_FV(BDR[[#This Row],[Nome do ativo]],"Preço")*BDR[[#This Row],[QTD]]</f>
        <v>78.86</v>
      </c>
      <c r="H28" s="13">
        <v>45786</v>
      </c>
      <c r="I28" s="35"/>
      <c r="J28" s="35">
        <f ca="1">(BDR[[#This Row],[Preço Atual/Venda]]-BDR[[#This Row],[Valor da compra]])</f>
        <v>26.159999999999997</v>
      </c>
      <c r="K28" s="35">
        <f ca="1">BDR[[#This Row],[Lucro]]+BDR[[#This Row],[Dividendos pagos]]</f>
        <v>26.159999999999997</v>
      </c>
      <c r="L28" s="35">
        <f t="shared" ca="1" si="0"/>
        <v>8.6622516556291385E-2</v>
      </c>
      <c r="M28" s="10" t="s">
        <v>53</v>
      </c>
      <c r="N28" s="22">
        <f ca="1">BDR[[#This Row],[Valor da compra]]+BDR[[#This Row],[Lucro]]</f>
        <v>78.86</v>
      </c>
      <c r="O28" s="10" t="s">
        <v>60</v>
      </c>
      <c r="P28" s="10" t="s">
        <v>54</v>
      </c>
      <c r="R28" s="123"/>
    </row>
    <row r="29" spans="1:18" x14ac:dyDescent="0.25">
      <c r="R29" s="88">
        <f ca="1">SUMIFS(BDR[Total],BDR[Em posse],"Sim",BDR[Tipo],"ETF",BDR[Operação],"Renda variável")</f>
        <v>39.29</v>
      </c>
    </row>
    <row r="33" spans="4:4" x14ac:dyDescent="0.25">
      <c r="D33" s="37" t="s">
        <v>98</v>
      </c>
    </row>
  </sheetData>
  <mergeCells count="8">
    <mergeCell ref="R27:R28"/>
    <mergeCell ref="R23:R24"/>
    <mergeCell ref="R16:R17"/>
    <mergeCell ref="T6:V6"/>
    <mergeCell ref="T7:V8"/>
    <mergeCell ref="R11:R12"/>
    <mergeCell ref="T9:V10"/>
    <mergeCell ref="R7:R8"/>
  </mergeCells>
  <conditionalFormatting sqref="I5:K28">
    <cfRule type="cellIs" dxfId="3" priority="15" operator="lessThan">
      <formula>0</formula>
    </cfRule>
    <cfRule type="iconSet" priority="16">
      <iconSet iconSet="3Arrows">
        <cfvo type="percent" val="0"/>
        <cfvo type="percent" val="33"/>
        <cfvo type="percent" val="67"/>
      </iconSet>
    </cfRule>
    <cfRule type="cellIs" dxfId="2" priority="17" operator="greaterThan">
      <formula>0</formula>
    </cfRule>
  </conditionalFormatting>
  <conditionalFormatting sqref="M5:N28">
    <cfRule type="containsText" dxfId="1" priority="4" operator="containsText" text="Sim">
      <formula>NOT(ISERROR(SEARCH("Sim",M5)))</formula>
    </cfRule>
    <cfRule type="containsText" dxfId="0" priority="5" operator="containsText" text="Não">
      <formula>NOT(ISERROR(SEARCH("Não",M5)))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DAF6-3DA8-4C2B-B9F0-B26419417CDD}">
  <dimension ref="A2:J15"/>
  <sheetViews>
    <sheetView workbookViewId="0">
      <selection activeCell="B25" sqref="B25"/>
    </sheetView>
  </sheetViews>
  <sheetFormatPr defaultRowHeight="15" x14ac:dyDescent="0.25"/>
  <cols>
    <col min="1" max="1" width="16.5703125" bestFit="1" customWidth="1"/>
    <col min="2" max="2" width="16.5703125" customWidth="1"/>
    <col min="3" max="3" width="12.5703125" customWidth="1"/>
    <col min="4" max="4" width="10.28515625" bestFit="1" customWidth="1"/>
    <col min="5" max="5" width="14" customWidth="1"/>
    <col min="6" max="6" width="11.85546875" customWidth="1"/>
  </cols>
  <sheetData>
    <row r="2" spans="1:10" x14ac:dyDescent="0.25">
      <c r="A2" s="92" t="s">
        <v>33</v>
      </c>
      <c r="B2" s="95" t="s">
        <v>80</v>
      </c>
      <c r="C2" s="95" t="s">
        <v>81</v>
      </c>
      <c r="D2" s="95" t="s">
        <v>4</v>
      </c>
      <c r="E2" s="95" t="s">
        <v>84</v>
      </c>
      <c r="F2" s="95" t="s">
        <v>50</v>
      </c>
      <c r="G2" s="95" t="s">
        <v>83</v>
      </c>
      <c r="H2" s="60" t="s">
        <v>15</v>
      </c>
    </row>
    <row r="3" spans="1:10" x14ac:dyDescent="0.25">
      <c r="A3" s="93" t="s">
        <v>82</v>
      </c>
      <c r="B3" s="97">
        <v>6.82</v>
      </c>
      <c r="C3" s="97">
        <f>Tesouro[[#This Row],[Valor investido]]+H3</f>
        <v>7.1000000000000005</v>
      </c>
      <c r="D3" s="98">
        <v>45726</v>
      </c>
      <c r="E3" s="98">
        <v>46753</v>
      </c>
      <c r="F3" s="97" t="s">
        <v>57</v>
      </c>
      <c r="G3" s="99">
        <v>0.14860000000000001</v>
      </c>
      <c r="H3" s="100">
        <v>0.28000000000000003</v>
      </c>
      <c r="J3" s="77" t="s">
        <v>40</v>
      </c>
    </row>
    <row r="4" spans="1:10" x14ac:dyDescent="0.25">
      <c r="A4" s="93" t="s">
        <v>82</v>
      </c>
      <c r="B4" s="97">
        <v>31.48</v>
      </c>
      <c r="C4" s="97">
        <f>Tesouro[[#This Row],[Valor investido]]+H4</f>
        <v>32.660000000000004</v>
      </c>
      <c r="D4" s="98">
        <v>45737</v>
      </c>
      <c r="E4" s="98">
        <v>49310</v>
      </c>
      <c r="F4" s="97" t="s">
        <v>57</v>
      </c>
      <c r="G4" s="99">
        <v>0.1489</v>
      </c>
      <c r="H4" s="100">
        <v>1.18</v>
      </c>
      <c r="J4" s="78">
        <f>SUMIF(Tesouro[Em posse],"Sim",Tesouro[Valor investido])</f>
        <v>42.02</v>
      </c>
    </row>
    <row r="5" spans="1:10" x14ac:dyDescent="0.25">
      <c r="A5" s="94" t="s">
        <v>82</v>
      </c>
      <c r="B5" s="101">
        <v>42.02</v>
      </c>
      <c r="C5" s="101">
        <f>Tesouro[[#This Row],[Valor investido]]+J9</f>
        <v>42.02</v>
      </c>
      <c r="D5" s="102">
        <v>45814</v>
      </c>
      <c r="E5" s="102">
        <v>49466</v>
      </c>
      <c r="F5" s="101" t="s">
        <v>53</v>
      </c>
      <c r="G5" s="103">
        <v>0.1414</v>
      </c>
      <c r="H5" s="96">
        <v>1.65</v>
      </c>
    </row>
    <row r="6" spans="1:10" x14ac:dyDescent="0.25">
      <c r="J6" s="77" t="s">
        <v>15</v>
      </c>
    </row>
    <row r="7" spans="1:10" x14ac:dyDescent="0.25">
      <c r="J7" s="78">
        <f>SUMIF(Tesouro[Em posse],"Sim",Tesouro[Lucro])</f>
        <v>1.65</v>
      </c>
    </row>
    <row r="15" spans="1:10" x14ac:dyDescent="0.25">
      <c r="H15" t="s">
        <v>98</v>
      </c>
    </row>
  </sheetData>
  <pageMargins left="0.511811024" right="0.511811024" top="0.78740157499999996" bottom="0.78740157499999996" header="0.31496062000000002" footer="0.31496062000000002"/>
  <ignoredErrors>
    <ignoredError sqref="H3:H5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3FA3CF-3DEB-4486-BA28-68028DEA48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Extrato</vt:lpstr>
      <vt:lpstr>Geral</vt:lpstr>
      <vt:lpstr>Fundos de investimento</vt:lpstr>
      <vt:lpstr>CDB 2025</vt:lpstr>
      <vt:lpstr>CDB 2026</vt:lpstr>
      <vt:lpstr>Crypto</vt:lpstr>
      <vt:lpstr>Dolar</vt:lpstr>
      <vt:lpstr>BDR</vt:lpstr>
      <vt:lpstr>Tesouro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2025-01-16T23:18:32Z</dcterms:created>
  <dcterms:modified xsi:type="dcterms:W3CDTF">2026-03-07T18:40:54Z</dcterms:modified>
</cp:coreProperties>
</file>